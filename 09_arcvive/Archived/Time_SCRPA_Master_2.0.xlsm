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tables/table23.xml" ContentType="application/vnd.openxmlformats-officedocument.spreadsheetml.table+xml"/>
  <Override PartName="/xl/queryTables/queryTable5.xml" ContentType="application/vnd.openxmlformats-officedocument.spreadsheetml.query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xml" ContentType="application/vnd.openxmlformats-officedocument.drawingml.chart+xml"/>
  <Override PartName="/xl/tables/table27.xml" ContentType="application/vnd.openxmlformats-officedocument.spreadsheetml.table+xml"/>
  <Override PartName="/xl/queryTables/queryTable6.xml" ContentType="application/vnd.openxmlformats-officedocument.spreadsheetml.query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queryTables/queryTable7.xml" ContentType="application/vnd.openxmlformats-officedocument.spreadsheetml.queryTable+xml"/>
  <Override PartName="/xl/tables/table32.xml" ContentType="application/vnd.openxmlformats-officedocument.spreadsheetml.table+xml"/>
  <Override PartName="/xl/tables/table33.xml" ContentType="application/vnd.openxmlformats-officedocument.spreadsheetml.table+xml"/>
  <Override PartName="/xl/queryTables/queryTable8.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20" codeName="{499AFE36-ED4D-9D94-70EF-1DFAAA4259C6}"/>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_25_SCRPA/TIME_Based/"/>
    </mc:Choice>
  </mc:AlternateContent>
  <xr:revisionPtr revIDLastSave="1038" documentId="8_{DA3B0B7B-0EF7-499E-B622-8CF0895FFD46}" xr6:coauthVersionLast="47" xr6:coauthVersionMax="47" xr10:uidLastSave="{9144756B-1890-4907-8D85-D31C8A066574}"/>
  <bookViews>
    <workbookView xWindow="-120" yWindow="-120" windowWidth="77040" windowHeight="21120" tabRatio="671" activeTab="9" xr2:uid="{00000000-000D-0000-FFFF-FFFF00000000}"/>
  </bookViews>
  <sheets>
    <sheet name="BurglaryAuto" sheetId="35" r:id="rId1"/>
    <sheet name="Bur_Auto" sheetId="3" r:id="rId2"/>
    <sheet name="M_BurglaryAuto" sheetId="31" state="hidden" r:id="rId3"/>
    <sheet name="BurglaryAutoNotes" sheetId="30" state="hidden" r:id="rId4"/>
    <sheet name="ENTRY_BurglaryAutoNotes" sheetId="26" r:id="rId5"/>
    <sheet name="Helper_BA" sheetId="32" r:id="rId6"/>
    <sheet name="BUR_AUTO_PT" sheetId="12" r:id="rId7"/>
    <sheet name="Bur_C_R" sheetId="4" r:id="rId8"/>
    <sheet name="BUR_C_R_PT" sheetId="11" r:id="rId9"/>
    <sheet name="Helper_CRB)" sheetId="33" r:id="rId10"/>
    <sheet name="MV_Theft" sheetId="6" r:id="rId11"/>
    <sheet name="Helper_MVT" sheetId="34" r:id="rId12"/>
    <sheet name="MV_THEFT_PT" sheetId="10" r:id="rId13"/>
    <sheet name="Robbery" sheetId="36" r:id="rId14"/>
    <sheet name="Sexual_Offenses" sheetId="7" r:id="rId15"/>
    <sheet name="SEXUAL_PT" sheetId="9" r:id="rId16"/>
    <sheet name="SexualAssaultNotes" sheetId="25" state="hidden" r:id="rId17"/>
    <sheet name="SA_Notes" sheetId="24" state="hidden" r:id="rId18"/>
    <sheet name="EXPORT_RMS" sheetId="2" r:id="rId19"/>
    <sheet name="Report" sheetId="1" state="hidden" r:id="rId20"/>
    <sheet name="_7DAY_CYCLE" sheetId="15" state="hidden" r:id="rId21"/>
    <sheet name="PAST_WEEK" sheetId="19" state="hidden" r:id="rId22"/>
    <sheet name="EXPORT_RMS (2)" sheetId="14" state="hidden" r:id="rId23"/>
    <sheet name="28Day" sheetId="23" state="hidden" r:id="rId24"/>
    <sheet name="PAST_WEEK (2)" sheetId="22" state="hidden" r:id="rId25"/>
    <sheet name="Report_Cycle" sheetId="21" r:id="rId26"/>
  </sheets>
  <definedNames>
    <definedName name="ExternalData_1" localSheetId="20" hidden="1">_7DAY_CYCLE!$A$1:$C$55</definedName>
    <definedName name="ExternalData_1" localSheetId="3" hidden="1">BurglaryAutoNotes!$A$1:$Q$8</definedName>
    <definedName name="ExternalData_1" localSheetId="18" hidden="1">EXPORT_RMS!$A$1:$BC$50</definedName>
    <definedName name="ExternalData_1" localSheetId="5" hidden="1">Helper_BA!#REF!</definedName>
    <definedName name="ExternalData_1" localSheetId="21" hidden="1">PAST_WEEK!$A$1:$BB$50</definedName>
    <definedName name="ExternalData_1" localSheetId="24" hidden="1">'PAST_WEEK (2)'!$A$1:$BB$8</definedName>
    <definedName name="ExternalData_1" localSheetId="13" hidden="1">Robbery!$A$1:$BC$10</definedName>
    <definedName name="ExternalData_1" localSheetId="16" hidden="1">SexualAssaultNotes!$A$1:$G$2</definedName>
    <definedName name="ExternalData_2" localSheetId="23" hidden="1">'28Day'!$A$1:$B$2</definedName>
    <definedName name="ExternalData_2" localSheetId="22" hidden="1">'EXPORT_RMS (2)'!$A$1:$BB$50</definedName>
    <definedName name="ExternalData_2" localSheetId="2" hidden="1">M_BurglaryAuto!$A$1:$AZ$8</definedName>
    <definedName name="ExternalData_2" localSheetId="13" hidden="1">Robbery!#REF!</definedName>
    <definedName name="ExternalData_3" localSheetId="7" hidden="1">Bur_C_R!$A$1:$BB$13</definedName>
    <definedName name="ExternalData_3" localSheetId="0" hidden="1">BurglaryAuto!$A$1:$BC$11</definedName>
    <definedName name="ExternalData_3" localSheetId="4" hidden="1">ENTRY_BurglaryAutoNotes!#REF!</definedName>
    <definedName name="ExternalData_3" localSheetId="9" hidden="1">'Helper_CRB)'!#REF!</definedName>
    <definedName name="ExternalData_3" localSheetId="11" hidden="1">Helper_MVT!#REF!</definedName>
    <definedName name="ExternalData_5" localSheetId="11" hidden="1">Helper_MVT!#REF!</definedName>
    <definedName name="ExternalData_5" localSheetId="10" hidden="1">MV_Theft!$A$1:$BB$15</definedName>
    <definedName name="ExternalData_6" localSheetId="14" hidden="1">Sexual_Offenses!$A$1:$BH$5</definedName>
  </definedNames>
  <calcPr calcId="191028"/>
  <pivotCaches>
    <pivotCache cacheId="6" r:id="rId27"/>
    <pivotCache cacheId="72" r:id="rId28"/>
    <pivotCache cacheId="86" r:id="rId29"/>
    <pivotCache cacheId="107" r:id="rId30"/>
    <pivotCache cacheId="128" r:id="rId31"/>
    <pivotCache cacheId="136"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26" l="1" a="1"/>
  <c r="C3" i="26" a="1"/>
  <c r="C4" i="26" a="1"/>
  <c r="C5" i="26" a="1"/>
  <c r="C6" i="26" a="1"/>
  <c r="C7" i="26" a="1"/>
  <c r="C8" i="26" a="1"/>
  <c r="A2" i="26" a="1"/>
  <c r="A2" i="26" s="1"/>
  <c r="C18" i="26" a="1"/>
  <c r="C18" i="26" s="1"/>
  <c r="F2" i="26"/>
  <c r="F3" i="26"/>
  <c r="F4" i="26"/>
  <c r="G2" i="26"/>
  <c r="G3" i="26"/>
  <c r="G4" i="26"/>
  <c r="G5" i="26"/>
  <c r="G6" i="26"/>
  <c r="G7" i="26"/>
  <c r="G8" i="26"/>
  <c r="F2" i="21"/>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52" i="21"/>
  <c r="F53" i="21"/>
  <c r="F54" i="21"/>
  <c r="F55" i="21"/>
  <c r="F56" i="21"/>
  <c r="F57" i="21"/>
  <c r="F58" i="21"/>
  <c r="F59" i="21"/>
  <c r="F60" i="21"/>
  <c r="F61" i="21"/>
  <c r="F62" i="21"/>
  <c r="F63" i="21"/>
  <c r="F64" i="21"/>
  <c r="F65" i="21"/>
  <c r="F66" i="21"/>
  <c r="F67" i="21"/>
  <c r="F68" i="21"/>
  <c r="F69" i="21"/>
  <c r="F70" i="21"/>
  <c r="F71" i="21"/>
  <c r="F72" i="21"/>
  <c r="F73"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B2" i="1" a="1"/>
  <c r="U2" i="10"/>
  <c r="T2" i="10"/>
  <c r="B2" i="1" l="1"/>
  <c r="C2" i="26"/>
  <c r="C6" i="26"/>
  <c r="C4" i="26"/>
  <c r="C7" i="26"/>
  <c r="C3" i="26"/>
  <c r="C8" i="26"/>
  <c r="C5"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5E2E2B-5DC8-48D9-8B2C-D0EB02B0A57B}" keepAlive="1" name="Query - 28Day" description="Connection to the '28Day' query in the workbook." type="5" refreshedVersion="8" background="1" saveData="1">
    <dbPr connection="Provider=Microsoft.Mashup.OleDb.1;Data Source=$Workbook$;Location=28Day;Extended Properties=&quot;&quot;" command="SELECT * FROM [28Day]"/>
  </connection>
  <connection id="2" xr16:uid="{E939293C-6DC8-4249-873B-9B7663FA4F30}" keepAlive="1" name="Query - Bur_C_R" description="Connection to the 'Bur_C_R' query in the workbook." type="5" refreshedVersion="8" background="1" saveData="1">
    <dbPr connection="Provider=Microsoft.Mashup.OleDb.1;Data Source=$Workbook$;Location=Bur_C_R;Extended Properties=&quot;&quot;" command="SELECT * FROM [Bur_C_R]"/>
  </connection>
  <connection id="3" xr16:uid="{8FBACE4D-9F9B-48FF-BD92-D9403BE38A34}" keepAlive="1" name="Query - Bur_C_R (2)" description="Connection to the 'Bur_C_R (2)' query in the workbook." type="5" refreshedVersion="8" background="1" saveData="1">
    <dbPr connection="Provider=Microsoft.Mashup.OleDb.1;Data Source=$Workbook$;Location=&quot;Bur_C_R (2)&quot;;Extended Properties=&quot;&quot;" command="SELECT * FROM [Bur_C_R (2)]"/>
  </connection>
  <connection id="4" xr16:uid="{1BFC10FE-C85E-4F8C-9296-0353D0E99247}" keepAlive="1" name="Query - BurglaryAuto" description="Connection to the 'BurglaryAuto' query in the workbook." type="5" refreshedVersion="8" background="1" saveData="1">
    <dbPr connection="Provider=Microsoft.Mashup.OleDb.1;Data Source=$Workbook$;Location=BurglaryAuto;Extended Properties=&quot;&quot;" command="SELECT * FROM [BurglaryAuto]"/>
  </connection>
  <connection id="5" xr16:uid="{1CF57843-098F-4407-B7AD-BA12035E2965}" keepAlive="1" name="Query - Current28Day" description="Connection to the 'Current28Day' query in the workbook." type="5" refreshedVersion="0" background="1">
    <dbPr connection="Provider=Microsoft.Mashup.OleDb.1;Data Source=$Workbook$;Location=Current28Day;Extended Properties=&quot;&quot;" command="SELECT * FROM [Current28Day]"/>
  </connection>
  <connection id="6" xr16:uid="{DC63C244-369D-445B-800F-E2E39DAEC4C6}" keepAlive="1" name="Query - CurrentCycle" description="Connection to the 'CurrentCycle' query in the workbook." type="5" refreshedVersion="0" background="1">
    <dbPr connection="Provider=Microsoft.Mashup.OleDb.1;Data Source=$Workbook$;Location=CurrentCycle;Extended Properties=&quot;&quot;" command="SELECT * FROM [CurrentCycle]"/>
  </connection>
  <connection id="7" xr16:uid="{0A34A649-F043-4163-B745-34068966A7F9}" keepAlive="1" name="Query - ESRI_EXPORT" description="Connection to the 'ESRI_EXPORT' query in the workbook." type="5" refreshedVersion="8" background="1" saveData="1">
    <dbPr connection="Provider=Microsoft.Mashup.OleDb.1;Data Source=$Workbook$;Location=ESRI_EXPORT;Extended Properties=&quot;&quot;" command="SELECT * FROM [ESRI_EXPORT]"/>
  </connection>
  <connection id="8" xr16:uid="{03A5906A-4CA8-4C73-AD11-E0976737A902}" keepAlive="1" name="Query - EXPORT_RMS" description="Connection to the 'EXPORT_RMS' query in the workbook." type="5" refreshedVersion="8" background="1" saveData="1">
    <dbPr connection="Provider=Microsoft.Mashup.OleDb.1;Data Source=$Workbook$;Location=EXPORT_RMS;Extended Properties=&quot;&quot;" command="SELECT * FROM [EXPORT_RMS]"/>
  </connection>
  <connection id="9" xr16:uid="{9241D73E-215C-4301-A693-1097E89404D9}" keepAlive="1" name="Query - MV_Theft" description="Connection to the 'MV_Theft' query in the workbook." type="5" refreshedVersion="8" background="1" saveData="1">
    <dbPr connection="Provider=Microsoft.Mashup.OleDb.1;Data Source=$Workbook$;Location=MV_Theft;Extended Properties=&quot;&quot;" command="SELECT * FROM [MV_Theft]"/>
  </connection>
  <connection id="10" xr16:uid="{804558BC-FE46-418F-B653-0168804313E2}" keepAlive="1" name="Query - MV_Theft (2)" description="Connection to the 'MV_Theft (2)' query in the workbook." type="5" refreshedVersion="8" background="1" saveData="1">
    <dbPr connection="Provider=Microsoft.Mashup.OleDb.1;Data Source=$Workbook$;Location=&quot;MV_Theft (2)&quot;;Extended Properties=&quot;&quot;" command="SELECT * FROM [MV_Theft (2)]"/>
  </connection>
  <connection id="11" xr16:uid="{12EA993F-6343-4693-B798-EF2B18165E57}"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2" xr16:uid="{B6ECAFCB-BB8D-4B44-A51C-CD6955CAFA5B}" keepAlive="1" name="Query - PAST_WEEK" description="Connection to the 'PAST_WEEK' query in the workbook." type="5" refreshedVersion="8" background="1" saveData="1">
    <dbPr connection="Provider=Microsoft.Mashup.OleDb.1;Data Source=$Workbook$;Location=PAST_WEEK;Extended Properties=&quot;&quot;" command="SELECT * FROM [PAST_WEEK]"/>
  </connection>
  <connection id="13" xr16:uid="{548705EC-53DC-4CF4-ACA7-24DA8E756B6B}" keepAlive="1" name="Query - PAST_WEEK (2)" description="Connection to the 'PAST_WEEK (2)' query in the workbook." type="5" refreshedVersion="8" background="1" saveData="1">
    <dbPr connection="Provider=Microsoft.Mashup.OleDb.1;Data Source=$Workbook$;Location=&quot;PAST_WEEK (2)&quot;;Extended Properties=&quot;&quot;" command="SELECT * FROM [PAST_WEEK (2)]"/>
  </connection>
  <connection id="14" xr16:uid="{C9320CE9-8669-48A5-92D8-0D0D7E0239CA}" keepAlive="1" name="Query - Robbery" description="Connection to the 'Robbery' query in the workbook." type="5" refreshedVersion="8" background="1" saveData="1">
    <dbPr connection="Provider=Microsoft.Mashup.OleDb.1;Data Source=$Workbook$;Location=Robbery;Extended Properties=&quot;&quot;" command="SELECT * FROM [Robbery]"/>
  </connection>
  <connection id="15" xr16:uid="{17FDF955-19B3-4BE5-ABCB-443D9B4EBD01}" keepAlive="1" name="Query - Robbery (2)" description="Connection to the 'Robbery (2)' query in the workbook." type="5" refreshedVersion="8" background="1" saveData="1">
    <dbPr connection="Provider=Microsoft.Mashup.OleDb.1;Data Source=$Workbook$;Location=&quot;Robbery (2)&quot;;Extended Properties=&quot;&quot;" command="SELECT * FROM [Robbery (2)]"/>
  </connection>
  <connection id="16" xr16:uid="{6A029052-2F38-42F3-9FCD-B69A88E9FB8F}"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7" xr16:uid="{C4BFF245-EC0C-49A9-9868-AE2F36E3C877}" keepAlive="1" name="Query - Sexual_Offenses" description="Connection to the 'Sexual_Offenses' query in the workbook." type="5" refreshedVersion="8" background="1" saveData="1">
    <dbPr connection="Provider=Microsoft.Mashup.OleDb.1;Data Source=$Workbook$;Location=Sexual_Offenses;Extended Properties=&quot;&quot;" command="SELECT * FROM [Sexual_Offenses]"/>
  </connection>
  <connection id="18" xr16:uid="{E7173998-5DED-44F1-9A59-549B85B53C13}" keepAlive="1" name="Query - SexualAssaultNotes(1)" description="Connection to the 'SexualAssaultNotes' query in the workbook." type="5" refreshedVersion="8" background="1" saveData="1">
    <dbPr connection="Provider=Microsoft.Mashup.OleDb.1;Data Source=$Workbook$;Location=SexualAssaultNotes;Extended Properties=&quot;&quot;" command="SELECT * FROM [SexualAssaultNotes]"/>
  </connection>
  <connection id="19" xr16:uid="{6B0C8447-4982-486A-BB43-7E498D61E2F3}"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0" xr16:uid="{A48D6E5C-A2FE-4047-A8B0-082EB031281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<sst xmlns="http://schemas.openxmlformats.org/spreadsheetml/2006/main" count="7706" uniqueCount="835">
  <si>
    <t>Case Number</t>
  </si>
  <si>
    <t>INC_DATE</t>
  </si>
  <si>
    <t>TOD</t>
  </si>
  <si>
    <t>Start of Hour</t>
  </si>
  <si>
    <t>INC_TIME</t>
  </si>
  <si>
    <t>Day Name</t>
  </si>
  <si>
    <t>Month Name</t>
  </si>
  <si>
    <t>BLOCK</t>
  </si>
  <si>
    <t>Location</t>
  </si>
  <si>
    <t>Incident Type_1</t>
  </si>
  <si>
    <t>ALL_INCIDENTS</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</si>
  <si>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</si>
  <si>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</si>
  <si>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</si>
  <si>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</si>
  <si>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</si>
  <si>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</si>
  <si>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</si>
  <si>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</si>
  <si>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</si>
  <si>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</si>
  <si>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</si>
  <si>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</si>
  <si>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</si>
  <si>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</si>
  <si>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</si>
  <si>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</si>
  <si>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</si>
  <si>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CompleteCalc</t>
  </si>
  <si>
    <t>Officer of Record</t>
  </si>
  <si>
    <t>Squad</t>
  </si>
  <si>
    <t>Det_Assigned</t>
  </si>
  <si>
    <t>Case_Status</t>
  </si>
  <si>
    <t>NIBRS Classification</t>
  </si>
  <si>
    <t>CASE_NUMBER_LENGTH</t>
  </si>
  <si>
    <t>Incident Date</t>
  </si>
  <si>
    <t>Incident Time</t>
  </si>
  <si>
    <t>Incident Date_Between</t>
  </si>
  <si>
    <t>Incident Time_Between</t>
  </si>
  <si>
    <t>Report Date</t>
  </si>
  <si>
    <t>Report Time</t>
  </si>
  <si>
    <t>Year</t>
  </si>
  <si>
    <t>Week of Year</t>
  </si>
  <si>
    <t>Week of Month</t>
  </si>
  <si>
    <t>Day</t>
  </si>
  <si>
    <t>Day of Year</t>
  </si>
  <si>
    <t>INC_DATE_AND_TIME</t>
  </si>
  <si>
    <t>St#</t>
  </si>
  <si>
    <t>Narrative - Copy</t>
  </si>
  <si>
    <t>VEHICLE</t>
  </si>
  <si>
    <t>Suspect</t>
  </si>
  <si>
    <t>TOTAL_STOLEN_AMOUNT</t>
  </si>
  <si>
    <t>REPORT_CYCLE</t>
  </si>
  <si>
    <t>TIME_OF_DAY</t>
  </si>
  <si>
    <t>25-002635</t>
  </si>
  <si>
    <t>12:00-15:59 Afternoon</t>
  </si>
  <si>
    <t>Monday</t>
  </si>
  <si>
    <t>January</t>
  </si>
  <si>
    <t>Prospect Ave, 0 Block</t>
  </si>
  <si>
    <t>90 Prospect Avenue</t>
  </si>
  <si>
    <t>Burglary - Auto</t>
  </si>
  <si>
    <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</si>
  <si>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</si>
  <si>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</si>
  <si>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</si>
  <si>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HONDA</t>
  </si>
  <si>
    <t>PIL</t>
  </si>
  <si>
    <t>NJ</t>
  </si>
  <si>
    <t>Deleon_A</t>
  </si>
  <si>
    <t>Complete</t>
  </si>
  <si>
    <t>P.O. Ruben Almonte 359</t>
  </si>
  <si>
    <t>A3</t>
  </si>
  <si>
    <t>Det. Matthew DeBonis 325</t>
  </si>
  <si>
    <t>Active/Administratively Closed</t>
  </si>
  <si>
    <t>23F = Theft From Motor Vehicle</t>
  </si>
  <si>
    <t>Vehicle 1: NJ-XCSW43 HONDA, PIL</t>
  </si>
  <si>
    <t>suspect(s): unknown suspect may be her husband uri darzi whom she is currently in a civil lawsuit with</t>
  </si>
  <si>
    <t>$5,000.00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t>
  </si>
  <si>
    <t>Afternoon (12:00-15:59)</t>
  </si>
  <si>
    <t>25-007074</t>
  </si>
  <si>
    <t>16:00-19:59 Evening Peak</t>
  </si>
  <si>
    <t>Saturday</t>
  </si>
  <si>
    <t>Stanley Pl, 200 Block</t>
  </si>
  <si>
    <t>206 Stanley Place</t>
  </si>
  <si>
    <t>Burglary - Auto, Theft</t>
  </si>
  <si>
    <t>Theft</t>
  </si>
  <si>
    <t>206 Stanley Place, Hackensack, NJ, 07601</t>
  </si>
  <si>
    <t>H3</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</si>
  <si>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</si>
  <si>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</si>
  <si>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</si>
  <si>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Levis_R</t>
  </si>
  <si>
    <t>P.O. Massimo Gallorini 379</t>
  </si>
  <si>
    <t>A2</t>
  </si>
  <si>
    <t>Sgt. Franklin Bay 162</t>
  </si>
  <si>
    <t>No Investigation</t>
  </si>
  <si>
    <t>Vehicle 1: NJ-R36GBB HONDA, CRV</t>
  </si>
  <si>
    <t>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t>
  </si>
  <si>
    <t>Evening Peak (16:00-19:59)</t>
  </si>
  <si>
    <t>25-007197</t>
  </si>
  <si>
    <t>20:00-23:59 Night</t>
  </si>
  <si>
    <t>Sunday</t>
  </si>
  <si>
    <t>Pangborn Pl, 0 Block</t>
  </si>
  <si>
    <t>5 Pangborn Place</t>
  </si>
  <si>
    <t>5 Pangborn Place, Hackensack, NJ, 07601</t>
  </si>
  <si>
    <t>H2</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</si>
  <si>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</si>
  <si>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</si>
  <si>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</si>
  <si>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</si>
  <si>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</si>
  <si>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Vehicle 1: NJ-R97RYW HONDA, ODY</t>
  </si>
  <si>
    <t>$200.00.    The vehicle was parked on Conklin Place, 150 feet east of Pangborn Place, facing west</t>
  </si>
  <si>
    <t>Night (20:00-23:59)</t>
  </si>
  <si>
    <t>25-012325</t>
  </si>
  <si>
    <t>Thursday</t>
  </si>
  <si>
    <t>February</t>
  </si>
  <si>
    <t>East Pleasantview Avenue &amp; Kipp Street</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</si>
  <si>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</si>
  <si>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</si>
  <si>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</si>
  <si>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XGDR55</t>
  </si>
  <si>
    <t>FORD</t>
  </si>
  <si>
    <t>R1Z</t>
  </si>
  <si>
    <t>Swetits_M</t>
  </si>
  <si>
    <t>P.O. Angelo Vicale 370</t>
  </si>
  <si>
    <t>B3</t>
  </si>
  <si>
    <t>Det. Demetrius Carroll 133</t>
  </si>
  <si>
    <t>Active Investigation</t>
  </si>
  <si>
    <t>Vehicle 1: NJ-XGDR55 FORD, R1Z</t>
  </si>
  <si>
    <t>suspect(s) were able to unlock the door from the inside and enter the vehicle</t>
  </si>
  <si>
    <t>$3,000.001-Heath RMLD- Approximately  $8,000.001-Heath gas detector- Approximately  $5,000.00                                            Approximate amount stolen:  $16,000.00    I did not observe any cameras in the area and the PSE&amp;G vehicle is self insured.</t>
  </si>
  <si>
    <t>(All)</t>
  </si>
  <si>
    <t>Count of Case Number</t>
  </si>
  <si>
    <t>25-004478</t>
  </si>
  <si>
    <t>Second St, 0 Block</t>
  </si>
  <si>
    <t>30 Second Street</t>
  </si>
  <si>
    <t>Burglary - Residence</t>
  </si>
  <si>
    <t>30 Second Street, Hackensack, NJ, 07601</t>
  </si>
  <si>
    <t>G3</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</si>
  <si>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</si>
  <si>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</si>
  <si>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</si>
  <si>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suspects at the time this report was taken</t>
  </si>
  <si>
    <t>$35.00. A Victim Notification was completed and the victim was provided with a copy upon our departure</t>
  </si>
  <si>
    <t>25-006864</t>
  </si>
  <si>
    <t>08:00-11:59 Morning Peak</t>
  </si>
  <si>
    <t>Kansas St, 0 Block</t>
  </si>
  <si>
    <t>60 Kansas Street</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</si>
  <si>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</si>
  <si>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</si>
  <si>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</si>
  <si>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P.O. Andres Lopez 375</t>
  </si>
  <si>
    <t>suspects inside</t>
  </si>
  <si>
    <t>$2,000 in miscellaneous jewelry. She described the jewelry to be earrings and gold necklaces.The victim reported she had the same incident occur in 2023</t>
  </si>
  <si>
    <t>Morning Peak (08:00-11:59)</t>
  </si>
  <si>
    <t>25-008551</t>
  </si>
  <si>
    <t>Friday</t>
  </si>
  <si>
    <t>The Esplanade, 200 Block</t>
  </si>
  <si>
    <t>292 The Esplanade</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</si>
  <si>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</si>
  <si>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</si>
  <si>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</si>
  <si>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Klosk_J</t>
  </si>
  <si>
    <t>P.O. Denisse Caero 367</t>
  </si>
  <si>
    <t>B2</t>
  </si>
  <si>
    <t>Det. John Tanucilli 335</t>
  </si>
  <si>
    <t>25-009831</t>
  </si>
  <si>
    <t>00:00-03:59 Early Morning</t>
  </si>
  <si>
    <t>Wednesday</t>
  </si>
  <si>
    <t>Passaic St, 400 Block</t>
  </si>
  <si>
    <t>441 Passaic Street</t>
  </si>
  <si>
    <t>Burglary - Commercial</t>
  </si>
  <si>
    <t>Burglary - Commercial, Alarm - Burglar</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</si>
  <si>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</si>
  <si>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</si>
  <si>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</si>
  <si>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</si>
  <si>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</si>
  <si>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Early Morning (00:00-03:59)</t>
  </si>
  <si>
    <t>25-013147</t>
  </si>
  <si>
    <t>35 Pangborn Place</t>
  </si>
  <si>
    <t>Burglary - Commercial, Suspicious Incident</t>
  </si>
  <si>
    <t>Suspicious Incident</t>
  </si>
  <si>
    <t>35 Pangborn Place, Hackensack, NJ, 07601</t>
  </si>
  <si>
    <t>I1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</si>
  <si>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</si>
  <si>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Sgt. Francesco Tripodi 134</t>
  </si>
  <si>
    <t>Under Supervisor Review</t>
  </si>
  <si>
    <t>suspect(s): unknown     i responded to the listed location, 35 pangborn place - hackensack emergency dental, on a report of a burglary</t>
  </si>
  <si>
    <t>$100.00 USD) and a Keep Connect Router Reporter ( $50.00) had been a taken from the basement. The complainant further stated there did not appear to be any forced entry into the basement $150.00 USD</t>
  </si>
  <si>
    <t>25-003745</t>
  </si>
  <si>
    <t>Tuesday</t>
  </si>
  <si>
    <t>Main St, 800 Block</t>
  </si>
  <si>
    <t>895 Main Street</t>
  </si>
  <si>
    <t>Burglary - Residence, Harassment, Domestic Violence</t>
  </si>
  <si>
    <t>Harassment</t>
  </si>
  <si>
    <t>Domestic Violence</t>
  </si>
  <si>
    <t>895 Main Street, Hackensack, NJ, 07601</t>
  </si>
  <si>
    <t>I5</t>
  </si>
  <si>
    <t>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 BITCH, DON'T MESS WITH THE GRANDKIDS, DO YOU KNOW WHO THAT NIGGA IS ON THE COUCH, STAY THE FUCK AWAY FROM ME!"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t>
  </si>
  <si>
    <t>Knapp_J</t>
  </si>
  <si>
    <t>P.O. Kevin Small 328</t>
  </si>
  <si>
    <t>Complaint Signed</t>
  </si>
  <si>
    <t>suspect) suspect suspect has not lived at the apartment for approximately three (3) months suspect does not have key access to the apartment suspect broke into the apartment uninvited and continued into her bedroom, where she was located suspect was irate, confronted her about money that she was awarded from a lawsuit settlement suspect stated, " bitch, don't mess with the grandkids, do you know who that nigga is on the couch, stay the fuck away from me!" the victim reported at the time her granddaughter, ms suspect entered suspect did not engage with ms suspect suspect for 2c:29-9 (contempt of court) suspect exited the bedroom, the granddaughter and her boyfriend left and the witness entered the apartment suspect by exiting the apartment suspect was inside and the victim confirmed his reporting suspect has a no contact order against the witness (see complaint #w2024-000767-0223) suspect used a credit card to gain entry into the apartment</t>
  </si>
  <si>
    <t>25-004288</t>
  </si>
  <si>
    <t>Bonhomme St, 100 Block</t>
  </si>
  <si>
    <t>152 Bonhomme Street</t>
  </si>
  <si>
    <t>Violation of Court Order</t>
  </si>
  <si>
    <t>Violation of Court Order, Burglary - Residence, Harassment</t>
  </si>
  <si>
    <t>152 Bonhomme Street, Hackensack, NJ, 07601</t>
  </si>
  <si>
    <t>E2</t>
  </si>
  <si>
    <t>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t>
  </si>
  <si>
    <t>P.O. Daniel Francavilla 329</t>
  </si>
  <si>
    <t>B4</t>
  </si>
  <si>
    <t>suspect were prviously in a two year relationship suspect inside of the house suspect and escorted her out of the house suspect ran toward the backyard fence and climbed over before our arrival on the scene suspect entering the rear yard and walking to the basement door of the house suspect</t>
  </si>
  <si>
    <t>$200.00.  P</t>
  </si>
  <si>
    <t>(Multiple Items)</t>
  </si>
  <si>
    <t>25-000813</t>
  </si>
  <si>
    <t>Lookout Ave, 300 Block</t>
  </si>
  <si>
    <t>309 Lookout Avenue</t>
  </si>
  <si>
    <t>Motor Vehicle Theft</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</si>
  <si>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</si>
  <si>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</si>
  <si>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</si>
  <si>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</si>
  <si>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ACC</t>
  </si>
  <si>
    <t>P.O. Nicholas Mazzaccaro 377</t>
  </si>
  <si>
    <t>Det. Robert Ghirardi 150</t>
  </si>
  <si>
    <t>240 = Theft of Motor Vehicle</t>
  </si>
  <si>
    <t>Vehicle 1: NJ-W46ULY HONDA, ACC</t>
  </si>
  <si>
    <t>suspect(s) are identified</t>
  </si>
  <si>
    <t>25-004097</t>
  </si>
  <si>
    <t>First St, 200 Block</t>
  </si>
  <si>
    <t>244 First Street</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</si>
  <si>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</si>
  <si>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</si>
  <si>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</si>
  <si>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</si>
  <si>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</si>
  <si>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b1</t>
  </si>
  <si>
    <t>Vehicle 1: NJ-U38ULG HONDA, CIV</t>
  </si>
  <si>
    <t>suspected to be from his rear passenger side window</t>
  </si>
  <si>
    <t>$50,000.00 as the vehicle was fairly new. He further reported he attempted to track the vehicle as it contains tracking equipment but was unsuccessful as it was not connecting</t>
  </si>
  <si>
    <t>25-005871</t>
  </si>
  <si>
    <t>Ross Ave, 0 Block</t>
  </si>
  <si>
    <t>33 Ross Avenue</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</si>
  <si>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</si>
  <si>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</si>
  <si>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</si>
  <si>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</si>
  <si>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</si>
  <si>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</si>
  <si>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Vehicle 1: NJ-U22RSV HONDA, PAS</t>
  </si>
  <si>
    <t>25-006083</t>
  </si>
  <si>
    <t>Hudson St, 400 Block</t>
  </si>
  <si>
    <t>443 Hudson Street</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</si>
  <si>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</si>
  <si>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</si>
  <si>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</si>
  <si>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</si>
  <si>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</si>
  <si>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</si>
  <si>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Vehicle 1: NJ-Y62SRJ NISSAN, PTH</t>
  </si>
  <si>
    <t>25-008075</t>
  </si>
  <si>
    <t>Essex St, 100 Block</t>
  </si>
  <si>
    <t>119 Essex Street</t>
  </si>
  <si>
    <t>Motor Vehicle Theft, Theft</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</si>
  <si>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</si>
  <si>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</si>
  <si>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</si>
  <si>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</si>
  <si>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</si>
  <si>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</si>
  <si>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</si>
  <si>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Vehicle 1: NJ-K84CXU LEXUS, ES</t>
  </si>
  <si>
    <t>$800.00 USD.</t>
  </si>
  <si>
    <t>25-008777</t>
  </si>
  <si>
    <t>Sutton Ave, 400 Block</t>
  </si>
  <si>
    <t>453 Sutton Avenue</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</si>
  <si>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</si>
  <si>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</si>
  <si>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</si>
  <si>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</si>
  <si>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CRO</t>
  </si>
  <si>
    <t>Vehicle 1: NJ-P77UZJ FORD, CRO</t>
  </si>
  <si>
    <t>$30.00 USD.</t>
  </si>
  <si>
    <t>25-009657</t>
  </si>
  <si>
    <t>Midtown Bridge Approach, 0 Block</t>
  </si>
  <si>
    <t>55 Midtown Bridge Approach</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</si>
  <si>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</si>
  <si>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</si>
  <si>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</si>
  <si>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</si>
  <si>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</si>
  <si>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</si>
  <si>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</si>
  <si>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Vehicle 1: AZ-AM82732 RAM, PROMASTER</t>
  </si>
  <si>
    <t>suspect, where a brief verbal exchange is had suspect is then seen retrieving keys from a lock box, before entering the van and fleeing the area suspect, who acted as an employee of the business suspect and secured the keys in the lock box himself</t>
  </si>
  <si>
    <t>$45,000.00.            The complainant has video footage of the incident, available upon request</t>
  </si>
  <si>
    <t>25-010474</t>
  </si>
  <si>
    <t>04:00-07:59 Morning</t>
  </si>
  <si>
    <t>Hudson St, 100 Block</t>
  </si>
  <si>
    <t>170 Hudson Street</t>
  </si>
  <si>
    <t>170 Hudson Street, Hackensack, NJ, 07601</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</si>
  <si>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</si>
  <si>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</si>
  <si>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</si>
  <si>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</si>
  <si>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</si>
  <si>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Vehicle 1: NJ-T12SSE DODGE, CAR</t>
  </si>
  <si>
    <t>$2,000.00 Dollars.</t>
  </si>
  <si>
    <t>Morning (04:00-07:59)</t>
  </si>
  <si>
    <t>25-010788</t>
  </si>
  <si>
    <t>Hudson St, 500 Block</t>
  </si>
  <si>
    <t>535 Hudson Street</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</si>
  <si>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</si>
  <si>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</si>
  <si>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</si>
  <si>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Vehicle 1: NJ-S70MPZ</t>
  </si>
  <si>
    <t>$6,000.00.  A victim notification form was completed, and the vehicle was entered into N</t>
  </si>
  <si>
    <t>25-013091</t>
  </si>
  <si>
    <t>Second St, 100 Block</t>
  </si>
  <si>
    <t>100 Second Street</t>
  </si>
  <si>
    <t>Motor Vehicle Theft, Recovered Stolen Vehicle</t>
  </si>
  <si>
    <t>Recovered Stolen Vehicle</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</si>
  <si>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</si>
  <si>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</si>
  <si>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L17PUM</t>
  </si>
  <si>
    <t>Vehicle 1: NJ-L17PUM HONDA, ACC</t>
  </si>
  <si>
    <t>suspect(s): unknown     the victim, kimberly trujillo, responded to police headquarters on a report of a motor vehicle theft</t>
  </si>
  <si>
    <t>$22,000 USD.  See Rochelle Park Case #2025-002492.</t>
  </si>
  <si>
    <t>25-013106</t>
  </si>
  <si>
    <t>30 Prospect Avenue</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</si>
  <si>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</si>
  <si>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</si>
  <si>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</si>
  <si>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</si>
  <si>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P.O. Anzour Marza 356</t>
  </si>
  <si>
    <t>Vehicle 1: NJ-Z53RVG HONDA, ACC</t>
  </si>
  <si>
    <t>25-015290</t>
  </si>
  <si>
    <t>Washington Ave, 400 Block</t>
  </si>
  <si>
    <t>430 Washington Avenue</t>
  </si>
  <si>
    <t>430 Washington Avenue, Hackensack, NJ, 07601</t>
  </si>
  <si>
    <t>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t>
  </si>
  <si>
    <t>8FL4661</t>
  </si>
  <si>
    <t>PILOT</t>
  </si>
  <si>
    <t>MD</t>
  </si>
  <si>
    <t>Vehicle 1: MD-8FL4661 HONDA, PILOT</t>
  </si>
  <si>
    <t>25-003362</t>
  </si>
  <si>
    <t>Clay St, 200 Block</t>
  </si>
  <si>
    <t>204 Clay Street</t>
  </si>
  <si>
    <t>Dispute</t>
  </si>
  <si>
    <t>Dispute, Criminal Attempt, Robbery</t>
  </si>
  <si>
    <t>Criminal Attempt</t>
  </si>
  <si>
    <t>Robbery</t>
  </si>
  <si>
    <t>204 Clay Street, Hackensack, NJ, 07601</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</si>
  <si>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</si>
  <si>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</si>
  <si>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</si>
  <si>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Det. Frankie Garrett 323</t>
  </si>
  <si>
    <t>120 = Robbery</t>
  </si>
  <si>
    <t>suspect, described as wearing a grey hoodie and sweatpants, had fled southbound on first street suspect, later identified as d suspect, d suspect asked the victim if he could drop off the stolen moped for a couple of days suspect, d suspect arrived at his residence demanding $400 suspect arrived with three (3) other friends: two hispanic males, unknown names, dates of birth, or addresses, and a hispanic female, blonde hair and blue jacket, operating a toyota rav 4 with an unknown ny tag suspect, and the three (3) witnesses stood by suspect breached the door with physical force and continued to assault the victim while demanding $400 suspect, d suspect and the three (3) witnesses fled the scene after she threatened to call the police</t>
  </si>
  <si>
    <t>$400.00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$400.00 for the red moped electric bike.  I then requested a supervisor, and Sgt</t>
  </si>
  <si>
    <t>25-003813</t>
  </si>
  <si>
    <t>Hackensack Ave, 400 Block</t>
  </si>
  <si>
    <t>450 Hackensack Avenue</t>
  </si>
  <si>
    <t>Robbery, Resisting Arrest/Eluding, Suspicious Person</t>
  </si>
  <si>
    <t>Resisting Arrest/Eluding</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</si>
  <si>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</si>
  <si>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</si>
  <si>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</si>
  <si>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</si>
  <si>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</si>
  <si>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</si>
  <si>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</si>
  <si>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b2</t>
  </si>
  <si>
    <t>Vehicle 1: NJ-Y82VDS VOLKS, ATL</t>
  </si>
  <si>
    <t>$1,284.00 and placed them in a shopping cart. The arrestee then went past all points of sale and tried to exit the store $189.00Two 20V Atomic BL Combo Kit priced at  $149.00 eachM18 Fuel Jig Saw priced at  $199.00MKE M12 Packout Flood Light priced at  $149.00M18 Fuel 10 Miter Saw priced at  $449.00     Totaling at  $1,284.00.The arrestee was placed in radio car 114 and transported to police headquarters for processing</t>
  </si>
  <si>
    <t>25-004629</t>
  </si>
  <si>
    <t>Main St, 600 Block</t>
  </si>
  <si>
    <t>630 Main Street</t>
  </si>
  <si>
    <t>630 Main Street, Hackensack, NJ, 07601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</si>
  <si>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</si>
  <si>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</si>
  <si>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</si>
  <si>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Det. John Mora 257</t>
  </si>
  <si>
    <t>Vehicle 1: HYUNDAI, SONATA</t>
  </si>
  <si>
    <t>suspect 1: hispanic male, approximately early 30' s in age, approximately 5'10" in height, approximately 180 in weight, wearing a tan hooded sweater, brown "ny" yankees logo hat, black sweatpants and white sneakers suspect 2: hispanic female, approximately mid 20's in age, approximately 5'5" in height, approximately 140 in weight, wearing a black jacket, grey hooded sweater, tan pants and cream colored shoes suspect vehicle: 4 door silver in color hyundai sonata (unknown registration) suspect 1 and  suspect 2 entered target suspect 1 and 2 passed all points of sale with unpaid merchandise in a shopping cart suspects suspects attempted to steal suspect 1 punched the victim in the head, specifically the top left side, with a closed fist one time suspect later left the area in the  suspect vehicle</t>
  </si>
  <si>
    <t>$452.71. Prior to exiting Target Loss Prevention / the victim confronted both suspects</t>
  </si>
  <si>
    <t>25-009348</t>
  </si>
  <si>
    <t>144 Hudson Street</t>
  </si>
  <si>
    <t>Suspicious Incident, Robbery</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</si>
  <si>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</si>
  <si>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</si>
  <si>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suspect descriptions:unknown  suspect 1: tall white male, crew cut, no clothing descriptionunknown  suspects 2-5: 4 males, unknown race, wearing dark colored helmets and dark clothes with padding suspects, with four of them carrying bats suspect #1 threatened him, stating that he would beat him up if he didn't hand over his belongings suspect #1 forcibly retrieved the wallet off his person and removed a debit card and identification card, before throwing the wallet back in his direction suspect's then told him if they saw him again, they would beat him up suspects then fled east on court street, before turning left to head north on river road</t>
  </si>
  <si>
    <t>25-009438</t>
  </si>
  <si>
    <t>400 Hackensack Avenue</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</si>
  <si>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</si>
  <si>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</si>
  <si>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suspects (1 male, 2 females) entered the establishment at approximately 1600 hours suspects reportedly exited and reentered the store multiples time prior to committing the offense, with the last entry being made only by the male  suspect suspect grabbed three small purses from the display shelf before he began to walk toward the exit suspect, who immediately shoved him into a store fixture suspect reportedly proceeded to run out of the store toward the nearest mall exit, where he entered a black vehicle and fled in an unknown direction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</si>
  <si>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$650.00. The store manager (witness) wished to have complaints signed against the suspects if they were able to be identified</t>
  </si>
  <si>
    <t>Column Labels</t>
  </si>
  <si>
    <t>Row Labels</t>
  </si>
  <si>
    <t>25-002564</t>
  </si>
  <si>
    <t>First St, 100 Block</t>
  </si>
  <si>
    <t>135 First Street</t>
  </si>
  <si>
    <t>Criminal Sexual Contact</t>
  </si>
  <si>
    <t>Criminal Sexual Contact, Juvenile Investigation</t>
  </si>
  <si>
    <t>Juvenile Investigation</t>
  </si>
  <si>
    <t>135 First Street, Hackensack, NJ, 07601</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</si>
  <si>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</si>
  <si>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</si>
  <si>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</si>
  <si>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</si>
  <si>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</si>
  <si>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</si>
  <si>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suspect who is also student suspect was identified as manuel martinez perez suspect and his cousin esmeralda perez martinez who is a potential witness suspect gave her a hug suspect suspect suspect suspect touch the victim because she was busy doing her class work suspect suspect</t>
  </si>
  <si>
    <t>25-006324</t>
  </si>
  <si>
    <t xml:space="preserve"> Berdan Pl, 100 Block</t>
  </si>
  <si>
    <t>176  Berdan Place</t>
  </si>
  <si>
    <t>Sexual Assault</t>
  </si>
  <si>
    <t>Sexual Assault, Juvenile Investigation</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</si>
  <si>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</si>
  <si>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</si>
  <si>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</si>
  <si>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</si>
  <si>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</si>
  <si>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suspect</t>
  </si>
  <si>
    <t>25-013527</t>
  </si>
  <si>
    <t xml:space="preserve"> Prospect Ave, 200 Block</t>
  </si>
  <si>
    <t>240  Prospect Avenue</t>
  </si>
  <si>
    <t>Exceptionally Cleared/Closed</t>
  </si>
  <si>
    <t>Exceptionally Cleared/Closed, Sexual Assault</t>
  </si>
  <si>
    <t>240  Prospect Avenue, Hackensack, NJ, 07601</t>
  </si>
  <si>
    <t>H4</t>
  </si>
  <si>
    <t>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</si>
  <si>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suspect akashpreet riar on february 17, 2025 suspect is a teacher's assistant at the new york college of podiatric medicine, where she attends suspect because she was looking for a tutor and he offered to help her suspect picked up the victim in a blue honda (unknown registration) from her residence in new york city at approximately 1930 hours suspect arrived at the  suspect's apartment (240 prospect avenue, unknown apartment) suspect were studying for approximately 1 hours, before both parties started to have a few drinks of alcohol suspect started to approach her and speak in a sexual manner suspect started to grope her breasts, buttocks and thighs while trying to kiss her neck suspect suspect forced his way into the bathroom suspect forced her to pull down her pants and shoved his hand down the front of her pants suspect began to digitally penetrate the victim's vagina suspect to stop but felt like she had no control over the situation suspect inserted his penis into her vagina against her will suspect ejaculated next to the victim suspect called an uber for her and she took the ride share back to nyc</t>
  </si>
  <si>
    <t>25-014007</t>
  </si>
  <si>
    <t>Union St, 300 Block</t>
  </si>
  <si>
    <t>360 Union Street</t>
  </si>
  <si>
    <t>360 Union Street, Hackensack, NJ, 07601</t>
  </si>
  <si>
    <t>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t>
  </si>
  <si>
    <t>P.O. Angie Tabares 363</t>
  </si>
  <si>
    <t>Cleared - Arrest</t>
  </si>
  <si>
    <t>36A = Incest</t>
  </si>
  <si>
    <t>25-012110</t>
  </si>
  <si>
    <t>Christopher Columbus Drive, 100 Block</t>
  </si>
  <si>
    <t>128 Christopher Columbus Drive</t>
  </si>
  <si>
    <t>Assist Other Agency</t>
  </si>
  <si>
    <t>Assist Other Agency, Aggravated Assault, Robbery</t>
  </si>
  <si>
    <t>Aggravated Assault</t>
  </si>
  <si>
    <t>128 Christopher Columbus Drive, Jersey City, NJ 07302, Hackensack, NJ, 07601</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</si>
  <si>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</si>
  <si>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</si>
  <si>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TOT Outside Jurisdiction</t>
  </si>
  <si>
    <t>suspect were in a dating relationship for approximately 9 months suspect met with her on the sidewalk suspect wished to get back together, but she refused suspect strangled her, he stole her iphone 14 pro out of her front pocket (approximate value: $1,000 suspect, but he has not been served</t>
  </si>
  <si>
    <t>$1,000.00) then fled the scene.     The victim advised me that she currently has a restraining order against the suspect, but he has not been served</t>
  </si>
  <si>
    <t>Time of Day</t>
  </si>
  <si>
    <t>Mon</t>
  </si>
  <si>
    <t>Tue</t>
  </si>
  <si>
    <t>Wed</t>
  </si>
  <si>
    <t>Thu</t>
  </si>
  <si>
    <t>Fri</t>
  </si>
  <si>
    <t>Sat</t>
  </si>
  <si>
    <t>YTD</t>
  </si>
  <si>
    <t>28-DAY</t>
  </si>
  <si>
    <t>Sun</t>
  </si>
  <si>
    <t>7-DAY</t>
  </si>
  <si>
    <t>Date</t>
  </si>
  <si>
    <t>Time</t>
  </si>
  <si>
    <t>Vehicle</t>
  </si>
  <si>
    <t>MD-8FL4661 HONDA, PILOT</t>
  </si>
  <si>
    <t>The vehicle was taken from a public roadway.</t>
  </si>
  <si>
    <t>Notes</t>
  </si>
  <si>
    <t>430 Washington</t>
  </si>
  <si>
    <t>25-018160</t>
  </si>
  <si>
    <t>March</t>
  </si>
  <si>
    <t>Central Ave, 200 Block</t>
  </si>
  <si>
    <t>216 Central Avenue</t>
  </si>
  <si>
    <t>216 Central Avenue, Hackensack, NJ, 07601</t>
  </si>
  <si>
    <t>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"Mike Williams"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t>
  </si>
  <si>
    <t>R64NVW</t>
  </si>
  <si>
    <t>EXP</t>
  </si>
  <si>
    <t>Farhi_B</t>
  </si>
  <si>
    <t>Vehicle 1: NJ-R64NVW FORD, EXP</t>
  </si>
  <si>
    <t>suspect: black male with a beard wearing a gray hooded sweatshirt suspect which was unsuccessful suspect completing a purchase at the listed location suspect was approximately $102</t>
  </si>
  <si>
    <t>$10.00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t>
  </si>
  <si>
    <t>25-019245</t>
  </si>
  <si>
    <t>American Legion Drive, 200 Block</t>
  </si>
  <si>
    <t>282 American Legion Drive</t>
  </si>
  <si>
    <t>282 American Legion Drive, Hackensack, NJ, 07601</t>
  </si>
  <si>
    <t>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t>
  </si>
  <si>
    <t>K46PXJ</t>
  </si>
  <si>
    <t>HYN</t>
  </si>
  <si>
    <t>TIB</t>
  </si>
  <si>
    <t>P.O. Peter Voorhis 380</t>
  </si>
  <si>
    <t>Vehicle 1: NJ-K46PXJ HYN, TIB</t>
  </si>
  <si>
    <t>suspect is identified</t>
  </si>
  <si>
    <t>$250.00 dollars in miscellaneous tools were missing from the vehicle. We did not observe any visible damage or forced entry to the doors' exterior</t>
  </si>
  <si>
    <t>25-017536</t>
  </si>
  <si>
    <t>Essex St, 200 Block</t>
  </si>
  <si>
    <t>216 Essex Street</t>
  </si>
  <si>
    <t>216 Essex Street, Hackensack, NJ, 07601</t>
  </si>
  <si>
    <t>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"If you call the police, I will kill you."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"No."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t>
  </si>
  <si>
    <t>P.O. Steven Lemanowicz 347</t>
  </si>
  <si>
    <t>suspect description:  bm, 5'5, gray vest, blue hooded sweatshirt, blue jeans, black medium length hair, black purse and a black backpack suspect) had entered his store whom he recognized that had caused a disturbance earlier in the day with his customers suspect to leave or he will call the police suspect then grabbed two 50 ml bottles of patron silver and the employee grabbed his hand suspect then left the store with the bottles, picked up a black backpack he left outside the store and walked north on lehigh street suspect said anything during the theft and he stated the  suspect responded, "if you call the police, i will kill you suspect taking the bottles suspect was put out to patrols and a canvass of the area was negative for the  suspect suspect if he was identified</t>
  </si>
  <si>
    <t>$7.00 each for a total loss of  $14.00.</t>
  </si>
  <si>
    <t>25-017488</t>
  </si>
  <si>
    <t>High St, 100 Block</t>
  </si>
  <si>
    <t>195 High Street</t>
  </si>
  <si>
    <t>Robbery, Unlawful Possess./Weapons, Dispute</t>
  </si>
  <si>
    <t>Unlawful Possess./Weapons</t>
  </si>
  <si>
    <t>195 High Street, Hackensack, NJ, 07601</t>
  </si>
  <si>
    <t>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 I will fuck both of ya up" and began demanding the money Foster owed him.     Hunt reported that, he told the suspect that he was going to call the police. The suspect then stated ' I ain't scared of no police"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t>
  </si>
  <si>
    <t>D78PNR</t>
  </si>
  <si>
    <t>BMW</t>
  </si>
  <si>
    <t>430</t>
  </si>
  <si>
    <t>P.O. Bobby Rivera 361</t>
  </si>
  <si>
    <t>Vehicle 1: NJ-D78PNR BMW, 430</t>
  </si>
  <si>
    <t>suspect because she owed him money suspect exited the bmw and confronted him suspect began asking where foster was and hunt advised him that he believes she was at the listed address suspect then stated " ya keep fucking around with me and i am going to bust a cap in both of your asses' suspect reentered the white bmw and began following him suspect exited the bmw, and followed him up the front porch suspect followed him inside, uninvited suspect removed a short black baseball bat from his waistband and stated " i will fuck both of ya up" and began demanding the money foster owed him suspect that he was going to call the police suspect then stated ' i ain't scared of no police" and attempted to snatch hunts phone from his hands suspect fled suspect was responsible for the broken window, however, neither of them observed it suspect's vehicle of nj -d78pnr suspects name and an address of 26 anderson street, where she believes the mother resides suspect suspect for 2c:15-1a(2), 2c:12-3a, 2c:12-1a3, 2c:39-5d, and 2c:39-4d</t>
  </si>
  <si>
    <t>CompStat
 Week</t>
  </si>
  <si>
    <t>Week Start</t>
  </si>
  <si>
    <t>Week End</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</si>
  <si>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</si>
  <si>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</si>
  <si>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</si>
  <si>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</si>
  <si>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</si>
  <si>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</si>
  <si>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</si>
  <si>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</si>
  <si>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</si>
  <si>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</si>
  <si>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</si>
  <si>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</si>
  <si>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</si>
  <si>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</si>
  <si>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</si>
  <si>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</si>
  <si>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</si>
  <si>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</si>
  <si>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</si>
  <si>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</si>
  <si>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</si>
  <si>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</si>
  <si>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</si>
  <si>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</si>
  <si>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</si>
  <si>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</si>
  <si>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</si>
  <si>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</si>
  <si>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</si>
  <si>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</si>
  <si>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</si>
  <si>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</si>
  <si>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</si>
  <si>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</si>
  <si>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</si>
  <si>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</si>
  <si>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</si>
  <si>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</si>
  <si>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</si>
  <si>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</si>
  <si>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</si>
  <si>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</si>
  <si>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</si>
  <si>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</si>
  <si>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</si>
  <si>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</si>
  <si>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</si>
  <si>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</si>
  <si>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</si>
  <si>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</si>
  <si>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</si>
  <si>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</si>
  <si>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W53</t>
  </si>
  <si>
    <t>W54</t>
  </si>
  <si>
    <t>C03W10</t>
  </si>
  <si>
    <t>C03W09</t>
  </si>
  <si>
    <t>C02W08</t>
  </si>
  <si>
    <t>C02W07</t>
  </si>
  <si>
    <t>C02W06</t>
  </si>
  <si>
    <t>C02W05</t>
  </si>
  <si>
    <t>C01W04</t>
  </si>
  <si>
    <t>C01W03</t>
  </si>
  <si>
    <t>C01W02</t>
  </si>
  <si>
    <t>C01W01</t>
  </si>
  <si>
    <t>7-Day</t>
  </si>
  <si>
    <t>Suspect: Black male with a beard wearing a gray hooded sweatshirt. Possibly named Mike Williams.  Vehicle parked on the street, No signs of forced entery.</t>
  </si>
  <si>
    <t xml:space="preserve"> Vehicle parked on the street, No signs of forced entery.</t>
  </si>
  <si>
    <t>N/A</t>
  </si>
  <si>
    <t>25-019756</t>
  </si>
  <si>
    <t>Anderson St, 100 Block</t>
  </si>
  <si>
    <t>123 Anderson Street</t>
  </si>
  <si>
    <t>123 Anderson Street, Hackensack, NJ, 07601</t>
  </si>
  <si>
    <t>***Spanish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t>
  </si>
  <si>
    <t>K87VEF</t>
  </si>
  <si>
    <t>SUBARU</t>
  </si>
  <si>
    <t>TRI</t>
  </si>
  <si>
    <t>Det. Gunther Lara-Nunez 351</t>
  </si>
  <si>
    <t>Vehicle 1: NJ-K87VEF SUBARU, TRI</t>
  </si>
  <si>
    <t>suspects should they be identified</t>
  </si>
  <si>
    <t>$200.00 dollars. He reported that he left his wallet with the  $200.00 in the middle console which was visible to any passerby.        Due to the victim reporting that he contaminated the area/vehicle, he was not offered to have his vehicle to be fingerprinted by BCI</t>
  </si>
  <si>
    <t>C03W11</t>
  </si>
  <si>
    <t>25-019648</t>
  </si>
  <si>
    <t>Park Ave, 0 Block</t>
  </si>
  <si>
    <t>1 Park Avenue</t>
  </si>
  <si>
    <t>1 Park Avenue, Hackensack, NJ, 07601</t>
  </si>
  <si>
    <t>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t>
  </si>
  <si>
    <t>Ghirardi_R</t>
  </si>
  <si>
    <t>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t>
  </si>
  <si>
    <t>25-021703</t>
  </si>
  <si>
    <t>414 Hackensack Avenue</t>
  </si>
  <si>
    <t>Assist Other Agency, Burglary - Residence</t>
  </si>
  <si>
    <t>414 Hackensack Avenue, Hackensack, NJ, 07601</t>
  </si>
  <si>
    <t>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t>
  </si>
  <si>
    <t>Y52RXA</t>
  </si>
  <si>
    <t>KIA</t>
  </si>
  <si>
    <t>TEL</t>
  </si>
  <si>
    <t>Lt. John Knapp 141</t>
  </si>
  <si>
    <t>HACSOC</t>
  </si>
  <si>
    <t>Vehicle 1: NJ-Y52RXA KIA, TEL</t>
  </si>
  <si>
    <t>C03W12</t>
  </si>
  <si>
    <t>25-024952</t>
  </si>
  <si>
    <t>211 Essex Street</t>
  </si>
  <si>
    <t>Burglary - Commercial, Hindering Apprehension, Resisting Arrest/Eluding</t>
  </si>
  <si>
    <t>Hindering Apprehension</t>
  </si>
  <si>
    <t>211 Essex Street, Hackensack, NJ, 07601</t>
  </si>
  <si>
    <t>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"Jorge Williams".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t>
  </si>
  <si>
    <t>P.O. Laura Lopez-Amaya 374</t>
  </si>
  <si>
    <t>$26.99. Melanie Esquiveo then responded to police headquarters to provide a statement to detectives</t>
  </si>
  <si>
    <t>C04W13</t>
  </si>
  <si>
    <t>25-025078</t>
  </si>
  <si>
    <t>2 Park Avenue</t>
  </si>
  <si>
    <t>2 Park Avenue, Hackensack, NJ, 07601</t>
  </si>
  <si>
    <t>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t>
  </si>
  <si>
    <t>Sgt. Patrick Williams 143</t>
  </si>
  <si>
    <t>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t>
  </si>
  <si>
    <t>$10,000.00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t>
  </si>
  <si>
    <t>25-022902</t>
  </si>
  <si>
    <t>Kenneth St, 100 Block</t>
  </si>
  <si>
    <t>171 Kenneth Street</t>
  </si>
  <si>
    <t>171 Kenneth Street, Hackensack, NJ, 07601</t>
  </si>
  <si>
    <t>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t>
  </si>
  <si>
    <t>JWG42F</t>
  </si>
  <si>
    <t>CHEVROLET</t>
  </si>
  <si>
    <t>Vehicle 1: NJ-JWG42F</t>
  </si>
  <si>
    <t>suspect enters the van suspect proceeds to sit in the van for a couple of minutes before starting the vehicle south on kenneth st</t>
  </si>
  <si>
    <t>$4,000.00.</t>
  </si>
  <si>
    <t>25-023424</t>
  </si>
  <si>
    <t>Pulaski Pl, 0 Block</t>
  </si>
  <si>
    <t>24 Pulaski Place</t>
  </si>
  <si>
    <t>Burglary - Auto, Criminal Mischief - Vehicle</t>
  </si>
  <si>
    <t>Criminal Mischief - Vehicle</t>
  </si>
  <si>
    <t>24 Pulaski Place, Hackensack, NJ, 07601</t>
  </si>
  <si>
    <t>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t>
  </si>
  <si>
    <t>M88KXU</t>
  </si>
  <si>
    <t>ECO</t>
  </si>
  <si>
    <t>Competiello_Fa</t>
  </si>
  <si>
    <t>Vehicle 1: NJ-M88KXU FORD, ECO</t>
  </si>
  <si>
    <t>suspect vehicle description: white 4-door suv, possibly a honda crv or toyota style suv suspect vehicle parked next to his, facing west suspect vehicle fled the scene, traveling west on pulaski place towards an unknown direction suspect also damaged the steering wheel and ignition system to his vehicle</t>
  </si>
  <si>
    <t>$1,000.00.         A New Jersey Victim Notification Form was completed and provided to the victim</t>
  </si>
  <si>
    <t>25-024100</t>
  </si>
  <si>
    <t>Robbery, Theft, Medical Call</t>
  </si>
  <si>
    <t>Medical Call</t>
  </si>
  <si>
    <t>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t>
  </si>
  <si>
    <t>C73VBN</t>
  </si>
  <si>
    <t>IMP</t>
  </si>
  <si>
    <t>P.O. Christian Alvarez 364</t>
  </si>
  <si>
    <t>Vehicle 1: NJ-C73VBN SUBARU, IMP</t>
  </si>
  <si>
    <t>suspect: hispanic female approximately 50 years of age and heavy build suspect who put a gold chain around his neck and began to converse with him suspect then began to rip the victim's rolex watch off of his left wrist suspect but was unsuccessful suspect stole the watch and got into the passenger seat of a white sedan, which drove off</t>
  </si>
  <si>
    <t>$15,000.00. Hackensack University Medical Center BLS responded to the scene and evaluated the patient</t>
  </si>
  <si>
    <t>25-025341</t>
  </si>
  <si>
    <t>Berry St, 200 Block</t>
  </si>
  <si>
    <t>296 Berry Street</t>
  </si>
  <si>
    <t>296 Berry Street, Hackensack, NJ, 07601</t>
  </si>
  <si>
    <t>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t>
  </si>
  <si>
    <t>T41VHN</t>
  </si>
  <si>
    <t>ACURA</t>
  </si>
  <si>
    <t>TLX</t>
  </si>
  <si>
    <t>P.O. Wanda Rivera 161</t>
  </si>
  <si>
    <t>A1</t>
  </si>
  <si>
    <t>Vehicle 1: NJ-T41VHN ACURA, TLX</t>
  </si>
  <si>
    <t>$50,000Insurance provider: Geico 100, policy #4587415441</t>
  </si>
  <si>
    <t>25-025304</t>
  </si>
  <si>
    <t>Parkway, 0 Block</t>
  </si>
  <si>
    <t>15 Parkway</t>
  </si>
  <si>
    <t>Suspicious Incident, Attempted Burglary</t>
  </si>
  <si>
    <t>Attempted Burglary</t>
  </si>
  <si>
    <t>15 Parkway, Hackensack, NJ, 07601</t>
  </si>
  <si>
    <t>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"what are you doing" to which the suspect responded "construction work"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t>
  </si>
  <si>
    <t>Z85SBR</t>
  </si>
  <si>
    <t>Vehicle 1: NJ-Z85SBR ACURA, TLX</t>
  </si>
  <si>
    <t>suspect is a tall, slim male dressed in all black suspect responded "construction work" and took off running suspect vehicle suspect fleeing upon observing the complainant</t>
  </si>
  <si>
    <t>$200.00.   The complainant was unable to get the vehicle owner on the phone so we were unable to get permission to process the vehicle</t>
  </si>
  <si>
    <t>SCRPA Due Date</t>
  </si>
  <si>
    <t>7-Day Start</t>
  </si>
  <si>
    <t>7-Day End</t>
  </si>
  <si>
    <t>28-Day Start</t>
  </si>
  <si>
    <t>28-Day End</t>
  </si>
  <si>
    <t>Today</t>
  </si>
  <si>
    <t>Active Cycle</t>
  </si>
  <si>
    <t>StartDate</t>
  </si>
  <si>
    <t>EndDate</t>
  </si>
  <si>
    <t>SA_TypeOfAssault</t>
  </si>
  <si>
    <t>SA_VictimIncapacitated</t>
  </si>
  <si>
    <t>SA_ForceOrThreatUsed</t>
  </si>
  <si>
    <t>SA_LocationType</t>
  </si>
  <si>
    <t>SA_KnownVsStranger</t>
  </si>
  <si>
    <t>SA_NumberOfOffenders</t>
  </si>
  <si>
    <t>Entry Method</t>
  </si>
  <si>
    <t>Block Incident Occurred On</t>
  </si>
  <si>
    <t>Time of Day Incident Occurred</t>
  </si>
  <si>
    <t>Vehicle Was Parked</t>
  </si>
  <si>
    <t>Damage to Vehicle</t>
  </si>
  <si>
    <t>Items Stolen</t>
  </si>
  <si>
    <t>Value of Stolen Property</t>
  </si>
  <si>
    <t>Keys with Vehicle</t>
  </si>
  <si>
    <t>BurglaryAutoNotes.Vehicle Was Parked</t>
  </si>
  <si>
    <t>BurglaryAutoNotes.Entry Method</t>
  </si>
  <si>
    <t>BurglaryAutoNotes.Damage to Vehicle</t>
  </si>
  <si>
    <t>BurglaryAutoNotes.Items Stolen</t>
  </si>
  <si>
    <t>BurglaryAutoNotes.Value of Stolen Property</t>
  </si>
  <si>
    <t>BurglaryAutoNotes.Keys with Vehicle</t>
  </si>
  <si>
    <t>Victim's Vehicle Description</t>
  </si>
  <si>
    <t>Offense Completed</t>
  </si>
  <si>
    <t>NJ-XCSW43 HONDA, PIL</t>
  </si>
  <si>
    <t>NJ-R36GBB HONDA, CRV</t>
  </si>
  <si>
    <t>NJ-R97RYW HONDA, ODY</t>
  </si>
  <si>
    <t>NJ-XGDR55 FORD, R1Z</t>
  </si>
  <si>
    <t>NJ-R64NVW FORD, EXP</t>
  </si>
  <si>
    <t>NJ-K46PXJ HYN, TIB</t>
  </si>
  <si>
    <t>NJ-K87VEF SUBARU, TRI</t>
  </si>
  <si>
    <t>Month of Incident</t>
  </si>
  <si>
    <t>Feb</t>
  </si>
  <si>
    <t>Mar</t>
  </si>
  <si>
    <t>Day of Week</t>
  </si>
  <si>
    <t>Suspect Description</t>
  </si>
  <si>
    <t>Suspect Vehicle Description</t>
  </si>
  <si>
    <t>Unknown</t>
  </si>
  <si>
    <t>Private Lot</t>
  </si>
  <si>
    <t>Tools</t>
  </si>
  <si>
    <t>Passenger Rear  Window</t>
  </si>
  <si>
    <t>Not Stated in Report</t>
  </si>
  <si>
    <t>Yes</t>
  </si>
  <si>
    <t>Possibly male, approximately 5'7'' in height, with a slim build</t>
  </si>
  <si>
    <t>Driveway</t>
  </si>
  <si>
    <t>Front Driverside Door</t>
  </si>
  <si>
    <t>Nothing Reported</t>
  </si>
  <si>
    <t>Street</t>
  </si>
  <si>
    <t>None Reported</t>
  </si>
  <si>
    <t>Vehicle's Keys</t>
  </si>
  <si>
    <t>No</t>
  </si>
  <si>
    <t>Suspect: Black male with a beard wearing a gray hooded sweatshirt. Possibly named Mike Williams.</t>
  </si>
  <si>
    <t>Wallet, Credit Cards, Cash</t>
  </si>
  <si>
    <t>Unlocked Doors</t>
  </si>
  <si>
    <t>Wallet, Cash</t>
  </si>
  <si>
    <t>BurglaryAutoNotes.Suspect Description</t>
  </si>
  <si>
    <t>BurglaryAutoNotes.Suspect Vehicle Description</t>
  </si>
  <si>
    <t>BurglaryAutoNotes.Offense Completed</t>
  </si>
  <si>
    <t>25-025926</t>
  </si>
  <si>
    <t>100 Essex Street</t>
  </si>
  <si>
    <t>100 Essex Street, Hackensack, NJ, 07601</t>
  </si>
  <si>
    <t>G2</t>
  </si>
  <si>
    <t>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"Asaad Martinez-Pollard" may be the suspect. The victim reported being assaulted by the suspect a few weeks prior and seeing him briefly today. See Case #25-010292 for further. A NJ Victim Notification form was completed and a copy was provided to the victim. Detective DeBonis was advised.</t>
  </si>
  <si>
    <t>P.O. Anthony Mattalian 83</t>
  </si>
  <si>
    <t>suspect was inside his apartment, were visible suspect suspect a few weeks prior and seeing him briefly today</t>
  </si>
  <si>
    <t>$50.00 USD inside, attached to four (4) keys and one (1) safety deposit box key. Total loss of  $200.00 USD.     The victim stated in effect that he took a shower at approximately 0500 hours today</t>
  </si>
  <si>
    <t>25-026077</t>
  </si>
  <si>
    <t>Second Street &amp; American Legion Drive</t>
  </si>
  <si>
    <t>Burglary - Auto, Theft, Criminal Mischief</t>
  </si>
  <si>
    <t>Criminal Mischief</t>
  </si>
  <si>
    <t>Second Street &amp; American Legion Drive, Hackensack, NJ, 07601</t>
  </si>
  <si>
    <t>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t>
  </si>
  <si>
    <t>J72JJJ</t>
  </si>
  <si>
    <t>TOYOTA</t>
  </si>
  <si>
    <t>SIENNA</t>
  </si>
  <si>
    <t>P.O. Jeffrey Rodriguez 342</t>
  </si>
  <si>
    <t>Vehicle 1: NJ-J72JJJ TOYOTA, SIENNA</t>
  </si>
  <si>
    <t>$5.00 US in mixed coins and a Go Pro camera worth approximately  $600.00 US. A victim notification form was completed and the victim received a copy</t>
  </si>
  <si>
    <t>Point of Entry</t>
  </si>
  <si>
    <t>Structure Type</t>
  </si>
  <si>
    <t>Signs of Forced Entry</t>
  </si>
  <si>
    <t>Commerical</t>
  </si>
  <si>
    <t>Front Door</t>
  </si>
  <si>
    <t xml:space="preserve">American Express Amex Card </t>
  </si>
  <si>
    <t>Henry, Jordin, 31 YO, B/M</t>
  </si>
  <si>
    <t>Suspect was arrested</t>
  </si>
  <si>
    <t>Residential - Apartment</t>
  </si>
  <si>
    <t>Force</t>
  </si>
  <si>
    <t>Yes - Deadbolt Damaged</t>
  </si>
  <si>
    <t xml:space="preserve">3 unknown individuals wearing black clothing, hoods, face masks, and black gloves. </t>
  </si>
  <si>
    <t>Jewelry, Cash and Electronics</t>
  </si>
  <si>
    <t>Suspects appeared to be familure where the stolen items were kept.</t>
  </si>
  <si>
    <t>Residential - Rooming House</t>
  </si>
  <si>
    <t>Apartment Door</t>
  </si>
  <si>
    <t>Unlocked Door</t>
  </si>
  <si>
    <t>Keys and Key Chain</t>
  </si>
  <si>
    <t>NJ-T41VHN ACURA, TLX</t>
  </si>
  <si>
    <t>Column1</t>
  </si>
  <si>
    <t>Column2</t>
  </si>
  <si>
    <t>Column3</t>
  </si>
  <si>
    <t>Column4</t>
  </si>
  <si>
    <t>NJ-Z85SBR ACURA, TLX</t>
  </si>
  <si>
    <t>NJ-J72JJJ TOYOTA, SIENNA</t>
  </si>
  <si>
    <t>Broken Driver Door Handle</t>
  </si>
  <si>
    <t>Not Reported</t>
  </si>
  <si>
    <t>No Entry Gained</t>
  </si>
  <si>
    <t>Broken Front Passenger Window</t>
  </si>
  <si>
    <t>Front Passenger Window</t>
  </si>
  <si>
    <t>Front wind shield, rear view mirror, and electrical panel was caused by this large rock that was thrown into the vehicle</t>
  </si>
  <si>
    <t>White Vehicle</t>
  </si>
  <si>
    <t>Tall, slim male dressed in all black</t>
  </si>
  <si>
    <t>Mixed Coins</t>
  </si>
  <si>
    <t>ALL_INCIDENTS - Copy</t>
  </si>
  <si>
    <t>Suspicious Incident, Attempted Burglary - Auto</t>
  </si>
  <si>
    <t>Jan</t>
  </si>
  <si>
    <t>Thur</t>
  </si>
  <si>
    <t>Count of Column1</t>
  </si>
  <si>
    <t>Location Type</t>
  </si>
  <si>
    <t>Type Weapon</t>
  </si>
  <si>
    <t>Type of Victim</t>
  </si>
  <si>
    <t>Type Injury</t>
  </si>
  <si>
    <t>Propert Stolen</t>
  </si>
  <si>
    <t>Property Value</t>
  </si>
  <si>
    <t>Offender Suspected of Using</t>
  </si>
  <si>
    <t>Relationship of Victim to Offender</t>
  </si>
  <si>
    <t xml:space="preserve"> H/F ≈ 50 years of age and heavy build</t>
  </si>
  <si>
    <t>White Sedan</t>
  </si>
  <si>
    <t>Personal Weapons</t>
  </si>
  <si>
    <t>Individual</t>
  </si>
  <si>
    <t>Minor Injury</t>
  </si>
  <si>
    <t>None</t>
  </si>
  <si>
    <t>Stranger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</si>
</sst>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h:mm;@"/>
    <numFmt numFmtId="165" formatCode="mm/dd/yy;@"/>
    <numFmt numFmtId="166" formatCode="ddd"/>
    <numFmt numFmtId="167" formatCode="mm/dd/yy"/>
    <numFmt numFmtId="168" formatCode="hh:mm"/>
    <numFmt numFmtId="169" formatCode="00"/>
    <numFmt numFmtId="170" formatCode="000"/>
    <numFmt numFmtId="171" formatCode="mm/dd/yy\ hh:mm"/>
    <numFmt numFmtId="172" formatCode="[$-F400]h:mm:ss\ AM/PM"/>
    <numFmt numFmtId="173" formatCode="mmm"/>
  </numFmts>
  <fonts count="26" x14ac:knownFonts="1">
    <font>
      <sz val="11"/>
      <color theme="1"/>
      <name val="Calibri"/>
      <family val="2"/>
      <scheme val="minor"/>
    </font>
    <font>
      <sz val="12"/>
      <color theme="1"/>
      <name val="Aptos Narrow"/>
      <family val="2"/>
    </font>
    <font>
      <sz val="12"/>
      <color theme="1"/>
      <name val="Aptos Narrow"/>
      <family val="2"/>
    </font>
    <font>
      <sz val="12"/>
      <color theme="1"/>
      <name val="Aptos Narrow"/>
      <family val="2"/>
    </font>
    <font>
      <sz val="12"/>
      <color theme="1"/>
      <name val="Aptos Narrow"/>
      <family val="2"/>
    </font>
    <font>
      <sz val="12"/>
      <color theme="1"/>
      <name val="Aptos"/>
      <family val="2"/>
    </font>
    <font>
      <sz val="12"/>
      <color theme="1"/>
      <name val="Aptos"/>
      <family val="2"/>
    </font>
    <font>
      <sz val="12"/>
      <color theme="1"/>
      <name val="Aptos Narrow"/>
      <family val="2"/>
    </font>
    <font>
      <sz val="14"/>
      <color theme="1"/>
      <name val="Aptos Narrow"/>
      <family val="2"/>
    </font>
    <font>
      <sz val="12"/>
      <color theme="1"/>
      <name val="Aptos Narrow"/>
      <family val="2"/>
    </font>
    <font>
      <sz val="11"/>
      <color theme="1"/>
      <name val="Aptos"/>
      <family val="2"/>
    </font>
    <font>
      <b/>
      <sz val="20"/>
      <color theme="1"/>
      <name val="Aptos"/>
      <family val="2"/>
    </font>
    <font>
      <sz val="14"/>
      <color theme="1"/>
      <name val="Aptos"/>
      <family val="2"/>
    </font>
    <font>
      <sz val="12"/>
      <color theme="1"/>
      <name val="Aptos"/>
      <family val="2"/>
    </font>
    <font>
      <b/>
      <sz val="18"/>
      <color theme="1"/>
      <name val="Aptos"/>
      <family val="2"/>
    </font>
    <font>
      <b/>
      <sz val="14"/>
      <color theme="1"/>
      <name val="Aptos Narrow"/>
      <family val="2"/>
    </font>
    <font>
      <sz val="8"/>
      <name val="Calibri"/>
      <family val="2"/>
      <scheme val="minor"/>
    </font>
    <font>
      <sz val="12"/>
      <color theme="1"/>
      <name val="Aptos Display"/>
      <family val="2"/>
    </font>
    <font>
      <b/>
      <sz val="12"/>
      <color theme="1"/>
      <name val="Aptos Display"/>
      <family val="2"/>
    </font>
    <font>
      <b/>
      <sz val="14"/>
      <color theme="1"/>
      <name val="Aptos Display"/>
      <family val="2"/>
    </font>
    <font>
      <sz val="8"/>
      <color theme="1"/>
      <name val="Aptos Narrow"/>
      <family val="2"/>
    </font>
    <font>
      <sz val="8"/>
      <color theme="1"/>
      <name val="Aptos"/>
      <family val="2"/>
    </font>
    <font>
      <sz val="11"/>
      <color theme="1"/>
      <name val="Calibri"/>
      <family val="2"/>
      <scheme val="minor"/>
    </font>
    <font>
      <sz val="12"/>
      <color rgb="FF000000"/>
      <name val="Aptos Narrow"/>
      <family val="2"/>
    </font>
    <font>
      <b/>
      <sz val="12"/>
      <color theme="1"/>
      <name val="Aptos Narrow"/>
      <family val="2"/>
    </font>
    <font>
      <sz val="11"/>
      <color theme="1"/>
      <name val="Aptos Narrow"/>
      <family val="2"/>
    </font>
  </fonts>
  <fills count="7">
    <fill>
      <patternFill patternType="none"/>
    </fill>
    <fill>
      <patternFill patternType="gray125"/>
    </fill>
    <fill>
      <patternFill patternType="solid">
        <fgColor theme="0" tint="-0.14999847407452621"/>
        <bgColor theme="0" tint="-0.14999847407452621"/>
      </patternFill>
    </fill>
    <fill>
      <patternFill patternType="solid">
        <fgColor theme="5" tint="0.79998168889431442"/>
        <bgColor theme="5" tint="0.79998168889431442"/>
      </patternFill>
    </fill>
    <fill>
      <patternFill patternType="solid">
        <fgColor rgb="FFFFFF99"/>
        <bgColor indexed="64"/>
      </patternFill>
    </fill>
    <fill>
      <patternFill patternType="solid">
        <fgColor theme="6" tint="0.79998168889431442"/>
        <bgColor theme="6" tint="0.79998168889431442"/>
      </patternFill>
    </fill>
    <fill>
      <patternFill patternType="solid">
        <fgColor rgb="FFD3B5E9"/>
        <bgColor theme="6" tint="0.79995117038483843"/>
      </patternFill>
    </fill>
  </fills>
  <borders count="42">
    <border>
      <left/>
      <right/>
      <top/>
      <bottom/>
      <diagonal/>
    </border>
    <border>
      <left/>
      <right/>
      <top/>
      <bottom style="medium">
        <color rgb="FF513E80"/>
      </bottom>
      <diagonal/>
    </border>
    <border>
      <left style="medium">
        <color rgb="FF513E80"/>
      </left>
      <right style="thin">
        <color rgb="FF513E80"/>
      </right>
      <top style="thin">
        <color rgb="FF513E80"/>
      </top>
      <bottom style="thin">
        <color rgb="FF513E80"/>
      </bottom>
      <diagonal/>
    </border>
    <border>
      <left style="thin">
        <color rgb="FF513E80"/>
      </left>
      <right style="thin">
        <color rgb="FF513E80"/>
      </right>
      <top style="thin">
        <color rgb="FF513E80"/>
      </top>
      <bottom style="thin">
        <color rgb="FF513E80"/>
      </bottom>
      <diagonal/>
    </border>
    <border>
      <left/>
      <right/>
      <top/>
      <bottom style="thin">
        <color theme="5" tint="0.39997558519241921"/>
      </bottom>
      <diagonal/>
    </border>
    <border>
      <left/>
      <right/>
      <top/>
      <bottom style="thin">
        <color indexed="64"/>
      </bottom>
      <diagonal/>
    </border>
    <border>
      <left style="thin">
        <color rgb="FF513E80"/>
      </left>
      <right style="medium">
        <color rgb="FF513E80"/>
      </right>
      <top style="thin">
        <color rgb="FF513E80"/>
      </top>
      <bottom style="medium">
        <color rgb="FF513E80"/>
      </bottom>
      <diagonal/>
    </border>
    <border>
      <left style="thin">
        <color rgb="FF513E80"/>
      </left>
      <right/>
      <top style="thin">
        <color rgb="FF513E80"/>
      </top>
      <bottom style="medium">
        <color rgb="FF513E80"/>
      </bottom>
      <diagonal/>
    </border>
    <border>
      <left style="medium">
        <color rgb="FF513E80"/>
      </left>
      <right/>
      <top style="medium">
        <color rgb="FF513E80"/>
      </top>
      <bottom/>
      <diagonal/>
    </border>
    <border>
      <left/>
      <right style="medium">
        <color rgb="FF513E80"/>
      </right>
      <top/>
      <bottom/>
      <diagonal/>
    </border>
    <border>
      <left style="thin">
        <color rgb="FF513E80"/>
      </left>
      <right/>
      <top style="medium">
        <color rgb="FF513E80"/>
      </top>
      <bottom/>
      <diagonal/>
    </border>
    <border>
      <left style="thin">
        <color rgb="FF513E80"/>
      </left>
      <right style="medium">
        <color rgb="FF513E80"/>
      </right>
      <top style="medium">
        <color rgb="FF513E80"/>
      </top>
      <bottom/>
      <diagonal/>
    </border>
    <border>
      <left style="medium">
        <color rgb="FF513E80"/>
      </left>
      <right/>
      <top style="thin">
        <color rgb="FF513E80"/>
      </top>
      <bottom style="medium">
        <color rgb="FF513E80"/>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theme="1"/>
      </top>
      <bottom style="medium">
        <color indexed="64"/>
      </bottom>
      <diagonal/>
    </border>
    <border>
      <left style="medium">
        <color indexed="64"/>
      </left>
      <right style="medium">
        <color indexed="64"/>
      </right>
      <top style="medium">
        <color indexed="64"/>
      </top>
      <bottom style="thin">
        <color rgb="FF513E80"/>
      </bottom>
      <diagonal/>
    </border>
    <border>
      <left style="medium">
        <color indexed="64"/>
      </left>
      <right style="medium">
        <color indexed="64"/>
      </right>
      <top style="thin">
        <color rgb="FF513E80"/>
      </top>
      <bottom style="thin">
        <color rgb="FF513E80"/>
      </bottom>
      <diagonal/>
    </border>
    <border>
      <left style="medium">
        <color indexed="64"/>
      </left>
      <right style="medium">
        <color indexed="64"/>
      </right>
      <top style="thin">
        <color rgb="FF513E80"/>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rgb="FF513E80"/>
      </right>
      <top/>
      <bottom/>
      <diagonal/>
    </border>
    <border>
      <left style="thin">
        <color rgb="FF513E80"/>
      </left>
      <right style="thin">
        <color rgb="FF513E80"/>
      </right>
      <top/>
      <bottom/>
      <diagonal/>
    </border>
    <border>
      <left style="thin">
        <color rgb="FF513E80"/>
      </left>
      <right/>
      <top/>
      <bottom/>
      <diagonal/>
    </border>
    <border>
      <left style="thin">
        <color rgb="FF513E80"/>
      </left>
      <right style="thin">
        <color rgb="FF513E80"/>
      </right>
      <top style="medium">
        <color indexed="64"/>
      </top>
      <bottom style="thin">
        <color rgb="FF513E80"/>
      </bottom>
      <diagonal/>
    </border>
    <border>
      <left style="thin">
        <color rgb="FF513E80"/>
      </left>
      <right style="thin">
        <color rgb="FF513E80"/>
      </right>
      <top style="thin">
        <color rgb="FF513E80"/>
      </top>
      <bottom style="medium">
        <color indexed="64"/>
      </bottom>
      <diagonal/>
    </border>
    <border>
      <left style="medium">
        <color indexed="64"/>
      </left>
      <right style="thin">
        <color rgb="FF513E80"/>
      </right>
      <top style="medium">
        <color indexed="64"/>
      </top>
      <bottom style="thin">
        <color rgb="FF513E80"/>
      </bottom>
      <diagonal/>
    </border>
    <border>
      <left style="medium">
        <color indexed="64"/>
      </left>
      <right style="thin">
        <color rgb="FF513E80"/>
      </right>
      <top style="thin">
        <color rgb="FF513E80"/>
      </top>
      <bottom style="thin">
        <color rgb="FF513E80"/>
      </bottom>
      <diagonal/>
    </border>
    <border>
      <left style="medium">
        <color indexed="64"/>
      </left>
      <right style="thin">
        <color rgb="FF513E80"/>
      </right>
      <top style="thin">
        <color rgb="FF513E80"/>
      </top>
      <bottom style="medium">
        <color indexed="64"/>
      </bottom>
      <diagonal/>
    </border>
    <border>
      <left style="thin">
        <color rgb="FF513E80"/>
      </left>
      <right style="medium">
        <color theme="1"/>
      </right>
      <top style="medium">
        <color theme="1"/>
      </top>
      <bottom style="thin">
        <color theme="1"/>
      </bottom>
      <diagonal/>
    </border>
    <border>
      <left style="thin">
        <color rgb="FF513E80"/>
      </left>
      <right style="medium">
        <color theme="1"/>
      </right>
      <top style="thin">
        <color theme="1"/>
      </top>
      <bottom style="thin">
        <color theme="1"/>
      </bottom>
      <diagonal/>
    </border>
    <border>
      <left style="thin">
        <color rgb="FF513E80"/>
      </left>
      <right style="medium">
        <color theme="1"/>
      </right>
      <top style="thin">
        <color theme="1"/>
      </top>
      <bottom style="medium">
        <color theme="1"/>
      </bottom>
      <diagonal/>
    </border>
  </borders>
  <cellStyleXfs count="2">
    <xf numFmtId="0" fontId="0" fillId="0" borderId="0"/>
    <xf numFmtId="44" fontId="22" fillId="0" borderId="0" applyFont="0" applyFill="0" applyBorder="0" applyAlignment="0" applyProtection="0"/>
  </cellStyleXfs>
  <cellXfs count="215">
    <xf numFmtId="0" fontId="0" fillId="0" borderId="0" xfId="0"/>
    <xf numFmtId="14" fontId="0" fillId="0" borderId="0" xfId="0" applyNumberFormat="1"/>
    <xf numFmtId="22" fontId="0" fillId="0" borderId="0" xfId="0" applyNumberFormat="1"/>
    <xf numFmtId="0" fontId="7" fillId="0" borderId="0" xfId="0" applyFont="1"/>
    <xf numFmtId="164" fontId="0" fillId="0" borderId="0" xfId="0" applyNumberFormat="1"/>
    <xf numFmtId="0" fontId="0" fillId="0" borderId="0" xfId="0" pivotButton="1"/>
    <xf numFmtId="0" fontId="9" fillId="0" borderId="0" xfId="0" applyFont="1"/>
    <xf numFmtId="0" fontId="10" fillId="0" borderId="0" xfId="0" applyFont="1"/>
    <xf numFmtId="0" fontId="12" fillId="0" borderId="0" xfId="0" applyFont="1" applyAlignment="1">
      <alignment horizontal="center"/>
    </xf>
    <xf numFmtId="0" fontId="13" fillId="0" borderId="0" xfId="0" applyFont="1" applyAlignment="1">
      <alignment horizontal="right"/>
    </xf>
    <xf numFmtId="0" fontId="13" fillId="0" borderId="0" xfId="0" applyFont="1"/>
    <xf numFmtId="0" fontId="11" fillId="0" borderId="0" xfId="0" applyFont="1"/>
    <xf numFmtId="166" fontId="12" fillId="0" borderId="0" xfId="0" applyNumberFormat="1" applyFont="1" applyAlignment="1">
      <alignment horizontal="center"/>
    </xf>
    <xf numFmtId="0" fontId="12" fillId="0" borderId="0" xfId="0" applyFont="1"/>
    <xf numFmtId="0" fontId="13" fillId="2" borderId="0" xfId="0" applyFont="1" applyFill="1" applyAlignment="1">
      <alignment horizontal="right"/>
    </xf>
    <xf numFmtId="0" fontId="13" fillId="2" borderId="0" xfId="0" applyFont="1" applyFill="1"/>
    <xf numFmtId="0" fontId="14" fillId="0" borderId="0" xfId="0" applyFont="1"/>
    <xf numFmtId="0" fontId="13" fillId="0" borderId="0" xfId="0" applyFont="1" applyAlignment="1">
      <alignment wrapText="1"/>
    </xf>
    <xf numFmtId="0" fontId="12" fillId="0" borderId="0" xfId="0" applyFont="1" applyAlignment="1">
      <alignment horizontal="center" wrapText="1"/>
    </xf>
    <xf numFmtId="0" fontId="12" fillId="0" borderId="0" xfId="0" applyFont="1" applyAlignment="1">
      <alignment wrapText="1"/>
    </xf>
    <xf numFmtId="167" fontId="13" fillId="0" borderId="0" xfId="0" applyNumberFormat="1" applyFont="1" applyAlignment="1">
      <alignment horizontal="center"/>
    </xf>
    <xf numFmtId="168" fontId="13" fillId="0" borderId="0" xfId="0" applyNumberFormat="1" applyFont="1" applyAlignment="1">
      <alignment horizontal="center"/>
    </xf>
    <xf numFmtId="0" fontId="7" fillId="0" borderId="0" xfId="0" applyFont="1" applyAlignment="1">
      <alignment horizontal="center"/>
    </xf>
    <xf numFmtId="164" fontId="7" fillId="0" borderId="0" xfId="0" applyNumberFormat="1" applyFont="1"/>
    <xf numFmtId="14" fontId="7" fillId="0" borderId="0" xfId="0" applyNumberFormat="1" applyFont="1"/>
    <xf numFmtId="22" fontId="7" fillId="0" borderId="0" xfId="0" applyNumberFormat="1" applyFont="1"/>
    <xf numFmtId="164" fontId="7" fillId="0" borderId="0" xfId="0" applyNumberFormat="1" applyFont="1" applyAlignment="1">
      <alignment horizontal="center"/>
    </xf>
    <xf numFmtId="0" fontId="8" fillId="0" borderId="0" xfId="0" applyFont="1" applyAlignment="1">
      <alignment horizontal="center"/>
    </xf>
    <xf numFmtId="164" fontId="8" fillId="0" borderId="0" xfId="0" applyNumberFormat="1" applyFont="1" applyAlignment="1">
      <alignment horizontal="center"/>
    </xf>
    <xf numFmtId="165" fontId="8" fillId="0" borderId="0" xfId="0" applyNumberFormat="1" applyFont="1" applyAlignment="1">
      <alignment horizontal="center"/>
    </xf>
    <xf numFmtId="165" fontId="7" fillId="0" borderId="0" xfId="0" applyNumberFormat="1" applyFont="1" applyAlignment="1">
      <alignment horizontal="center"/>
    </xf>
    <xf numFmtId="168" fontId="8" fillId="0" borderId="0" xfId="0" applyNumberFormat="1" applyFont="1" applyAlignment="1">
      <alignment horizontal="center"/>
    </xf>
    <xf numFmtId="168" fontId="7" fillId="0" borderId="0" xfId="0" applyNumberFormat="1" applyFont="1"/>
    <xf numFmtId="168" fontId="7" fillId="0" borderId="0" xfId="0" applyNumberFormat="1" applyFont="1" applyAlignment="1">
      <alignment horizontal="center"/>
    </xf>
    <xf numFmtId="169" fontId="8" fillId="0" borderId="0" xfId="0" applyNumberFormat="1" applyFont="1" applyAlignment="1">
      <alignment horizontal="center"/>
    </xf>
    <xf numFmtId="169" fontId="7" fillId="0" borderId="0" xfId="0" applyNumberFormat="1" applyFont="1" applyAlignment="1">
      <alignment horizontal="center"/>
    </xf>
    <xf numFmtId="170" fontId="8" fillId="0" borderId="0" xfId="0" applyNumberFormat="1" applyFont="1" applyAlignment="1">
      <alignment horizontal="center"/>
    </xf>
    <xf numFmtId="170" fontId="7" fillId="0" borderId="0" xfId="0" applyNumberFormat="1" applyFont="1" applyAlignment="1">
      <alignment horizontal="center"/>
    </xf>
    <xf numFmtId="171" fontId="8" fillId="0" borderId="0" xfId="0" applyNumberFormat="1" applyFont="1" applyAlignment="1">
      <alignment horizontal="center"/>
    </xf>
    <xf numFmtId="171" fontId="7" fillId="0" borderId="0" xfId="0" applyNumberFormat="1" applyFont="1" applyAlignment="1">
      <alignment horizontal="center"/>
    </xf>
    <xf numFmtId="167" fontId="8" fillId="0" borderId="0" xfId="0" applyNumberFormat="1" applyFont="1" applyAlignment="1">
      <alignment horizontal="center"/>
    </xf>
    <xf numFmtId="167" fontId="7" fillId="0" borderId="0" xfId="0" applyNumberFormat="1" applyFont="1" applyAlignment="1">
      <alignment horizontal="center"/>
    </xf>
    <xf numFmtId="0" fontId="15" fillId="0" borderId="1" xfId="0" applyFont="1" applyBorder="1" applyAlignment="1">
      <alignment horizontal="center"/>
    </xf>
    <xf numFmtId="167" fontId="15" fillId="0" borderId="1" xfId="0" applyNumberFormat="1" applyFont="1" applyBorder="1" applyAlignment="1">
      <alignment horizontal="center"/>
    </xf>
    <xf numFmtId="164" fontId="15" fillId="0" borderId="1" xfId="0" applyNumberFormat="1" applyFont="1" applyBorder="1" applyAlignment="1">
      <alignment horizontal="center"/>
    </xf>
    <xf numFmtId="0" fontId="7" fillId="0" borderId="2" xfId="0" applyFont="1" applyBorder="1" applyAlignment="1">
      <alignment horizontal="center"/>
    </xf>
    <xf numFmtId="167" fontId="7" fillId="0" borderId="3" xfId="0" applyNumberFormat="1" applyFont="1" applyBorder="1" applyAlignment="1">
      <alignment horizontal="center"/>
    </xf>
    <xf numFmtId="0" fontId="7" fillId="0" borderId="3" xfId="0" applyFont="1" applyBorder="1"/>
    <xf numFmtId="164" fontId="7" fillId="0" borderId="3" xfId="0" applyNumberFormat="1" applyFont="1" applyBorder="1" applyAlignment="1">
      <alignment horizontal="center"/>
    </xf>
    <xf numFmtId="0" fontId="0" fillId="0" borderId="0" xfId="0" applyAlignment="1">
      <alignment horizontal="center"/>
    </xf>
    <xf numFmtId="172" fontId="0" fillId="0" borderId="0" xfId="0" applyNumberFormat="1"/>
    <xf numFmtId="0" fontId="6" fillId="0" borderId="0" xfId="0" applyFont="1"/>
    <xf numFmtId="0" fontId="6" fillId="0" borderId="0" xfId="0" applyFont="1" applyAlignment="1">
      <alignment horizontal="right"/>
    </xf>
    <xf numFmtId="0" fontId="0" fillId="0" borderId="0" xfId="0" applyAlignment="1">
      <alignment wrapText="1"/>
    </xf>
    <xf numFmtId="0" fontId="0" fillId="0" borderId="0" xfId="0" applyAlignment="1">
      <alignment horizontal="left"/>
    </xf>
    <xf numFmtId="0" fontId="5" fillId="0" borderId="0" xfId="0" applyFont="1"/>
    <xf numFmtId="0" fontId="7" fillId="2" borderId="0" xfId="0" applyFont="1" applyFill="1" applyAlignment="1">
      <alignment wrapText="1"/>
    </xf>
    <xf numFmtId="0" fontId="15" fillId="3" borderId="4" xfId="0" applyFont="1" applyFill="1" applyBorder="1" applyAlignment="1">
      <alignment horizontal="center" wrapText="1"/>
    </xf>
    <xf numFmtId="0" fontId="7" fillId="2" borderId="0" xfId="0" applyFont="1" applyFill="1" applyAlignment="1">
      <alignment horizontal="left" vertical="center" wrapText="1"/>
    </xf>
    <xf numFmtId="0" fontId="4" fillId="0" borderId="0" xfId="0" applyFont="1" applyAlignment="1">
      <alignment horizontal="center"/>
    </xf>
    <xf numFmtId="0" fontId="4" fillId="0" borderId="0" xfId="0" applyFont="1"/>
    <xf numFmtId="168" fontId="4" fillId="0" borderId="0" xfId="0" applyNumberFormat="1" applyFont="1" applyAlignment="1">
      <alignment horizontal="center"/>
    </xf>
    <xf numFmtId="169" fontId="4" fillId="0" borderId="0" xfId="0" applyNumberFormat="1" applyFont="1" applyAlignment="1">
      <alignment horizontal="center"/>
    </xf>
    <xf numFmtId="170" fontId="4" fillId="0" borderId="0" xfId="0" applyNumberFormat="1" applyFont="1" applyAlignment="1">
      <alignment horizontal="center"/>
    </xf>
    <xf numFmtId="171" fontId="4" fillId="0" borderId="0" xfId="0" applyNumberFormat="1" applyFont="1" applyAlignment="1">
      <alignment horizontal="center"/>
    </xf>
    <xf numFmtId="165" fontId="4" fillId="0" borderId="0" xfId="0" applyNumberFormat="1" applyFont="1" applyAlignment="1">
      <alignment horizontal="center"/>
    </xf>
    <xf numFmtId="164" fontId="4" fillId="0" borderId="0" xfId="0" applyNumberFormat="1" applyFont="1" applyAlignment="1">
      <alignment horizontal="center"/>
    </xf>
    <xf numFmtId="0" fontId="17" fillId="0" borderId="0" xfId="0" applyFont="1"/>
    <xf numFmtId="167" fontId="17" fillId="0" borderId="0" xfId="0" applyNumberFormat="1" applyFont="1" applyAlignment="1">
      <alignment horizontal="center"/>
    </xf>
    <xf numFmtId="14" fontId="19" fillId="0" borderId="0" xfId="0" applyNumberFormat="1" applyFont="1" applyAlignment="1">
      <alignment horizontal="center"/>
    </xf>
    <xf numFmtId="2" fontId="17" fillId="0" borderId="0" xfId="0" applyNumberFormat="1" applyFont="1"/>
    <xf numFmtId="0" fontId="18" fillId="0" borderId="5" xfId="0" applyFont="1" applyBorder="1" applyAlignment="1">
      <alignment horizontal="center"/>
    </xf>
    <xf numFmtId="0" fontId="10" fillId="0" borderId="0" xfId="0" pivotButton="1" applyFont="1"/>
    <xf numFmtId="0" fontId="5" fillId="0" borderId="0" xfId="0" pivotButton="1" applyFont="1"/>
    <xf numFmtId="14" fontId="5" fillId="0" borderId="0" xfId="0" applyNumberFormat="1" applyFont="1" applyAlignment="1">
      <alignment horizontal="left"/>
    </xf>
    <xf numFmtId="0" fontId="21" fillId="0" borderId="0" xfId="0" pivotButton="1" applyFont="1"/>
    <xf numFmtId="0" fontId="21" fillId="0" borderId="0" xfId="0" applyFont="1"/>
    <xf numFmtId="0" fontId="3" fillId="0" borderId="0" xfId="0" applyFont="1"/>
    <xf numFmtId="0" fontId="15" fillId="0" borderId="0" xfId="0" applyFont="1"/>
    <xf numFmtId="0" fontId="15" fillId="0" borderId="0" xfId="0" applyFont="1" applyAlignment="1">
      <alignment horizontal="center"/>
    </xf>
    <xf numFmtId="0" fontId="3" fillId="0" borderId="0" xfId="0" applyFont="1" applyAlignment="1">
      <alignment horizontal="center"/>
    </xf>
    <xf numFmtId="167" fontId="3" fillId="0" borderId="0" xfId="0" applyNumberFormat="1" applyFont="1"/>
    <xf numFmtId="0" fontId="15" fillId="0" borderId="0" xfId="0" applyFont="1" applyAlignment="1">
      <alignment horizontal="center" wrapText="1"/>
    </xf>
    <xf numFmtId="167" fontId="15" fillId="0" borderId="0" xfId="0" applyNumberFormat="1" applyFont="1" applyAlignment="1">
      <alignment horizontal="center" wrapText="1"/>
    </xf>
    <xf numFmtId="0" fontId="3" fillId="0" borderId="0" xfId="0" applyFont="1" applyAlignment="1">
      <alignment horizontal="center" wrapText="1"/>
    </xf>
    <xf numFmtId="166" fontId="3" fillId="0" borderId="0" xfId="0" applyNumberFormat="1" applyFont="1" applyAlignment="1">
      <alignment horizontal="center"/>
    </xf>
    <xf numFmtId="173" fontId="3" fillId="0" borderId="0" xfId="0" applyNumberFormat="1" applyFont="1" applyAlignment="1">
      <alignment horizontal="center"/>
    </xf>
    <xf numFmtId="14" fontId="3" fillId="0" borderId="0" xfId="0" applyNumberFormat="1" applyFont="1" applyAlignment="1">
      <alignment horizontal="center"/>
    </xf>
    <xf numFmtId="44" fontId="3" fillId="0" borderId="0" xfId="1" applyFont="1"/>
    <xf numFmtId="0" fontId="3" fillId="0" borderId="0" xfId="0" pivotButton="1" applyFont="1"/>
    <xf numFmtId="14" fontId="3" fillId="0" borderId="0" xfId="0" applyNumberFormat="1" applyFont="1" applyAlignment="1">
      <alignment horizontal="left"/>
    </xf>
    <xf numFmtId="167" fontId="3" fillId="0" borderId="0" xfId="0" applyNumberFormat="1" applyFont="1" applyAlignment="1">
      <alignment horizontal="center"/>
    </xf>
    <xf numFmtId="168" fontId="3" fillId="0" borderId="0" xfId="0" applyNumberFormat="1" applyFont="1" applyAlignment="1">
      <alignment horizontal="center"/>
    </xf>
    <xf numFmtId="169" fontId="3" fillId="0" borderId="0" xfId="0" applyNumberFormat="1" applyFont="1" applyAlignment="1">
      <alignment horizontal="center"/>
    </xf>
    <xf numFmtId="170" fontId="3" fillId="0" borderId="0" xfId="0" applyNumberFormat="1" applyFont="1" applyAlignment="1">
      <alignment horizontal="center"/>
    </xf>
    <xf numFmtId="171" fontId="3" fillId="0" borderId="0" xfId="0" applyNumberFormat="1" applyFont="1" applyAlignment="1">
      <alignment horizontal="center"/>
    </xf>
    <xf numFmtId="0" fontId="3" fillId="4" borderId="0" xfId="0" applyFont="1" applyFill="1" applyAlignment="1">
      <alignment horizontal="center"/>
    </xf>
    <xf numFmtId="167" fontId="3" fillId="4" borderId="0" xfId="0" applyNumberFormat="1" applyFont="1" applyFill="1" applyAlignment="1">
      <alignment horizontal="center"/>
    </xf>
    <xf numFmtId="0" fontId="3" fillId="4" borderId="0" xfId="0" applyFont="1" applyFill="1"/>
    <xf numFmtId="168" fontId="3" fillId="4" borderId="0" xfId="0" applyNumberFormat="1" applyFont="1" applyFill="1" applyAlignment="1">
      <alignment horizontal="center"/>
    </xf>
    <xf numFmtId="169" fontId="3" fillId="4" borderId="0" xfId="0" applyNumberFormat="1" applyFont="1" applyFill="1" applyAlignment="1">
      <alignment horizontal="center"/>
    </xf>
    <xf numFmtId="170" fontId="3" fillId="4" borderId="0" xfId="0" applyNumberFormat="1" applyFont="1" applyFill="1" applyAlignment="1">
      <alignment horizontal="center"/>
    </xf>
    <xf numFmtId="171" fontId="3" fillId="4" borderId="0" xfId="0" applyNumberFormat="1" applyFont="1" applyFill="1" applyAlignment="1">
      <alignment horizontal="center"/>
    </xf>
    <xf numFmtId="0" fontId="0" fillId="4" borderId="0" xfId="0" applyFill="1"/>
    <xf numFmtId="0" fontId="2" fillId="0" borderId="0" xfId="0" applyFont="1"/>
    <xf numFmtId="0" fontId="2" fillId="0" borderId="0" xfId="0" applyFont="1" applyAlignment="1">
      <alignment horizontal="center"/>
    </xf>
    <xf numFmtId="44" fontId="2" fillId="0" borderId="0" xfId="1" applyFont="1"/>
    <xf numFmtId="0" fontId="23" fillId="0" borderId="0" xfId="0" applyFont="1"/>
    <xf numFmtId="0" fontId="11" fillId="0" borderId="0" xfId="0" applyFont="1" applyAlignment="1">
      <alignment horizontal="center"/>
    </xf>
    <xf numFmtId="0" fontId="14" fillId="0" borderId="0" xfId="0" applyFont="1" applyAlignment="1">
      <alignment horizontal="center"/>
    </xf>
    <xf numFmtId="0" fontId="3" fillId="0" borderId="0" xfId="0" applyFont="1" applyAlignment="1">
      <alignment wrapText="1"/>
    </xf>
    <xf numFmtId="0" fontId="1" fillId="0" borderId="3" xfId="0" applyFont="1" applyFill="1" applyBorder="1" applyAlignment="1">
      <alignment horizontal="left" wrapText="1"/>
    </xf>
    <xf numFmtId="167" fontId="1" fillId="0" borderId="3" xfId="0" applyNumberFormat="1" applyFont="1" applyFill="1" applyBorder="1" applyAlignment="1">
      <alignment horizontal="left" wrapText="1"/>
    </xf>
    <xf numFmtId="44" fontId="1" fillId="0" borderId="3" xfId="1" applyNumberFormat="1" applyFont="1" applyFill="1" applyBorder="1" applyAlignment="1">
      <alignment horizontal="left" wrapText="1"/>
    </xf>
    <xf numFmtId="0" fontId="0" fillId="0" borderId="0" xfId="0" applyNumberFormat="1"/>
    <xf numFmtId="0" fontId="10" fillId="0" borderId="0" xfId="0" applyNumberFormat="1" applyFont="1"/>
    <xf numFmtId="0" fontId="5" fillId="0" borderId="0" xfId="0" applyFont="1" applyAlignment="1">
      <alignment horizontal="right"/>
    </xf>
    <xf numFmtId="0" fontId="3" fillId="0" borderId="0" xfId="0" applyFont="1" applyFill="1" applyAlignment="1">
      <alignment horizontal="center"/>
    </xf>
    <xf numFmtId="167" fontId="3" fillId="0" borderId="0" xfId="0" applyNumberFormat="1" applyFont="1" applyFill="1" applyAlignment="1">
      <alignment horizontal="center"/>
    </xf>
    <xf numFmtId="0" fontId="3" fillId="0" borderId="0" xfId="0" applyFont="1" applyFill="1"/>
    <xf numFmtId="168" fontId="3" fillId="0" borderId="0" xfId="0" applyNumberFormat="1" applyFont="1" applyFill="1" applyAlignment="1">
      <alignment horizontal="center"/>
    </xf>
    <xf numFmtId="169" fontId="3" fillId="0" borderId="0" xfId="0" applyNumberFormat="1" applyFont="1" applyFill="1" applyAlignment="1">
      <alignment horizontal="center"/>
    </xf>
    <xf numFmtId="170" fontId="3" fillId="0" borderId="0" xfId="0" applyNumberFormat="1" applyFont="1" applyFill="1" applyAlignment="1">
      <alignment horizontal="center"/>
    </xf>
    <xf numFmtId="171" fontId="3" fillId="0" borderId="0" xfId="0" applyNumberFormat="1" applyFont="1" applyFill="1" applyAlignment="1">
      <alignment horizontal="center"/>
    </xf>
    <xf numFmtId="0" fontId="0" fillId="0" borderId="0" xfId="0" applyFill="1"/>
    <xf numFmtId="0" fontId="7" fillId="0" borderId="0" xfId="0" applyFont="1" applyFill="1"/>
    <xf numFmtId="0" fontId="1" fillId="0" borderId="0" xfId="0" applyFont="1"/>
    <xf numFmtId="167" fontId="1" fillId="0" borderId="0" xfId="0" applyNumberFormat="1" applyFont="1"/>
    <xf numFmtId="44" fontId="1" fillId="0" borderId="0" xfId="1" applyFont="1"/>
    <xf numFmtId="0" fontId="15" fillId="0" borderId="0" xfId="0" applyFont="1" applyBorder="1" applyAlignment="1">
      <alignment horizontal="center"/>
    </xf>
    <xf numFmtId="0" fontId="1" fillId="6" borderId="8" xfId="0" applyFont="1" applyFill="1" applyBorder="1"/>
    <xf numFmtId="0" fontId="1" fillId="6" borderId="10" xfId="0" applyFont="1" applyFill="1" applyBorder="1"/>
    <xf numFmtId="167" fontId="1" fillId="6" borderId="10" xfId="0" applyNumberFormat="1" applyFont="1" applyFill="1" applyBorder="1"/>
    <xf numFmtId="44" fontId="1" fillId="6" borderId="10" xfId="1" applyNumberFormat="1" applyFont="1" applyFill="1" applyBorder="1"/>
    <xf numFmtId="0" fontId="1" fillId="6" borderId="11" xfId="0" applyFont="1" applyFill="1" applyBorder="1"/>
    <xf numFmtId="0" fontId="1" fillId="0" borderId="12" xfId="0" applyFont="1" applyBorder="1"/>
    <xf numFmtId="0" fontId="1" fillId="0" borderId="7" xfId="0" applyFont="1" applyBorder="1"/>
    <xf numFmtId="167" fontId="1" fillId="0" borderId="7" xfId="0" applyNumberFormat="1" applyFont="1" applyBorder="1"/>
    <xf numFmtId="44" fontId="1" fillId="0" borderId="7" xfId="1" applyNumberFormat="1" applyFont="1" applyBorder="1"/>
    <xf numFmtId="0" fontId="1" fillId="0" borderId="6" xfId="0" applyFont="1" applyBorder="1"/>
    <xf numFmtId="0" fontId="3" fillId="0" borderId="0" xfId="0" applyFont="1" applyAlignment="1"/>
    <xf numFmtId="0" fontId="1" fillId="5" borderId="13" xfId="0" applyFont="1" applyFill="1" applyBorder="1" applyAlignment="1">
      <alignment horizontal="left"/>
    </xf>
    <xf numFmtId="0" fontId="1" fillId="0" borderId="14" xfId="0" applyFont="1" applyBorder="1" applyAlignment="1">
      <alignment horizontal="left"/>
    </xf>
    <xf numFmtId="167" fontId="1" fillId="5" borderId="14" xfId="0" applyNumberFormat="1" applyFont="1" applyFill="1" applyBorder="1" applyAlignment="1">
      <alignment horizontal="left"/>
    </xf>
    <xf numFmtId="0" fontId="1" fillId="5" borderId="14" xfId="0" applyFont="1" applyFill="1" applyBorder="1" applyAlignment="1">
      <alignment horizontal="left"/>
    </xf>
    <xf numFmtId="44" fontId="1" fillId="0" borderId="14" xfId="1" applyNumberFormat="1" applyFont="1" applyBorder="1" applyAlignment="1">
      <alignment horizontal="left"/>
    </xf>
    <xf numFmtId="0" fontId="1" fillId="0" borderId="15" xfId="0" applyFont="1" applyBorder="1" applyAlignment="1">
      <alignment horizontal="left" wrapText="1"/>
    </xf>
    <xf numFmtId="0" fontId="1" fillId="5" borderId="16" xfId="0" applyFont="1" applyFill="1" applyBorder="1" applyAlignment="1">
      <alignment horizontal="left"/>
    </xf>
    <xf numFmtId="0" fontId="1" fillId="0" borderId="17" xfId="0" applyFont="1" applyBorder="1" applyAlignment="1">
      <alignment horizontal="left"/>
    </xf>
    <xf numFmtId="167" fontId="1" fillId="5" borderId="17" xfId="0" applyNumberFormat="1" applyFont="1" applyFill="1" applyBorder="1" applyAlignment="1">
      <alignment horizontal="left"/>
    </xf>
    <xf numFmtId="0" fontId="1" fillId="5" borderId="17" xfId="0" applyFont="1" applyFill="1" applyBorder="1" applyAlignment="1">
      <alignment horizontal="left"/>
    </xf>
    <xf numFmtId="0" fontId="1" fillId="5" borderId="17" xfId="0" applyFont="1" applyFill="1" applyBorder="1" applyAlignment="1">
      <alignment horizontal="left" vertical="center"/>
    </xf>
    <xf numFmtId="44" fontId="1" fillId="0" borderId="17" xfId="1" applyNumberFormat="1" applyFont="1" applyBorder="1" applyAlignment="1">
      <alignment horizontal="left"/>
    </xf>
    <xf numFmtId="0" fontId="1" fillId="0" borderId="18" xfId="0" applyFont="1" applyBorder="1" applyAlignment="1">
      <alignment horizontal="left"/>
    </xf>
    <xf numFmtId="0" fontId="15" fillId="5" borderId="19" xfId="0" applyFont="1" applyFill="1" applyBorder="1" applyAlignment="1">
      <alignment horizontal="right"/>
    </xf>
    <xf numFmtId="0" fontId="15" fillId="0" borderId="20" xfId="0" applyFont="1" applyBorder="1" applyAlignment="1">
      <alignment horizontal="right"/>
    </xf>
    <xf numFmtId="0" fontId="15" fillId="5" borderId="20" xfId="0" applyFont="1" applyFill="1" applyBorder="1" applyAlignment="1">
      <alignment horizontal="right"/>
    </xf>
    <xf numFmtId="0" fontId="15" fillId="5" borderId="20" xfId="0" applyFont="1" applyFill="1" applyBorder="1" applyAlignment="1">
      <alignment horizontal="right" vertical="center"/>
    </xf>
    <xf numFmtId="0" fontId="15" fillId="0" borderId="21" xfId="0" applyFont="1" applyBorder="1" applyAlignment="1">
      <alignment horizontal="right" vertical="center"/>
    </xf>
    <xf numFmtId="0" fontId="25" fillId="0" borderId="0" xfId="0" pivotButton="1" applyFont="1"/>
    <xf numFmtId="0" fontId="25" fillId="0" borderId="0" xfId="0" applyFont="1"/>
    <xf numFmtId="0" fontId="25" fillId="0" borderId="0" xfId="0" applyNumberFormat="1" applyFont="1"/>
    <xf numFmtId="0" fontId="1" fillId="0" borderId="0" xfId="0" pivotButton="1" applyFont="1"/>
    <xf numFmtId="0" fontId="1" fillId="0" borderId="0" xfId="0" applyNumberFormat="1" applyFont="1"/>
    <xf numFmtId="0" fontId="1" fillId="0" borderId="0" xfId="0" pivotButton="1" applyFont="1" applyAlignment="1">
      <alignment horizontal="center"/>
    </xf>
    <xf numFmtId="0" fontId="1" fillId="0" borderId="0" xfId="0" pivotButton="1" applyFont="1" applyAlignment="1"/>
    <xf numFmtId="0" fontId="1" fillId="0" borderId="0" xfId="0" applyFont="1" applyAlignment="1"/>
    <xf numFmtId="173" fontId="0" fillId="0" borderId="0" xfId="0" applyNumberFormat="1"/>
    <xf numFmtId="168" fontId="0" fillId="0" borderId="0" xfId="0" applyNumberFormat="1"/>
    <xf numFmtId="167" fontId="0" fillId="0" borderId="0" xfId="0" applyNumberFormat="1"/>
    <xf numFmtId="0" fontId="20" fillId="0" borderId="0" xfId="0" pivotButton="1" applyFont="1" applyAlignment="1">
      <alignment wrapText="1"/>
    </xf>
    <xf numFmtId="0" fontId="8" fillId="0" borderId="0" xfId="0" pivotButton="1" applyFont="1" applyAlignment="1">
      <alignment horizontal="center"/>
    </xf>
    <xf numFmtId="0" fontId="25" fillId="0" borderId="0" xfId="0" applyFont="1" applyAlignment="1">
      <alignment horizontal="right"/>
    </xf>
    <xf numFmtId="0" fontId="5" fillId="0" borderId="0" xfId="0" applyFont="1" applyFill="1" applyAlignment="1">
      <alignment horizontal="right"/>
    </xf>
    <xf numFmtId="0" fontId="5" fillId="0" borderId="0" xfId="0" applyNumberFormat="1" applyFont="1"/>
    <xf numFmtId="0" fontId="3" fillId="0" borderId="0" xfId="0" applyNumberFormat="1" applyFont="1"/>
    <xf numFmtId="0" fontId="3" fillId="4" borderId="0" xfId="0" applyNumberFormat="1" applyFont="1" applyFill="1"/>
    <xf numFmtId="0" fontId="3" fillId="0" borderId="0" xfId="0" applyNumberFormat="1" applyFont="1" applyFill="1"/>
    <xf numFmtId="172" fontId="3" fillId="0" borderId="0" xfId="0" applyNumberFormat="1" applyFont="1" applyAlignment="1">
      <alignment horizontal="center"/>
    </xf>
    <xf numFmtId="172" fontId="3" fillId="4" borderId="0" xfId="0" applyNumberFormat="1" applyFont="1" applyFill="1" applyAlignment="1">
      <alignment horizontal="center"/>
    </xf>
    <xf numFmtId="172" fontId="3" fillId="0" borderId="0" xfId="0" applyNumberFormat="1" applyFont="1" applyFill="1" applyAlignment="1">
      <alignment horizontal="center"/>
    </xf>
    <xf numFmtId="0" fontId="15" fillId="0" borderId="23" xfId="0" applyFont="1" applyBorder="1" applyAlignment="1">
      <alignment horizontal="right"/>
    </xf>
    <xf numFmtId="0" fontId="15" fillId="0" borderId="24" xfId="0" applyFont="1" applyBorder="1" applyAlignment="1">
      <alignment horizontal="right"/>
    </xf>
    <xf numFmtId="0" fontId="1" fillId="5" borderId="25" xfId="0" applyFont="1" applyFill="1" applyBorder="1" applyAlignment="1">
      <alignment horizontal="left"/>
    </xf>
    <xf numFmtId="0" fontId="1" fillId="0" borderId="26" xfId="0" applyFont="1" applyBorder="1" applyAlignment="1">
      <alignment horizontal="left"/>
    </xf>
    <xf numFmtId="167" fontId="1" fillId="5" borderId="26" xfId="0" applyNumberFormat="1" applyFont="1" applyFill="1" applyBorder="1" applyAlignment="1">
      <alignment horizontal="left"/>
    </xf>
    <xf numFmtId="0" fontId="1" fillId="5" borderId="26" xfId="0" applyFont="1" applyFill="1" applyBorder="1" applyAlignment="1">
      <alignment horizontal="left"/>
    </xf>
    <xf numFmtId="0" fontId="1" fillId="5" borderId="26" xfId="0" applyFont="1" applyFill="1" applyBorder="1" applyAlignment="1">
      <alignment horizontal="left" vertical="center"/>
    </xf>
    <xf numFmtId="44" fontId="1" fillId="0" borderId="26" xfId="1" applyNumberFormat="1" applyFont="1" applyBorder="1" applyAlignment="1">
      <alignment horizontal="left"/>
    </xf>
    <xf numFmtId="0" fontId="1" fillId="0" borderId="27" xfId="0" applyFont="1" applyBorder="1" applyAlignment="1">
      <alignment horizontal="left"/>
    </xf>
    <xf numFmtId="0" fontId="15" fillId="5" borderId="28" xfId="0" applyFont="1" applyFill="1" applyBorder="1" applyAlignment="1">
      <alignment horizontal="right"/>
    </xf>
    <xf numFmtId="0" fontId="15" fillId="0" borderId="29" xfId="0" applyFont="1" applyBorder="1" applyAlignment="1">
      <alignment horizontal="right"/>
    </xf>
    <xf numFmtId="0" fontId="15" fillId="5" borderId="29" xfId="0" applyFont="1" applyFill="1" applyBorder="1" applyAlignment="1">
      <alignment horizontal="right"/>
    </xf>
    <xf numFmtId="0" fontId="15" fillId="5" borderId="29" xfId="0" applyFont="1" applyFill="1" applyBorder="1" applyAlignment="1">
      <alignment horizontal="right" vertical="center"/>
    </xf>
    <xf numFmtId="0" fontId="15" fillId="0" borderId="30" xfId="0" applyFont="1" applyBorder="1" applyAlignment="1">
      <alignment horizontal="right"/>
    </xf>
    <xf numFmtId="0" fontId="24" fillId="0" borderId="9" xfId="0" applyFont="1" applyBorder="1" applyAlignment="1">
      <alignment horizontal="right"/>
    </xf>
    <xf numFmtId="0" fontId="1" fillId="0" borderId="31" xfId="0" applyFont="1" applyFill="1" applyBorder="1" applyAlignment="1">
      <alignment horizontal="left"/>
    </xf>
    <xf numFmtId="0" fontId="1" fillId="0" borderId="32" xfId="0" applyFont="1" applyFill="1" applyBorder="1" applyAlignment="1">
      <alignment horizontal="left" wrapText="1"/>
    </xf>
    <xf numFmtId="0" fontId="1" fillId="0" borderId="33" xfId="0" applyFont="1" applyFill="1" applyBorder="1" applyAlignment="1">
      <alignment horizontal="left"/>
    </xf>
    <xf numFmtId="0" fontId="1" fillId="0" borderId="34" xfId="0" applyFont="1" applyFill="1" applyBorder="1" applyAlignment="1">
      <alignment horizontal="left" wrapText="1"/>
    </xf>
    <xf numFmtId="0" fontId="1" fillId="0" borderId="35" xfId="0" applyFont="1" applyFill="1" applyBorder="1" applyAlignment="1">
      <alignment horizontal="left" wrapText="1"/>
    </xf>
    <xf numFmtId="0" fontId="15" fillId="0" borderId="22" xfId="0" applyFont="1" applyBorder="1" applyAlignment="1">
      <alignment horizontal="right"/>
    </xf>
    <xf numFmtId="0" fontId="15" fillId="0" borderId="23" xfId="0" applyFont="1" applyBorder="1" applyAlignment="1">
      <alignment horizontal="right" vertical="center"/>
    </xf>
    <xf numFmtId="0" fontId="1" fillId="0" borderId="36" xfId="0" applyFont="1" applyFill="1" applyBorder="1" applyAlignment="1">
      <alignment horizontal="left"/>
    </xf>
    <xf numFmtId="0" fontId="1" fillId="0" borderId="37" xfId="0" applyFont="1" applyFill="1" applyBorder="1" applyAlignment="1">
      <alignment horizontal="left"/>
    </xf>
    <xf numFmtId="167" fontId="1" fillId="0" borderId="37" xfId="0" applyNumberFormat="1" applyFont="1" applyFill="1" applyBorder="1" applyAlignment="1">
      <alignment horizontal="left"/>
    </xf>
    <xf numFmtId="0" fontId="1" fillId="0" borderId="37" xfId="0" applyFont="1" applyFill="1" applyBorder="1" applyAlignment="1">
      <alignment horizontal="left" vertical="center"/>
    </xf>
    <xf numFmtId="44" fontId="1" fillId="0" borderId="37" xfId="1" applyNumberFormat="1" applyFont="1" applyFill="1" applyBorder="1" applyAlignment="1">
      <alignment horizontal="left"/>
    </xf>
    <xf numFmtId="0" fontId="1" fillId="0" borderId="38" xfId="0" applyFont="1" applyFill="1" applyBorder="1" applyAlignment="1">
      <alignment horizontal="left"/>
    </xf>
    <xf numFmtId="0" fontId="1" fillId="0" borderId="39" xfId="0" applyFont="1" applyFill="1" applyBorder="1" applyAlignment="1">
      <alignment horizontal="left"/>
    </xf>
    <xf numFmtId="0" fontId="1" fillId="0" borderId="40" xfId="0" applyFont="1" applyFill="1" applyBorder="1" applyAlignment="1">
      <alignment horizontal="left"/>
    </xf>
    <xf numFmtId="167" fontId="1" fillId="0" borderId="40" xfId="0" applyNumberFormat="1" applyFont="1" applyFill="1" applyBorder="1" applyAlignment="1">
      <alignment horizontal="left"/>
    </xf>
    <xf numFmtId="0" fontId="1" fillId="0" borderId="40" xfId="0" applyFont="1" applyFill="1" applyBorder="1" applyAlignment="1">
      <alignment horizontal="left" vertical="center"/>
    </xf>
    <xf numFmtId="44" fontId="1" fillId="0" borderId="40" xfId="1" applyNumberFormat="1" applyFont="1" applyFill="1" applyBorder="1" applyAlignment="1">
      <alignment horizontal="left"/>
    </xf>
    <xf numFmtId="0" fontId="1" fillId="0" borderId="41" xfId="0" applyFont="1" applyFill="1" applyBorder="1" applyAlignment="1">
      <alignment horizontal="left"/>
    </xf>
  </cellXfs>
  <cellStyles count="2">
    <cellStyle name="Currency" xfId="1" builtinId="4"/>
    <cellStyle name="Normal" xfId="0" builtinId="0"/>
  </cellStyles>
  <dxfs count="946">
    <dxf>
      <font>
        <b val="0"/>
        <i val="0"/>
        <strike val="0"/>
        <condense val="0"/>
        <extend val="0"/>
        <outline val="0"/>
        <shadow val="0"/>
        <u val="none"/>
        <vertAlign val="baseline"/>
        <sz val="12"/>
        <color theme="1"/>
        <name val="Aptos Narrow"/>
        <family val="2"/>
        <scheme val="none"/>
      </font>
      <fill>
        <patternFill patternType="none">
          <fgColor indexed="64"/>
          <bgColor indexed="65"/>
        </patternFill>
      </fill>
      <alignment horizontal="left" vertical="bottom" textRotation="0" wrapText="0" indent="0" justifyLastLine="0" shrinkToFit="0" readingOrder="0"/>
      <border diagonalUp="0" diagonalDown="0">
        <left style="thin">
          <color rgb="FF513E80"/>
        </left>
        <right style="medium">
          <color theme="1"/>
        </right>
        <top style="thin">
          <color theme="1"/>
        </top>
        <bottom style="thin">
          <color theme="1"/>
        </bottom>
        <vertical/>
        <horizontal style="thin">
          <color theme="1"/>
        </horizontal>
      </border>
    </dxf>
    <dxf>
      <font>
        <b val="0"/>
        <i val="0"/>
        <strike val="0"/>
        <condense val="0"/>
        <extend val="0"/>
        <outline val="0"/>
        <shadow val="0"/>
        <u val="none"/>
        <vertAlign val="baseline"/>
        <sz val="12"/>
        <color theme="1"/>
        <name val="Aptos Narrow"/>
        <family val="2"/>
        <scheme val="none"/>
      </font>
      <fill>
        <patternFill patternType="none">
          <fgColor indexed="64"/>
          <bgColor indexed="65"/>
        </patternFill>
      </fill>
      <alignment horizontal="left" vertical="bottom" textRotation="0" wrapText="1" indent="0" justifyLastLine="0" shrinkToFit="0" readingOrder="0"/>
      <border diagonalUp="0" diagonalDown="0">
        <left style="thin">
          <color rgb="FF513E80"/>
        </left>
        <right style="thin">
          <color rgb="FF513E80"/>
        </right>
        <top style="thin">
          <color rgb="FF513E80"/>
        </top>
        <bottom style="thin">
          <color rgb="FF513E80"/>
        </bottom>
        <vertical style="thin">
          <color rgb="FF513E80"/>
        </vertical>
        <horizontal style="thin">
          <color rgb="FF513E80"/>
        </horizontal>
      </border>
    </dxf>
    <dxf>
      <font>
        <b val="0"/>
        <i val="0"/>
        <strike val="0"/>
        <condense val="0"/>
        <extend val="0"/>
        <outline val="0"/>
        <shadow val="0"/>
        <u val="none"/>
        <vertAlign val="baseline"/>
        <sz val="12"/>
        <color theme="1"/>
        <name val="Aptos Narrow"/>
        <family val="2"/>
        <scheme val="none"/>
      </font>
      <fill>
        <patternFill patternType="none">
          <fgColor indexed="64"/>
          <bgColor indexed="65"/>
        </patternFill>
      </fill>
      <alignment horizontal="left" vertical="bottom" textRotation="0" wrapText="0" indent="0" justifyLastLine="0" shrinkToFit="0" readingOrder="0"/>
      <border diagonalUp="0" diagonalDown="0">
        <left style="medium">
          <color indexed="64"/>
        </left>
        <right style="thin">
          <color rgb="FF513E80"/>
        </right>
        <top style="thin">
          <color rgb="FF513E80"/>
        </top>
        <bottom style="thin">
          <color rgb="FF513E80"/>
        </bottom>
        <vertical style="thin">
          <color rgb="FF513E80"/>
        </vertical>
        <horizontal style="thin">
          <color rgb="FF513E80"/>
        </horizontal>
      </border>
    </dxf>
    <dxf>
      <font>
        <b/>
        <i val="0"/>
        <strike val="0"/>
        <condense val="0"/>
        <extend val="0"/>
        <outline val="0"/>
        <shadow val="0"/>
        <u val="none"/>
        <vertAlign val="baseline"/>
        <sz val="14"/>
        <color theme="1"/>
        <name val="Aptos Narrow"/>
        <family val="2"/>
        <scheme val="none"/>
      </font>
      <alignment horizontal="right" vertical="bottom" textRotation="0" wrapText="0" indent="0" justifyLastLine="0" shrinkToFit="0" readingOrder="0"/>
      <border diagonalUp="0" diagonalDown="0">
        <left style="medium">
          <color indexed="64"/>
        </left>
        <right style="medium">
          <color indexed="64"/>
        </right>
        <top style="thin">
          <color rgb="FF513E80"/>
        </top>
        <bottom style="thin">
          <color rgb="FF513E80"/>
        </bottom>
        <vertical/>
        <horizontal style="thin">
          <color rgb="FF513E80"/>
        </horizontal>
      </border>
    </dxf>
    <dxf>
      <font>
        <b/>
        <i val="0"/>
      </font>
      <fill>
        <patternFill>
          <bgColor rgb="FFFFFF99"/>
        </patternFill>
      </fil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numFmt numFmtId="166" formatCode="ddd"/>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numFmt numFmtId="0" formatCode="Genera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1" formatCode="mm/dd/yy\ hh:m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0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2" formatCode="[$-F400]h:mm:ss\ AM/P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2" formatCode="[$-F400]h:mm:ss\ AM/P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2" formatCode="[$-F400]h:mm:ss\ AM/P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168" formatCode="hh:m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rgb="FF000000"/>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numFmt numFmtId="168" formatCode="hh:mm"/>
    </dxf>
    <dxf>
      <numFmt numFmtId="168" formatCode="hh:mm"/>
    </dxf>
    <dxf>
      <numFmt numFmtId="168" formatCode="hh:mm"/>
    </dxf>
    <dxf>
      <numFmt numFmtId="167" formatCode="mm/dd/yy"/>
    </dxf>
    <dxf>
      <numFmt numFmtId="167" formatCode="mm/dd/yy"/>
    </dxf>
    <dxf>
      <numFmt numFmtId="167" formatCode="mm/dd/yy"/>
    </dxf>
    <dxf>
      <numFmt numFmtId="168" formatCode="hh:mm"/>
    </dxf>
    <dxf>
      <numFmt numFmtId="168" formatCode="hh:mm"/>
    </dxf>
    <dxf>
      <numFmt numFmtId="167" formatCode="mm/dd/yy"/>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sz val="8"/>
      </font>
    </dxf>
    <dxf>
      <alignment wrapText="1"/>
    </dxf>
    <dxf>
      <alignment horizontal="center"/>
    </dxf>
    <dxf>
      <alignment horizontal="center"/>
    </dxf>
    <dxf>
      <alignment horizontal="center"/>
    </dxf>
    <dxf>
      <font>
        <sz val="14"/>
      </font>
    </dxf>
    <dxf>
      <font>
        <sz val="14"/>
      </font>
    </dxf>
    <dxf>
      <font>
        <sz val="14"/>
      </font>
    </dxf>
    <dxf>
      <alignment horizontal="righ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fill>
        <patternFill patternType="none">
          <fgColor indexed="64"/>
          <bgColor auto="1"/>
        </patternFill>
      </fill>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alignment horizontal="right"/>
    </dxf>
    <dxf>
      <font>
        <sz val="14"/>
      </font>
    </dxf>
    <dxf>
      <font>
        <sz val="14"/>
      </font>
    </dxf>
    <dxf>
      <font>
        <sz val="14"/>
      </font>
    </dxf>
    <dxf>
      <alignment horizontal="center"/>
    </dxf>
    <dxf>
      <alignment horizontal="center"/>
    </dxf>
    <dxf>
      <alignment horizontal="center"/>
    </dxf>
    <dxf>
      <alignment wrapText="1"/>
    </dxf>
    <dxf>
      <font>
        <sz val="8"/>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numFmt numFmtId="167" formatCode="mm/dd/yy"/>
    </dxf>
    <dxf>
      <numFmt numFmtId="168" formatCode="hh:mm"/>
    </dxf>
    <dxf>
      <numFmt numFmtId="168" formatCode="hh:mm"/>
    </dxf>
    <dxf>
      <numFmt numFmtId="0" formatCode="General"/>
    </dxf>
    <dxf>
      <numFmt numFmtId="27" formatCode="m/d/yyyy\ h:mm"/>
    </dxf>
    <dxf>
      <numFmt numFmtId="172" formatCode="[$-F400]h:mm:ss\ AM/PM"/>
    </dxf>
    <dxf>
      <numFmt numFmtId="19" formatCode="m/d/yyyy"/>
    </dxf>
    <dxf>
      <numFmt numFmtId="172" formatCode="[$-F400]h:mm:ss\ AM/PM"/>
    </dxf>
    <dxf>
      <numFmt numFmtId="19" formatCode="m/d/yyyy"/>
    </dxf>
    <dxf>
      <numFmt numFmtId="172"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164" formatCode="h:mm;@"/>
    </dxf>
    <dxf>
      <numFmt numFmtId="164" formatCode="h:mm;@"/>
    </dxf>
    <dxf>
      <numFmt numFmtId="19" formatCode="m/d/yyyy"/>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border outline="0">
        <bottom style="thin">
          <color rgb="FF513E80"/>
        </bottom>
      </border>
    </dxf>
    <dxf>
      <border outline="0">
        <left style="medium">
          <color rgb="FF513E80"/>
        </left>
        <right style="medium">
          <color rgb="FF513E80"/>
        </right>
        <top style="medium">
          <color rgb="FF513E80"/>
        </top>
        <bottom style="medium">
          <color rgb="FF513E80"/>
        </bottom>
      </border>
    </dxf>
    <dxf>
      <font>
        <b/>
        <i val="0"/>
        <strike val="0"/>
        <condense val="0"/>
        <extend val="0"/>
        <outline val="0"/>
        <shadow val="0"/>
        <u val="none"/>
        <vertAlign val="baseline"/>
        <sz val="14"/>
        <color theme="1"/>
        <name val="Aptos Display"/>
        <family val="2"/>
        <scheme val="none"/>
      </font>
      <numFmt numFmtId="19" formatCode="m/d/yyyy"/>
      <alignment horizontal="center" vertical="bottom" textRotation="0" wrapText="0" indent="0" justifyLastLine="0" shrinkToFit="0" readingOrder="0"/>
    </dxf>
    <dxf>
      <font>
        <b/>
        <i val="0"/>
        <strike val="0"/>
        <condense val="0"/>
        <extend val="0"/>
        <outline val="0"/>
        <shadow val="0"/>
        <u val="none"/>
        <vertAlign val="baseline"/>
        <sz val="14"/>
        <color theme="1"/>
        <name val="Aptos Display"/>
        <family val="2"/>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Aptos Display"/>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27" formatCode="m/d/yyyy\ h:mm"/>
    </dxf>
    <dxf>
      <numFmt numFmtId="0" formatCode="General"/>
    </dxf>
    <dxf>
      <numFmt numFmtId="19" formatCode="m/d/yyyy"/>
    </dxf>
    <dxf>
      <numFmt numFmtId="19" formatCode="m/d/yyyy"/>
    </dxf>
    <dxf>
      <alignment horizontal="center" vertical="bottom" textRotation="0" wrapText="0" indent="0" justifyLastLine="0" shrinkToFit="0" readingOrder="0"/>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19" formatCode="m/d/yyyy"/>
    </dxf>
    <dxf>
      <numFmt numFmtId="0" formatCode="General"/>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19" formatCode="m/d/yyyy"/>
    </dxf>
    <dxf>
      <numFmt numFmtId="0" formatCode="General"/>
    </dxf>
    <dxf>
      <numFmt numFmtId="19" formatCode="m/d/yyyy"/>
    </dxf>
    <dxf>
      <numFmt numFmtId="19" formatCode="m/d/yyyy"/>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i val="0"/>
        <strike val="0"/>
        <condense val="0"/>
        <extend val="0"/>
        <outline val="0"/>
        <shadow val="0"/>
        <u val="none"/>
        <vertAlign val="baseline"/>
        <sz val="14"/>
        <color theme="1"/>
        <name val="Aptos Narrow"/>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z val="12"/>
      </font>
    </dxf>
    <dxf>
      <font>
        <sz val="12"/>
      </font>
    </dxf>
    <dxf>
      <font>
        <sz val="12"/>
      </font>
    </dxf>
    <dxf>
      <font>
        <sz val="12"/>
      </font>
    </dxf>
    <dxf>
      <font>
        <sz val="12"/>
      </font>
    </dxf>
    <dxf>
      <font>
        <sz val="12"/>
      </font>
    </dxf>
    <dxf>
      <font>
        <sz val="12"/>
      </font>
    </dxf>
    <dxf>
      <font>
        <sz val="12"/>
      </font>
    </dxf>
    <dxf>
      <font>
        <sz val="12"/>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numFmt numFmtId="19" formatCode="m/d/yyyy"/>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numFmt numFmtId="19" formatCode="m/d/yyyy"/>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numFmt numFmtId="19" formatCode="m/d/yyyy"/>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8" formatCode="hh:mm"/>
      <alignment horizontal="center"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family val="2"/>
        <scheme val="none"/>
      </font>
      <alignment horizontal="center" vertical="bottom" textRotation="0" indent="0" justifyLastLine="0" shrinkToFit="0" readingOrder="0"/>
    </dxf>
    <dxf>
      <font>
        <b val="0"/>
        <i val="0"/>
        <strike val="0"/>
        <condense val="0"/>
        <extend val="0"/>
        <outline val="0"/>
        <shadow val="0"/>
        <u val="none"/>
        <vertAlign val="baseline"/>
        <sz val="12"/>
        <color theme="1"/>
        <name val="Aptos"/>
        <family val="2"/>
        <scheme val="none"/>
      </font>
      <fill>
        <patternFill patternType="solid">
          <fgColor theme="0" tint="-0.14999847407452621"/>
          <bgColor theme="0" tint="-0.14999847407452621"/>
        </patternFill>
      </fill>
    </dxf>
    <dxf>
      <font>
        <b val="0"/>
        <i val="0"/>
        <strike val="0"/>
        <condense val="0"/>
        <extend val="0"/>
        <outline val="0"/>
        <shadow val="0"/>
        <u val="none"/>
        <vertAlign val="baseline"/>
        <sz val="12"/>
        <color theme="1"/>
        <name val="Aptos"/>
        <family val="2"/>
        <scheme val="none"/>
      </font>
      <fill>
        <patternFill patternType="solid">
          <fgColor theme="0" tint="-0.14999847407452621"/>
          <bgColor theme="0" tint="-0.14999847407452621"/>
        </patternFill>
      </fill>
      <alignment horizontal="right" vertical="bottom" textRotation="0" wrapText="0" indent="0" justifyLastLine="0" shrinkToFit="0" readingOrder="0"/>
    </dxf>
    <dxf>
      <font>
        <b val="0"/>
        <i val="0"/>
        <strike val="0"/>
        <condense val="0"/>
        <extend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trike val="0"/>
        <outline val="0"/>
        <shadow val="0"/>
        <u val="none"/>
        <vertAlign val="baseline"/>
        <sz val="12"/>
        <color rgb="FF000000"/>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1"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1"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fill>
        <patternFill patternType="none">
          <fgColor indexed="64"/>
          <bgColor auto="1"/>
        </patternFill>
      </fill>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horizontal="center"/>
    </dxf>
    <dxf>
      <alignment horizontal="center"/>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numFmt numFmtId="166" formatCode="ddd"/>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66" formatCode="ddd"/>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73" formatCode="mmm"/>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73" formatCode="mmm"/>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i val="0"/>
        <strike val="0"/>
        <condense val="0"/>
        <extend val="0"/>
        <outline val="0"/>
        <shadow val="0"/>
        <u val="none"/>
        <vertAlign val="baseline"/>
        <sz val="14"/>
        <color theme="1"/>
        <name val="Aptos Narrow"/>
        <family val="2"/>
        <scheme val="none"/>
      </font>
      <alignment horizontal="center"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19" formatCode="m/d/yyyy"/>
    </dxf>
    <dxf>
      <numFmt numFmtId="0" formatCode="General"/>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i val="0"/>
        <color theme="1"/>
      </font>
      <border diagonalUp="0" diagonalDown="0">
        <left/>
        <right/>
        <top/>
        <bottom style="medium">
          <color theme="7"/>
        </bottom>
        <vertical/>
        <horizontal/>
      </border>
    </dxf>
    <dxf>
      <font>
        <color theme="1"/>
      </font>
      <border>
        <left style="medium">
          <color theme="7"/>
        </left>
        <right style="medium">
          <color theme="7"/>
        </right>
        <top style="medium">
          <color theme="7"/>
        </top>
        <bottom style="medium">
          <color theme="7"/>
        </bottom>
        <vertical style="thin">
          <color theme="7"/>
        </vertical>
        <horizontal style="thin">
          <color theme="7"/>
        </horizontal>
      </border>
    </dxf>
    <dxf>
      <fill>
        <patternFill patternType="solid">
          <fgColor theme="6" tint="0.79998168889431442"/>
          <bgColor theme="6" tint="0.79998168889431442"/>
        </patternFill>
      </fill>
    </dxf>
    <dxf>
      <fill>
        <patternFill patternType="solid">
          <fgColor theme="6" tint="0.79998168889431442"/>
          <bgColor theme="6" tint="0.79998168889431442"/>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6"/>
        </left>
        <right style="medium">
          <color theme="6"/>
        </right>
        <top style="medium">
          <color theme="6"/>
        </top>
        <bottom style="medium">
          <color theme="6"/>
        </bottom>
        <vertical style="thin">
          <color theme="6"/>
        </vertical>
        <horizontal style="thin">
          <color theme="6"/>
        </horizontal>
      </border>
    </dxf>
    <dxf>
      <fill>
        <patternFill patternType="solid">
          <fgColor theme="6" tint="0.79992065187536243"/>
          <bgColor rgb="FFD3B5E9"/>
        </patternFill>
      </fill>
    </dxf>
    <dxf>
      <fill>
        <patternFill patternType="solid">
          <fgColor theme="6" tint="0.79995117038483843"/>
          <bgColor rgb="FFD3B5E9"/>
        </patternFill>
      </fill>
    </dxf>
    <dxf>
      <font>
        <b/>
        <color theme="1"/>
      </font>
    </dxf>
    <dxf>
      <font>
        <b/>
        <color theme="1"/>
      </font>
    </dxf>
    <dxf>
      <font>
        <b/>
        <color theme="1"/>
      </font>
      <border diagonalUp="0" diagonalDown="0">
        <left/>
        <right/>
        <top style="thick">
          <color rgb="FF513E80"/>
        </top>
        <bottom/>
        <vertical/>
        <horizontal/>
      </border>
    </dxf>
    <dxf>
      <font>
        <b/>
        <color theme="1"/>
      </font>
      <border diagonalUp="0" diagonalDown="0">
        <left/>
        <right/>
        <top/>
        <bottom style="medium">
          <color rgb="FF513E80"/>
        </bottom>
        <vertical/>
        <horizontal/>
      </border>
    </dxf>
    <dxf>
      <font>
        <color theme="1"/>
      </font>
      <border>
        <left style="medium">
          <color rgb="FF513E80"/>
        </left>
        <right style="medium">
          <color rgb="FF513E80"/>
        </right>
        <top style="medium">
          <color rgb="FF513E80"/>
        </top>
        <bottom style="medium">
          <color rgb="FF513E80"/>
        </bottom>
        <vertical style="thin">
          <color rgb="FF513E80"/>
        </vertical>
        <horizontal style="thin">
          <color rgb="FF513E80"/>
        </horizontal>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dxf>
    <dxf>
      <font>
        <b/>
        <color theme="1"/>
      </font>
      <border>
        <top style="double">
          <color theme="5"/>
        </top>
      </border>
    </dxf>
    <dxf>
      <font>
        <b/>
        <i val="0"/>
        <color theme="1"/>
      </font>
      <border diagonalUp="0" diagonalDown="0">
        <left/>
        <right/>
        <top/>
        <bottom style="medium">
          <color theme="5"/>
        </bottom>
        <vertical/>
        <horizontal/>
      </border>
    </dxf>
    <dxf>
      <font>
        <color theme="1"/>
      </font>
      <border>
        <left style="medium">
          <color theme="5"/>
        </left>
        <right style="medium">
          <color theme="5"/>
        </right>
        <top style="medium">
          <color theme="5"/>
        </top>
        <bottom style="medium">
          <color theme="5"/>
        </bottom>
        <vertical style="thin">
          <color theme="5"/>
        </vertical>
        <horizontal style="thin">
          <color theme="5"/>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color theme="1"/>
      </font>
      <border diagonalUp="0" diagonalDown="0">
        <left/>
        <right/>
        <top/>
        <bottom style="medium">
          <color theme="4"/>
        </bottom>
        <vertical/>
        <horizontal/>
      </border>
    </dxf>
    <dxf>
      <font>
        <color theme="1"/>
      </font>
      <border>
        <left style="medium">
          <color theme="4"/>
        </left>
        <right style="medium">
          <color theme="4"/>
        </right>
        <top style="medium">
          <color theme="4"/>
        </top>
        <bottom style="medium">
          <color theme="4"/>
        </bottom>
        <vertical style="thin">
          <color theme="4"/>
        </vertical>
        <horizontal style="thin">
          <color theme="4"/>
        </horizontal>
      </border>
    </dxf>
  </dxfs>
  <tableStyles count="6" defaultTableStyle="TableStyleMedium2" defaultPivotStyle="PivotStyleLight16">
    <tableStyle name="Invisible" pivot="0" table="0" count="0" xr9:uid="{ED64E85C-CF3E-41CC-8B05-D20723E14618}"/>
    <tableStyle name="TableStyleLight16 2" pivot="0" count="7" xr9:uid="{D69CDBB7-032E-49BC-AC54-A31420CE7655}">
      <tableStyleElement type="wholeTable" dxfId="945"/>
      <tableStyleElement type="headerRow" dxfId="944"/>
      <tableStyleElement type="totalRow" dxfId="943"/>
      <tableStyleElement type="firstColumn" dxfId="942"/>
      <tableStyleElement type="lastColumn" dxfId="941"/>
      <tableStyleElement type="firstRowStripe" dxfId="940"/>
      <tableStyleElement type="firstColumnStripe" dxfId="939"/>
    </tableStyle>
    <tableStyle name="TableStyleLight17 2" pivot="0" count="7" xr9:uid="{F0E5CF34-A936-4E2B-86EA-DA714855B9FB}">
      <tableStyleElement type="wholeTable" dxfId="938"/>
      <tableStyleElement type="headerRow" dxfId="937"/>
      <tableStyleElement type="totalRow" dxfId="936"/>
      <tableStyleElement type="firstColumn" dxfId="935"/>
      <tableStyleElement type="lastColumn" dxfId="934"/>
      <tableStyleElement type="firstRowStripe" dxfId="933"/>
      <tableStyleElement type="firstColumnStripe" dxfId="932"/>
    </tableStyle>
    <tableStyle name="TableStyleLight18 2" pivot="0" count="7" xr9:uid="{FCE9A81E-B697-440C-9031-FD78FF52ED88}">
      <tableStyleElement type="wholeTable" dxfId="931"/>
      <tableStyleElement type="headerRow" dxfId="930"/>
      <tableStyleElement type="totalRow" dxfId="929"/>
      <tableStyleElement type="firstColumn" dxfId="928"/>
      <tableStyleElement type="lastColumn" dxfId="927"/>
      <tableStyleElement type="firstRowStripe" dxfId="926"/>
      <tableStyleElement type="firstColumnStripe" dxfId="925"/>
    </tableStyle>
    <tableStyle name="TableStyleLight18 3" pivot="0" count="7" xr9:uid="{AE81560E-A0A1-4B8F-8608-83C1F78B608A}">
      <tableStyleElement type="wholeTable" dxfId="924"/>
      <tableStyleElement type="headerRow" dxfId="923"/>
      <tableStyleElement type="totalRow" dxfId="922"/>
      <tableStyleElement type="firstColumn" dxfId="921"/>
      <tableStyleElement type="lastColumn" dxfId="920"/>
      <tableStyleElement type="firstRowStripe" dxfId="919"/>
      <tableStyleElement type="firstColumnStripe" dxfId="918"/>
    </tableStyle>
    <tableStyle name="TableStyleLight19 2" pivot="0" count="7" xr9:uid="{A6B5A85E-1A32-4277-8575-40D0AE2BF488}">
      <tableStyleElement type="wholeTable" dxfId="917"/>
      <tableStyleElement type="headerRow" dxfId="916"/>
      <tableStyleElement type="totalRow" dxfId="915"/>
      <tableStyleElement type="firstColumn" dxfId="914"/>
      <tableStyleElement type="lastColumn" dxfId="913"/>
      <tableStyleElement type="firstRowStripe" dxfId="912"/>
      <tableStyleElement type="firstColumnStripe" dxfId="911"/>
    </tableStyle>
  </tableStyles>
  <colors>
    <mruColors>
      <color rgb="FFFFFF99"/>
      <color rgb="FF513E80"/>
      <color rgb="FFD3B5E9"/>
      <color rgb="FFE0B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tyles" Target="styles.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06/relationships/rdRichValue" Target="richData/rdrichvalue.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#REF!</c:v>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Sunday 20:00</c:v>
              </c:pt>
              <c:pt idx="1">
                <c:v>Monday 15:00</c:v>
              </c:pt>
              <c:pt idx="2">
                <c:v>Thursday 16:00</c:v>
              </c:pt>
              <c:pt idx="3">
                <c:v>Saturday 18:00</c:v>
              </c:pt>
            </c:strLit>
          </c:cat>
          <c:val>
            <c:numLit>
              <c:formatCode>General</c:formatCode>
              <c:ptCount val="4"/>
              <c:pt idx="0">
                <c:v>1</c:v>
              </c:pt>
              <c:pt idx="1">
                <c:v>1</c:v>
              </c:pt>
              <c:pt idx="2">
                <c:v>1</c:v>
              </c:pt>
              <c:pt idx="3">
                <c:v>1</c:v>
              </c:pt>
            </c:numLit>
          </c:val>
          <c:extLst>
            <c:ext xmlns:c16="http://schemas.microsoft.com/office/drawing/2014/chart" uri="{C3380CC4-5D6E-409C-BE32-E72D297353CC}">
              <c16:uniqueId val="{00000000-25B9-442F-B492-DF00212660C9}"/>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54</xdr:col>
      <xdr:colOff>2619375</xdr:colOff>
      <xdr:row>47</xdr:row>
      <xdr:rowOff>47625</xdr:rowOff>
    </xdr:from>
    <xdr:to>
      <xdr:col>70</xdr:col>
      <xdr:colOff>1162050</xdr:colOff>
      <xdr:row>59</xdr:row>
      <xdr:rowOff>104775</xdr:rowOff>
    </xdr:to>
    <xdr:graphicFrame macro="">
      <xdr:nvGraphicFramePr>
        <xdr:cNvPr id="2" name="Chart 1">
          <a:extLst>
            <a:ext uri="{FF2B5EF4-FFF2-40B4-BE49-F238E27FC236}">
              <a16:creationId xmlns:a16="http://schemas.microsoft.com/office/drawing/2014/main" id="{EEF499A1-2BE8-4607-97A1-C62942166A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043668865743" createdVersion="8" refreshedVersion="8" minRefreshableVersion="3" recordCount="4" xr:uid="{0FC43992-25F7-498F-9BDC-F3BFC4307200}">
  <cacheSource type="worksheet">
    <worksheetSource name="Sexual_Offenses"/>
  </cacheSource>
  <cacheFields count="60">
    <cacheField name="Case Number" numFmtId="0">
      <sharedItems/>
    </cacheField>
    <cacheField name="INC_DATE" numFmtId="167">
      <sharedItems containsSemiMixedTypes="0" containsNonDate="0" containsDate="1" containsString="0" minDate="2025-01-07T00:00:00" maxDate="2025-02-21T00:00:00" count="4">
        <d v="2025-01-07T00:00:00"/>
        <d v="2025-01-23T00:00:00"/>
        <d v="2025-02-17T00:00:00"/>
        <d v="2025-02-20T00:00:00"/>
      </sharedItems>
    </cacheField>
    <cacheField name="TOD" numFmtId="0">
      <sharedItems count="2">
        <s v="12:00-15:59 Afternoon"/>
        <s v="20:00-23:59 Night"/>
      </sharedItems>
    </cacheField>
    <cacheField name="Start of Hour" numFmtId="164">
      <sharedItems containsSemiMixedTypes="0" containsNonDate="0" containsDate="1" containsString="0" minDate="1899-12-30T12:00:00" maxDate="1899-12-30T20:00:00" count="4">
        <d v="1899-12-30T14:00:00"/>
        <d v="1899-12-30T15:00:00"/>
        <d v="1899-12-30T20:00:00"/>
        <d v="1899-12-30T12:00:00"/>
      </sharedItems>
    </cacheField>
    <cacheField name="INC_TIME" numFmtId="164">
      <sharedItems containsSemiMixedTypes="0" containsNonDate="0" containsDate="1" containsString="0" minDate="1899-12-30T12:52:04" maxDate="1899-12-30T20:00:00"/>
    </cacheField>
    <cacheField name="Day Name" numFmtId="0">
      <sharedItems count="3">
        <s v="Tuesday"/>
        <s v="Thursday"/>
        <s v="Monday"/>
      </sharedItems>
    </cacheField>
    <cacheField name="Month Name" numFmtId="0">
      <sharedItems/>
    </cacheField>
    <cacheField name="BLOCK" numFmtId="0">
      <sharedItems/>
    </cacheField>
    <cacheField name="Location" numFmtId="0">
      <sharedItems/>
    </cacheField>
    <cacheField name="Incident Type_1" numFmtId="0">
      <sharedItems/>
    </cacheField>
    <cacheField name="ALL_INCIDENTS" numFmtId="0">
      <sharedItems count="4">
        <s v="Criminal Sexual Contact, Juvenile Investigation"/>
        <s v="Sexual Assault, Juvenile Investigation"/>
        <s v="Exceptionally Cleared/Closed, Sexual Assault"/>
        <s v="Sexual Assault"/>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7" maxValue="8"/>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ontainsNonDate="0" containsString="0" containsBlank="1"/>
    </cacheField>
    <cacheField name="Make1" numFmtId="0">
      <sharedItems containsNonDate="0" containsString="0" containsBlank="1"/>
    </cacheField>
    <cacheField name="Model1" numFmtId="0">
      <sharedItems containsNonDate="0" containsString="0" containsBlank="1"/>
    </cacheField>
    <cacheField name="Reg State 1" numFmtId="0">
      <sharedItems containsNonDate="0" containsString="0"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17-06-20T00:00:00" maxDate="2025-02-18T00:00:00"/>
    </cacheField>
    <cacheField name="Incident Time" numFmtId="22">
      <sharedItems containsSemiMixedTypes="0" containsNonDate="0" containsDate="1" containsString="0" minDate="1899-12-30T12:52:04" maxDate="1899-12-30T20:00:00"/>
    </cacheField>
    <cacheField name="Incident Date_Between" numFmtId="14">
      <sharedItems containsNonDate="0" containsDate="1" containsString="0" containsBlank="1" minDate="2024-09-20T00:00:00" maxDate="2025-02-18T00:00:00"/>
    </cacheField>
    <cacheField name="Incident Time_Between" numFmtId="22">
      <sharedItems containsNonDate="0" containsDate="1" containsString="0" containsBlank="1" minDate="1899-12-30T23:45:00" maxDate="1899-12-30T23:45:00"/>
    </cacheField>
    <cacheField name="Report Date" numFmtId="14">
      <sharedItems containsSemiMixedTypes="0" containsNonDate="0" containsDate="1" containsString="0" minDate="2025-01-10T00:00:00" maxDate="2025-02-21T00:00:00"/>
    </cacheField>
    <cacheField name="Report Time" numFmtId="22">
      <sharedItems containsSemiMixedTypes="0" containsNonDate="0" containsDate="1" containsString="0" minDate="1899-12-30T12:52:04" maxDate="1899-12-30T17:39:20"/>
    </cacheField>
    <cacheField name="Year" numFmtId="0">
      <sharedItems containsSemiMixedTypes="0" containsString="0" containsNumber="1" containsInteger="1" minValue="2017" maxValue="2025"/>
    </cacheField>
    <cacheField name="Week of Year" numFmtId="0">
      <sharedItems containsSemiMixedTypes="0" containsString="0" containsNumber="1" containsInteger="1" minValue="2" maxValue="25"/>
    </cacheField>
    <cacheField name="Week of Month" numFmtId="0">
      <sharedItems containsSemiMixedTypes="0" containsString="0" containsNumber="1" containsInteger="1" minValue="2" maxValue="4"/>
    </cacheField>
    <cacheField name="Day" numFmtId="0">
      <sharedItems containsSemiMixedTypes="0" containsString="0" containsNumber="1" containsInteger="1" minValue="7" maxValue="23"/>
    </cacheField>
    <cacheField name="Day of Year" numFmtId="0">
      <sharedItems containsSemiMixedTypes="0" containsString="0" containsNumber="1" containsInteger="1" minValue="7" maxValue="171"/>
    </cacheField>
    <cacheField name="INC_DATE_AND_TIME" numFmtId="22">
      <sharedItems containsSemiMixedTypes="0" containsNonDate="0" containsDate="1" containsString="0" minDate="2017-06-20T12:52:00" maxDate="2025-02-17T20:00:00"/>
    </cacheField>
    <cacheField name="St#" numFmtId="0">
      <sharedItems containsSemiMixedTypes="0" containsString="0" containsNumber="1" containsInteger="1" minValue="135" maxValue="360"/>
    </cacheField>
    <cacheField name="Notes" numFmtId="0">
      <sharedItems longText="1"/>
    </cacheField>
    <cacheField name="VEHICLE" numFmtId="0">
      <sharedItems containsNonDate="0" containsString="0" containsBlank="1"/>
    </cacheField>
    <cacheField name="Suspect" numFmtId="0">
      <sharedItems longText="1"/>
    </cacheField>
    <cacheField name="TOTAL_STOLEN_AMOUNT" numFmtId="0">
      <sharedItems/>
    </cacheField>
    <cacheField name="REPORT_CYCLE" numFmtId="0">
      <sharedItems/>
    </cacheField>
    <cacheField name="TIME_OF_DAY" numFmtId="0">
      <sharedItems/>
    </cacheField>
    <cacheField name="SA_TypeOfAssault" numFmtId="0">
      <sharedItems containsNonDate="0" containsString="0" containsBlank="1"/>
    </cacheField>
    <cacheField name="SA_VictimIncapacitated" numFmtId="0">
      <sharedItems containsNonDate="0" containsString="0" containsBlank="1"/>
    </cacheField>
    <cacheField name="SA_ForceOrThreatUsed" numFmtId="0">
      <sharedItems containsNonDate="0" containsString="0" containsBlank="1"/>
    </cacheField>
    <cacheField name="SA_LocationType" numFmtId="0">
      <sharedItems containsNonDate="0" containsString="0" containsBlank="1"/>
    </cacheField>
    <cacheField name="SA_KnownVsStranger" numFmtId="0">
      <sharedItems containsNonDate="0" containsString="0" containsBlank="1"/>
    </cacheField>
    <cacheField name="SA_NumberOfOffender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493859722221" createdVersion="8" refreshedVersion="8" minRefreshableVersion="3" recordCount="7" xr:uid="{6C01DEB0-BC56-480A-B46A-337ED657C799}">
  <cacheSource type="worksheet">
    <worksheetSource name="Bur_Auto"/>
  </cacheSource>
  <cacheFields count="54">
    <cacheField name="Case Number" numFmtId="0">
      <sharedItems/>
    </cacheField>
    <cacheField name="INC_DATE" numFmtId="14">
      <sharedItems containsSemiMixedTypes="0" containsNonDate="0" containsDate="1" containsString="0" minDate="2025-01-06T00:00:00" maxDate="2025-03-12T00:00:00" count="7">
        <d v="2025-01-06T00:00:00"/>
        <d v="2025-01-25T00:00:00"/>
        <d v="2025-01-26T00:00:00"/>
        <d v="2025-02-13T00:00:00"/>
        <d v="2025-03-06T00:00:00"/>
        <d v="2025-03-09T00:00:00"/>
        <d v="2025-03-11T00:00:00"/>
      </sharedItems>
    </cacheField>
    <cacheField name="TOD" numFmtId="0">
      <sharedItems count="3">
        <s v="12:00-15:59 Afternoon"/>
        <s v="16:00-19:59 Evening Peak"/>
        <s v="20:00-23:59 Night"/>
      </sharedItems>
    </cacheField>
    <cacheField name="Start of Hour" numFmtId="164">
      <sharedItems containsSemiMixedTypes="0" containsNonDate="0" containsDate="1" containsString="0" minDate="1899-12-30T14:00:00" maxDate="1899-12-30T22:00:00"/>
    </cacheField>
    <cacheField name="INC_TIME" numFmtId="164">
      <sharedItems containsSemiMixedTypes="0" containsNonDate="0" containsDate="1" containsString="0" minDate="1899-12-30T14:30:00" maxDate="1899-12-30T22:35:45"/>
    </cacheField>
    <cacheField name="Day Name" numFmtId="0">
      <sharedItems count="5">
        <s v="Monday"/>
        <s v="Saturday"/>
        <s v="Sunday"/>
        <s v="Thursday"/>
        <s v="Tuesday"/>
      </sharedItems>
    </cacheField>
    <cacheField name="Month Name" numFmtId="0">
      <sharedItems/>
    </cacheField>
    <cacheField name="BLOCK" numFmtId="0">
      <sharedItems count="7">
        <s v="Prospect Ave, 0 Block"/>
        <s v="Stanley Pl, 200 Block"/>
        <s v="Pangborn Pl, 0 Block"/>
        <s v="East Pleasantview Avenue &amp; Kipp Street"/>
        <s v="Central Ave, 200 Block"/>
        <s v="American Legion Drive, 200 Block"/>
        <s v="Anderson St, 100 Block"/>
      </sharedItems>
    </cacheField>
    <cacheField name="Location" numFmtId="0">
      <sharedItems/>
    </cacheField>
    <cacheField name="Incident Type_1" numFmtId="0">
      <sharedItems/>
    </cacheField>
    <cacheField name="ALL_INCIDENTS" numFmtId="0">
      <sharedItems count="2">
        <s v="Burglary - Auto"/>
        <s v="Burglary - Auto, Theft"/>
      </sharedItems>
    </cacheField>
    <cacheField name="Incident Type_2" numFmtId="0">
      <sharedItems/>
    </cacheField>
    <cacheField name="Incident Type_3" numFmtId="0">
      <sharedItems/>
    </cacheField>
    <cacheField name="FullAddress" numFmtId="0">
      <sharedItems/>
    </cacheField>
    <cacheField name="Grid" numFmtId="0">
      <sharedItems containsBlank="1"/>
    </cacheField>
    <cacheField name="Zone" numFmtId="0">
      <sharedItems containsSemiMixedTypes="0" containsString="0" containsNumber="1" containsInteger="1" minValue="6"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06T00:00:00" maxDate="2025-03-12T00:00:00"/>
    </cacheField>
    <cacheField name="Incident Time" numFmtId="22">
      <sharedItems containsSemiMixedTypes="0" containsNonDate="0" containsDate="1" containsString="0" minDate="1899-12-30T14:30:00" maxDate="1899-12-30T22:35:45"/>
    </cacheField>
    <cacheField name="Incident Date_Between" numFmtId="14">
      <sharedItems containsNonDate="0" containsDate="1" containsString="0" containsBlank="1" minDate="2025-01-10T00:00:00" maxDate="2025-03-11T00:00:00"/>
    </cacheField>
    <cacheField name="Incident Time_Between" numFmtId="22">
      <sharedItems containsNonDate="0" containsDate="1" containsString="0" containsBlank="1" minDate="1899-12-30T08:30:00" maxDate="1899-12-30T20:19:00"/>
    </cacheField>
    <cacheField name="Report Date" numFmtId="14">
      <sharedItems containsSemiMixedTypes="0" containsNonDate="0" containsDate="1" containsString="0" minDate="2025-01-10T00:00:00" maxDate="2025-03-12T00:00:00"/>
    </cacheField>
    <cacheField name="Report Time" numFmtId="22">
      <sharedItems containsSemiMixedTypes="0" containsNonDate="0" containsDate="1" containsString="0" minDate="1899-12-30T07:10:39" maxDate="1899-12-30T22:35:45"/>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2" maxValue="11"/>
    </cacheField>
    <cacheField name="Week of Month" numFmtId="0">
      <sharedItems containsSemiMixedTypes="0" containsString="0" containsNumber="1" containsInteger="1" minValue="2" maxValue="5"/>
    </cacheField>
    <cacheField name="Day" numFmtId="0">
      <sharedItems containsSemiMixedTypes="0" containsString="0" containsNumber="1" containsInteger="1" minValue="6" maxValue="26"/>
    </cacheField>
    <cacheField name="Day of Year" numFmtId="0">
      <sharedItems containsSemiMixedTypes="0" containsString="0" containsNumber="1" containsInteger="1" minValue="6" maxValue="70"/>
    </cacheField>
    <cacheField name="INC_DATE_AND_TIME" numFmtId="22">
      <sharedItems containsSemiMixedTypes="0" containsNonDate="0" containsDate="1" containsString="0" minDate="2025-01-06T15:30:00" maxDate="2025-03-11T14:30:00"/>
    </cacheField>
    <cacheField name="St#" numFmtId="0">
      <sharedItems containsString="0" containsBlank="1" containsNumber="1" containsInteger="1" minValue="5" maxValue="282"/>
    </cacheField>
    <cacheField name="Notes" numFmtId="0">
      <sharedItems count="7" longText="1">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sharedItems>
    </cacheField>
    <cacheField name="VEHICLE" numFmtId="0">
      <sharedItems count="7">
        <s v="Vehicle 1: NJ-XCSW43 HONDA, PIL"/>
        <s v="Vehicle 1: NJ-R36GBB HONDA, CRV"/>
        <s v="Vehicle 1: NJ-R97RYW HONDA, ODY"/>
        <s v="Vehicle 1: NJ-XGDR55 FORD, R1Z"/>
        <s v="Vehicle 1: NJ-R64NVW FORD, EXP"/>
        <s v="Vehicle 1: NJ-K46PXJ HYN, TIB"/>
        <s v="Vehicle 1: NJ-K87VEF SUBARU, TRI"/>
      </sharedItems>
    </cacheField>
    <cacheField name="Suspect" numFmtId="0">
      <sharedItems longText="1"/>
    </cacheField>
    <cacheField name="TOTAL_STOLEN_AMOUNT" numFmtId="0">
      <sharedItems longText="1"/>
    </cacheField>
    <cacheField name="REPORT_CYCLE" numFmtId="0">
      <sharedItems/>
    </cacheField>
    <cacheField name="TIME_OF_DA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06380324077" createdVersion="8" refreshedVersion="8" minRefreshableVersion="3" recordCount="10" xr:uid="{134F3151-6BC1-49C6-B804-40650B7516B4}">
  <cacheSource type="worksheet">
    <worksheetSource name="BurglaryAuto"/>
  </cacheSource>
  <cacheFields count="55">
    <cacheField name="Case Number" numFmtId="0">
      <sharedItems/>
    </cacheField>
    <cacheField name="INC_DATE" numFmtId="167">
      <sharedItems containsSemiMixedTypes="0" containsNonDate="0" containsDate="1" containsString="0" minDate="2025-01-06T00:00:00" maxDate="2025-04-01T00:00:00" count="10">
        <d v="2025-01-06T00:00:00"/>
        <d v="2025-01-25T00:00:00"/>
        <d v="2025-01-26T00:00:00"/>
        <d v="2025-02-13T00:00:00"/>
        <d v="2025-03-06T00:00:00"/>
        <d v="2025-03-09T00:00:00"/>
        <d v="2025-03-11T00:00:00"/>
        <d v="2025-03-23T00:00:00"/>
        <d v="2025-03-29T00:00:00"/>
        <d v="2025-03-31T00:00:00"/>
      </sharedItems>
    </cacheField>
    <cacheField name="TOD" numFmtId="0">
      <sharedItems count="4">
        <s v="12:00-15:59 Afternoon"/>
        <s v="16:00-19:59 Evening Peak"/>
        <s v="20:00-23:59 Night"/>
        <s v="04:00-07:59 Morning"/>
      </sharedItems>
    </cacheField>
    <cacheField name="Start of Hour" numFmtId="168">
      <sharedItems containsSemiMixedTypes="0" containsNonDate="0" containsDate="1" containsString="0" minDate="1899-12-30T04:00:00" maxDate="1899-12-30T22:00:00"/>
    </cacheField>
    <cacheField name="INC_TIME" numFmtId="168">
      <sharedItems containsSemiMixedTypes="0" containsNonDate="0" containsDate="1" containsString="0" minDate="1899-12-30T04:10:00" maxDate="1899-12-30T22:35:45"/>
    </cacheField>
    <cacheField name="Day Name" numFmtId="0">
      <sharedItems count="10">
        <s v="Mon"/>
        <s v="Sat"/>
        <s v="Sun"/>
        <s v="Thur"/>
        <s v="Tue"/>
        <s v="Monday" u="1"/>
        <s v="Saturday" u="1"/>
        <s v="Sunday" u="1"/>
        <s v="Thursday" u="1"/>
        <s v="Tuesday" u="1"/>
      </sharedItems>
    </cacheField>
    <cacheField name="Month Name" numFmtId="0">
      <sharedItems/>
    </cacheField>
    <cacheField name="BLOCK" numFmtId="0">
      <sharedItems/>
    </cacheField>
    <cacheField name="Location" numFmtId="0">
      <sharedItems/>
    </cacheField>
    <cacheField name="ALL_INCIDENTS" numFmtId="0">
      <sharedItems/>
    </cacheField>
    <cacheField name="Incident Type_1" numFmtId="0">
      <sharedItems/>
    </cacheField>
    <cacheField name="Incident Type_2" numFmtId="0">
      <sharedItems/>
    </cacheField>
    <cacheField name="Incident Type_3" numFmtId="0">
      <sharedItems/>
    </cacheField>
    <cacheField name="FullAddress" numFmtId="0">
      <sharedItems/>
    </cacheField>
    <cacheField name="Grid" numFmtId="0">
      <sharedItems containsBlank="1"/>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06T00:00:00" maxDate="2025-04-01T00:00:00"/>
    </cacheField>
    <cacheField name="Incident Time" numFmtId="172">
      <sharedItems containsSemiMixedTypes="0" containsNonDate="0" containsDate="1" containsString="0" minDate="1899-12-30T04:10:00" maxDate="1899-12-30T22:35:45"/>
    </cacheField>
    <cacheField name="Incident Date_Between" numFmtId="14">
      <sharedItems containsNonDate="0" containsDate="1" containsString="0" containsBlank="1" minDate="2025-01-10T00:00:00" maxDate="2025-04-01T00:00:00"/>
    </cacheField>
    <cacheField name="Incident Time_Between" numFmtId="172">
      <sharedItems containsNonDate="0" containsDate="1" containsString="0" containsBlank="1" minDate="1899-12-30T04:20:00" maxDate="1899-12-30T22:00:00"/>
    </cacheField>
    <cacheField name="Report Date" numFmtId="14">
      <sharedItems containsSemiMixedTypes="0" containsNonDate="0" containsDate="1" containsString="0" minDate="2025-01-10T00:00:00" maxDate="2025-04-01T00:00:00"/>
    </cacheField>
    <cacheField name="Report Time" numFmtId="172">
      <sharedItems containsSemiMixedTypes="0" containsNonDate="0" containsDate="1" containsString="0" minDate="1899-12-30T04:55:22" maxDate="1899-12-30T22:35:45"/>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2" maxValue="14"/>
    </cacheField>
    <cacheField name="Week of Month" numFmtId="0">
      <sharedItems containsSemiMixedTypes="0" containsString="0" containsNumber="1" containsInteger="1" minValue="2" maxValue="6"/>
    </cacheField>
    <cacheField name="Day" numFmtId="0">
      <sharedItems containsSemiMixedTypes="0" containsString="0" containsNumber="1" containsInteger="1" minValue="6" maxValue="31"/>
    </cacheField>
    <cacheField name="Day of Year" numFmtId="0">
      <sharedItems containsSemiMixedTypes="0" containsString="0" containsNumber="1" containsInteger="1" minValue="6" maxValue="90"/>
    </cacheField>
    <cacheField name="INC_DATE_AND_TIME" numFmtId="22">
      <sharedItems containsSemiMixedTypes="0" containsNonDate="0" containsDate="1" containsString="0" minDate="2025-01-06T15:30:00" maxDate="2025-03-31T18:40:00"/>
    </cacheField>
    <cacheField name="St#" numFmtId="0">
      <sharedItems containsString="0" containsBlank="1" containsNumber="1" containsInteger="1" minValue="5" maxValue="282"/>
    </cacheField>
    <cacheField name="Notes" numFmtId="0">
      <sharedItems longText="1"/>
    </cacheField>
    <cacheField name="VEHICLE" numFmtId="0">
      <sharedItems/>
    </cacheField>
    <cacheField name="Suspect" numFmtId="0">
      <sharedItems longText="1"/>
    </cacheField>
    <cacheField name="TOTAL_STOLEN_AMOUNT" numFmtId="0">
      <sharedItems longText="1"/>
    </cacheField>
    <cacheField name="REPORT_CYCLE" numFmtId="0">
      <sharedItems/>
    </cacheField>
    <cacheField name="TIME_OF_DAY" numFmtId="0">
      <sharedItems/>
    </cacheField>
    <cacheField name="ALL_INCIDENTS - Copy" numFmtId="0">
      <sharedItems count="5">
        <s v="Burglary - Auto"/>
        <s v="Burglary - Auto, Theft"/>
        <s v="Burglary - Auto, Criminal Mischief - Vehicle"/>
        <s v="Suspicious Incident, Attempted Burglary - Auto"/>
        <s v="Burglary - Auto, Theft, Criminal Mischief"/>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14976273145" createdVersion="8" refreshedVersion="8" minRefreshableVersion="3" recordCount="12" xr:uid="{05B18EBB-7F97-446B-AFED-A4B1032FFB74}">
  <cacheSource type="worksheet">
    <worksheetSource name="Bur_C_R"/>
  </cacheSource>
  <cacheFields count="54">
    <cacheField name="Case Number" numFmtId="0">
      <sharedItems/>
    </cacheField>
    <cacheField name="INC_DATE" numFmtId="167">
      <sharedItems containsSemiMixedTypes="0" containsNonDate="0" containsDate="1" containsString="0" minDate="2025-01-14T00:00:00" maxDate="2025-04-01T00:00:00" count="10">
        <d v="2025-01-16T00:00:00"/>
        <d v="2025-01-25T00:00:00"/>
        <d v="2025-01-31T00:00:00"/>
        <d v="2025-02-05T00:00:00"/>
        <d v="2025-02-17T00:00:00"/>
        <d v="2025-01-14T00:00:00"/>
        <d v="2025-03-10T00:00:00"/>
        <d v="2025-03-18T00:00:00"/>
        <d v="2025-03-27T00:00:00"/>
        <d v="2025-03-31T00:00:00"/>
      </sharedItems>
    </cacheField>
    <cacheField name="TOD" numFmtId="0">
      <sharedItems count="5">
        <s v="12:00-15:59 Afternoon"/>
        <s v="08:00-11:59 Morning Peak"/>
        <s v="00:00-03:59 Early Morning"/>
        <s v="20:00-23:59 Night"/>
        <s v="04:00-07:59 Morning"/>
      </sharedItems>
    </cacheField>
    <cacheField name="Start of Hour" numFmtId="168">
      <sharedItems containsSemiMixedTypes="0" containsNonDate="0" containsDate="1" containsString="0" minDate="1899-12-30T01:00:00" maxDate="1899-12-30T23:00:00"/>
    </cacheField>
    <cacheField name="INC_TIME" numFmtId="168">
      <sharedItems containsSemiMixedTypes="0" containsNonDate="0" containsDate="1" containsString="0" minDate="1899-12-30T01:07:00" maxDate="1899-12-30T23:30:00"/>
    </cacheField>
    <cacheField name="Day Name" numFmtId="0">
      <sharedItems count="6">
        <s v="Thursday"/>
        <s v="Saturday"/>
        <s v="Friday"/>
        <s v="Wednesday"/>
        <s v="Monday"/>
        <s v="Tuesday"/>
      </sharedItems>
    </cacheField>
    <cacheField name="Month Name" numFmtId="0">
      <sharedItems/>
    </cacheField>
    <cacheField name="BLOCK" numFmtId="0">
      <sharedItems/>
    </cacheField>
    <cacheField name="Location" numFmtId="0">
      <sharedItems/>
    </cacheField>
    <cacheField name="Incident Type_1" numFmtId="0">
      <sharedItems/>
    </cacheField>
    <cacheField name="ALL_INCIDENTS" numFmtId="0">
      <sharedItems count="7">
        <s v="Burglary - Residence"/>
        <s v="Burglary - Commercial, Alarm - Burglar"/>
        <s v="Burglary - Commercial, Suspicious Incident"/>
        <s v="Burglary - Residence, Harassment, Domestic Violence"/>
        <s v="Violation of Court Order, Burglary - Residence, Harassment"/>
        <s v="Assist Other Agency, Burglary - Residence"/>
        <s v="Burglary - Commercial, Hindering Apprehension, Resisting Arrest/Eluding"/>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String="0" containsBlank="1" containsNumber="1" containsInteger="1" minValue="50300" maxValue="50300"/>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ontainsBlank="1"/>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67">
      <sharedItems containsNonDate="0" containsDate="1" containsString="0" containsBlank="1" minDate="2025-01-14T00:00:00" maxDate="2025-04-01T00:00:00"/>
    </cacheField>
    <cacheField name="Incident Time" numFmtId="168">
      <sharedItems containsNonDate="0" containsDate="1" containsString="0" containsBlank="1" minDate="1899-12-30T01:07:00" maxDate="1899-12-30T23:30:00"/>
    </cacheField>
    <cacheField name="Incident Date_Between" numFmtId="167">
      <sharedItems containsNonDate="0" containsDate="1" containsString="0" containsBlank="1" minDate="2025-01-16T00:00:00" maxDate="2025-03-29T00:00:00"/>
    </cacheField>
    <cacheField name="Incident Time_Between" numFmtId="168">
      <sharedItems containsNonDate="0" containsDate="1" containsString="0" containsBlank="1" minDate="1899-12-30T00:36:00" maxDate="1899-12-30T18:00:00"/>
    </cacheField>
    <cacheField name="Report Date" numFmtId="167">
      <sharedItems containsSemiMixedTypes="0" containsNonDate="0" containsDate="1" containsString="0" minDate="2025-01-14T00:00:00" maxDate="2025-04-01T00:00:00"/>
    </cacheField>
    <cacheField name="Report Time" numFmtId="168">
      <sharedItems containsSemiMixedTypes="0" containsNonDate="0" containsDate="1" containsString="0" minDate="1899-12-30T02:09:41" maxDate="1899-12-30T22:43:12"/>
    </cacheField>
    <cacheField name="Year" numFmtId="0">
      <sharedItems containsSemiMixedTypes="0" containsString="0" containsNumber="1" containsInteger="1" minValue="2025" maxValue="2025"/>
    </cacheField>
    <cacheField name="Week of Year" numFmtId="169">
      <sharedItems containsSemiMixedTypes="0" containsString="0" containsNumber="1" containsInteger="1" minValue="3" maxValue="14"/>
    </cacheField>
    <cacheField name="Week of Month" numFmtId="169">
      <sharedItems containsSemiMixedTypes="0" containsString="0" containsNumber="1" containsInteger="1" minValue="2" maxValue="6"/>
    </cacheField>
    <cacheField name="Day" numFmtId="169">
      <sharedItems containsSemiMixedTypes="0" containsString="0" containsNumber="1" containsInteger="1" minValue="5" maxValue="31"/>
    </cacheField>
    <cacheField name="Day of Year" numFmtId="170">
      <sharedItems containsSemiMixedTypes="0" containsString="0" containsNumber="1" containsInteger="1" minValue="14" maxValue="90"/>
    </cacheField>
    <cacheField name="INC_DATE_AND_TIME" numFmtId="171">
      <sharedItems containsSemiMixedTypes="0" containsNonDate="0" containsDate="1" containsString="0" minDate="2025-01-14T11:08:00" maxDate="2025-03-31T12:00:00"/>
    </cacheField>
    <cacheField name="St#" numFmtId="0">
      <sharedItems containsSemiMixedTypes="0" containsString="0" containsNumber="1" containsInteger="1" minValue="1" maxValue="895"/>
    </cacheField>
    <cacheField name="Notes" numFmtId="0">
      <sharedItems longText="1"/>
    </cacheField>
    <cacheField name="VEHICLE" numFmtId="0">
      <sharedItems containsBlank="1"/>
    </cacheField>
    <cacheField name="Suspect" numFmtId="0">
      <sharedItems longText="1"/>
    </cacheField>
    <cacheField name="TOTAL_STOLEN_AMOUNT" numFmtId="0">
      <sharedItems longText="1"/>
    </cacheField>
    <cacheField name="REPORT_CYCLE" numFmtId="0">
      <sharedItems/>
    </cacheField>
    <cacheField name="TIME_OF_DAY"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19880902779" createdVersion="8" refreshedVersion="8" minRefreshableVersion="3" recordCount="14" xr:uid="{4BE8C8D1-8039-4776-833C-6B78CED6F772}">
  <cacheSource type="worksheet">
    <worksheetSource name="MV_Theft"/>
  </cacheSource>
  <cacheFields count="54">
    <cacheField name="Case Number" numFmtId="0">
      <sharedItems/>
    </cacheField>
    <cacheField name="INC_DATE" numFmtId="165">
      <sharedItems containsSemiMixedTypes="0" containsNonDate="0" containsDate="1" containsString="0" minDate="2025-01-03T00:00:00" maxDate="2025-03-29T00:00:00" count="13">
        <d v="2025-01-03T00:00:00"/>
        <d v="2025-01-15T00:00:00"/>
        <d v="2025-01-21T00:00:00"/>
        <d v="2025-01-22T00:00:00"/>
        <d v="2025-01-28T00:00:00"/>
        <d v="2025-01-31T00:00:00"/>
        <d v="2025-02-01T00:00:00"/>
        <d v="2025-02-03T00:00:00"/>
        <d v="2025-02-07T00:00:00"/>
        <d v="2025-02-17T00:00:00"/>
        <d v="2025-02-25T00:00:00"/>
        <d v="2025-03-21T00:00:00"/>
        <d v="2025-03-28T00:00:00"/>
      </sharedItems>
    </cacheField>
    <cacheField name="TOD" numFmtId="0">
      <sharedItems count="6">
        <s v="20:00-23:59 Night"/>
        <s v="12:00-15:59 Afternoon"/>
        <s v="16:00-19:59 Evening Peak"/>
        <s v="08:00-11:59 Morning Peak"/>
        <s v="00:00-03:59 Early Morning"/>
        <s v="04:00-07:59 Morning"/>
      </sharedItems>
    </cacheField>
    <cacheField name="Start of Hour" numFmtId="164">
      <sharedItems containsSemiMixedTypes="0" containsNonDate="0" containsDate="1" containsString="0" minDate="1899-12-30T01:00:00" maxDate="1899-12-30T21:00:00"/>
    </cacheField>
    <cacheField name="INC_TIME" numFmtId="164">
      <sharedItems containsSemiMixedTypes="0" containsNonDate="0" containsDate="1" containsString="0" minDate="1899-12-30T01:00:00" maxDate="1899-12-30T21:30:00"/>
    </cacheField>
    <cacheField name="Day Name" numFmtId="0">
      <sharedItems count="5">
        <s v="Friday"/>
        <s v="Wednesday"/>
        <s v="Tuesday"/>
        <s v="Saturday"/>
        <s v="Monday"/>
      </sharedItems>
    </cacheField>
    <cacheField name="Month Name" numFmtId="0">
      <sharedItems/>
    </cacheField>
    <cacheField name="BLOCK" numFmtId="0">
      <sharedItems/>
    </cacheField>
    <cacheField name="Location" numFmtId="0">
      <sharedItems/>
    </cacheField>
    <cacheField name="Incident Type_1" numFmtId="0">
      <sharedItems/>
    </cacheField>
    <cacheField name="ALL_INCIDENTS" numFmtId="0">
      <sharedItems count="3">
        <s v="Motor Vehicle Theft"/>
        <s v="Motor Vehicle Theft, Theft"/>
        <s v="Motor Vehicle Theft, Recovered Stolen Vehicle"/>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acheField>
    <cacheField name="Make1" numFmtId="0">
      <sharedItems containsBlank="1"/>
    </cacheField>
    <cacheField name="Model1" numFmtId="0">
      <sharedItems containsBlank="1"/>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65">
      <sharedItems containsSemiMixedTypes="0" containsNonDate="0" containsDate="1" containsString="0" minDate="2025-01-03T00:00:00" maxDate="2025-03-29T00:00:00"/>
    </cacheField>
    <cacheField name="Incident Time" numFmtId="168">
      <sharedItems containsSemiMixedTypes="0" containsNonDate="0" containsDate="1" containsString="0" minDate="1899-12-30T01:00:00" maxDate="1899-12-30T21:30:00"/>
    </cacheField>
    <cacheField name="Incident Date_Between" numFmtId="165">
      <sharedItems containsNonDate="0" containsDate="1" containsString="0" containsBlank="1" minDate="2025-01-04T00:00:00" maxDate="2025-03-30T00:00:00"/>
    </cacheField>
    <cacheField name="Incident Time_Between" numFmtId="168">
      <sharedItems containsNonDate="0" containsDate="1" containsString="0" containsBlank="1" minDate="1899-12-30T02:30:00" maxDate="1899-12-30T23:00:00"/>
    </cacheField>
    <cacheField name="Report Date" numFmtId="165">
      <sharedItems containsSemiMixedTypes="0" containsNonDate="0" containsDate="1" containsString="0" minDate="2025-01-04T00:00:00" maxDate="2025-03-30T00:00:00"/>
    </cacheField>
    <cacheField name="Report Time" numFmtId="168">
      <sharedItems containsSemiMixedTypes="0" containsNonDate="0" containsDate="1" containsString="0" minDate="1899-12-30T02:52:33" maxDate="1899-12-30T23:47:34"/>
    </cacheField>
    <cacheField name="Year" numFmtId="0">
      <sharedItems containsSemiMixedTypes="0" containsString="0" containsNumber="1" containsInteger="1" minValue="2025" maxValue="2025"/>
    </cacheField>
    <cacheField name="Week of Year" numFmtId="169">
      <sharedItems containsSemiMixedTypes="0" containsString="0" containsNumber="1" containsInteger="1" minValue="1" maxValue="13"/>
    </cacheField>
    <cacheField name="Week of Month" numFmtId="169">
      <sharedItems containsSemiMixedTypes="0" containsString="0" containsNumber="1" containsInteger="1" minValue="1" maxValue="5"/>
    </cacheField>
    <cacheField name="Day" numFmtId="169">
      <sharedItems containsSemiMixedTypes="0" containsString="0" containsNumber="1" containsInteger="1" minValue="1" maxValue="31"/>
    </cacheField>
    <cacheField name="Day of Year" numFmtId="170">
      <sharedItems containsSemiMixedTypes="0" containsString="0" containsNumber="1" containsInteger="1" minValue="3" maxValue="87"/>
    </cacheField>
    <cacheField name="INC_DATE_AND_TIME" numFmtId="171">
      <sharedItems containsSemiMixedTypes="0" containsNonDate="0" containsDate="1" containsString="0" minDate="2025-01-03T21:30:00" maxDate="2025-03-28T20:30:00"/>
    </cacheField>
    <cacheField name="St#" numFmtId="0">
      <sharedItems containsSemiMixedTypes="0" containsString="0" containsNumber="1" containsInteger="1" minValue="30" maxValue="535"/>
    </cacheField>
    <cacheField name="Notes" numFmtId="0">
      <sharedItems longText="1"/>
    </cacheField>
    <cacheField name="VEHICLE" numFmtId="0">
      <sharedItems/>
    </cacheField>
    <cacheField name="Suspect" numFmtId="0">
      <sharedItems/>
    </cacheField>
    <cacheField name="TOTAL_STOLEN_AMOUNT" numFmtId="0">
      <sharedItems/>
    </cacheField>
    <cacheField name="REPORT_CYCLE" numFmtId="0">
      <sharedItems/>
    </cacheField>
    <cacheField name="TIME_OF_DAY" numFmtId="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30404745368" createdVersion="8" refreshedVersion="8" minRefreshableVersion="3" recordCount="9" xr:uid="{2E12CEA1-85C4-4FDB-A33B-87B9788E7F15}">
  <cacheSource type="worksheet">
    <worksheetSource name="Robbery_"/>
  </cacheSource>
  <cacheFields count="55">
    <cacheField name="Column1" numFmtId="0">
      <sharedItems/>
    </cacheField>
    <cacheField name="INC_DATE" numFmtId="167">
      <sharedItems containsSemiMixedTypes="0" containsNonDate="0" containsDate="1" containsString="0" minDate="2025-01-13T00:00:00" maxDate="2025-03-26T00:00:00" count="8">
        <d v="2025-01-13T00:00:00"/>
        <d v="2025-01-14T00:00:00"/>
        <d v="2025-01-16T00:00:00"/>
        <d v="2025-02-02T00:00:00"/>
        <d v="2025-02-03T00:00:00"/>
        <d v="2025-02-13T00:00:00"/>
        <d v="2025-03-04T00:00:00"/>
        <d v="2025-03-25T00:00:00"/>
      </sharedItems>
    </cacheField>
    <cacheField name="TOD" numFmtId="0">
      <sharedItems count="5">
        <s v="12:00-15:59 Afternoon"/>
        <s v="20:00-23:59 Night"/>
        <s v="16:00-19:59 Evening Peak"/>
        <s v="00:00-03:59 Early Morning"/>
        <s v="08:00-11:59 Morning Peak"/>
      </sharedItems>
    </cacheField>
    <cacheField name="Start of Hour" numFmtId="168">
      <sharedItems containsSemiMixedTypes="0" containsNonDate="0" containsDate="1" containsString="0" minDate="1899-12-30T02:00:00" maxDate="1899-12-30T21:00:00"/>
    </cacheField>
    <cacheField name="INC_TIME" numFmtId="168">
      <sharedItems containsSemiMixedTypes="0" containsNonDate="0" containsDate="1" containsString="0" minDate="1899-12-30T02:00:00" maxDate="1899-12-30T21:03:00"/>
    </cacheField>
    <cacheField name="Day Name" numFmtId="0">
      <sharedItems count="4">
        <s v="Mon"/>
        <s v="Tue"/>
        <s v="Thur"/>
        <s v="Sun"/>
      </sharedItems>
    </cacheField>
    <cacheField name="Month Name" numFmtId="0">
      <sharedItems/>
    </cacheField>
    <cacheField name="BLOCK" numFmtId="0">
      <sharedItems/>
    </cacheField>
    <cacheField name="Location" numFmtId="0">
      <sharedItems/>
    </cacheField>
    <cacheField name="ALL_INCIDENTS" numFmtId="0">
      <sharedItems/>
    </cacheField>
    <cacheField name="Incident Type_1" numFmtId="0">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NonDate="0" containsDate="1" containsString="0" containsBlank="1" minDate="2025-01-13T00:00:00" maxDate="2025-03-26T00:00:00"/>
    </cacheField>
    <cacheField name="Incident Time" numFmtId="172">
      <sharedItems containsNonDate="0" containsDate="1" containsString="0" containsBlank="1" minDate="1899-12-30T02:00:00" maxDate="1899-12-30T21:03:00"/>
    </cacheField>
    <cacheField name="Incident Date_Between" numFmtId="14">
      <sharedItems containsNonDate="0" containsDate="1" containsString="0" containsBlank="1" minDate="2025-01-16T00:00:00" maxDate="2025-02-03T00:00:00"/>
    </cacheField>
    <cacheField name="Incident Time_Between" numFmtId="172">
      <sharedItems containsNonDate="0" containsDate="1" containsString="0" containsBlank="1" minDate="1899-12-30T18:00:00" maxDate="1899-12-30T21:16:00"/>
    </cacheField>
    <cacheField name="Report Date" numFmtId="14">
      <sharedItems containsSemiMixedTypes="0" containsNonDate="0" containsDate="1" containsString="0" minDate="2025-01-13T00:00:00" maxDate="2025-03-26T00:00:00"/>
    </cacheField>
    <cacheField name="Report Time" numFmtId="172">
      <sharedItems containsSemiMixedTypes="0" containsNonDate="0" containsDate="1" containsString="0" minDate="1899-12-30T12:02:04" maxDate="1899-12-30T18:59:25"/>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13"/>
    </cacheField>
    <cacheField name="Week of Month" numFmtId="0">
      <sharedItems containsSemiMixedTypes="0" containsString="0" containsNumber="1" containsInteger="1" minValue="2" maxValue="5"/>
    </cacheField>
    <cacheField name="Day" numFmtId="0">
      <sharedItems containsSemiMixedTypes="0" containsString="0" containsNumber="1" containsInteger="1" minValue="2" maxValue="25"/>
    </cacheField>
    <cacheField name="Day of Year" numFmtId="0">
      <sharedItems containsSemiMixedTypes="0" containsString="0" containsNumber="1" containsInteger="1" minValue="13" maxValue="84"/>
    </cacheField>
    <cacheField name="INC_DATE_AND_TIME" numFmtId="22">
      <sharedItems containsSemiMixedTypes="0" containsNonDate="0" containsDate="1" containsString="0" minDate="2025-01-13T12:05:00" maxDate="2025-03-25T11:37:00"/>
    </cacheField>
    <cacheField name="St#" numFmtId="0">
      <sharedItems containsSemiMixedTypes="0" containsString="0" containsNumber="1" containsInteger="1" minValue="128" maxValue="630"/>
    </cacheField>
    <cacheField name="Notes" numFmtId="0">
      <sharedItems longText="1"/>
    </cacheField>
    <cacheField name="VEHICLE" numFmtId="0">
      <sharedItems containsBlank="1"/>
    </cacheField>
    <cacheField name="Suspect" numFmtId="0">
      <sharedItems longText="1"/>
    </cacheField>
    <cacheField name="TOTAL_STOLEN_AMOUNT" numFmtId="0">
      <sharedItems longText="1"/>
    </cacheField>
    <cacheField name="REPORT_CYCLE" numFmtId="0">
      <sharedItems/>
    </cacheField>
    <cacheField name="TIME_OF_DAY" numFmtId="0">
      <sharedItems count="5">
        <s v="Afternoon (12:00-15:59)"/>
        <s v="Night (20:00-23:59)"/>
        <s v="Evening Peak (16:00-19:59)"/>
        <s v="Early Morning (00:00-03:59)"/>
        <s v="Morning Peak (08:00-11:59)"/>
      </sharedItems>
    </cacheField>
    <cacheField name="ALL_INCIDENTS - Copy" numFmtId="0">
      <sharedItems count="7">
        <s v="Dispute, Criminal Attempt, Robbery"/>
        <s v="Robbery, Resisting Arrest/Eluding, Suspicious Person"/>
        <s v="Robbery"/>
        <s v="Suspicious Incident, Robbery"/>
        <s v="Assist Other Agency, Aggravated Assault, Robbery"/>
        <s v="Robbery, Unlawful Possess./Weapons, Dispute"/>
        <s v="Robbery, Theft, Medical C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25-002564"/>
    <x v="0"/>
    <x v="0"/>
    <x v="0"/>
    <d v="1899-12-30T14:00:00"/>
    <x v="0"/>
    <s v="January"/>
    <s v="First St, 100 Block"/>
    <s v="135 First Street"/>
    <s v="Criminal Sexual Contact"/>
    <x v="0"/>
    <s v="Juvenile Investigation"/>
    <s v=""/>
    <s v="135 First Street, Hackensack, NJ, 07601"/>
    <s v="G3"/>
    <n v="7"/>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m/>
    <m/>
    <m/>
    <m/>
    <m/>
    <m/>
    <m/>
    <m/>
    <m/>
    <s v="Dominguez_L"/>
    <s v="Complete"/>
    <s v="Det. Cristobal Lara-Nunez 341"/>
    <s v="STA"/>
    <s v="Det. Evelyn Reyes 336"/>
    <s v="Active/Administratively Closed"/>
    <s v="11D = Fondling"/>
    <n v="9"/>
    <d v="2025-01-07T00:00:00"/>
    <d v="1899-12-30T14:00:00"/>
    <m/>
    <m/>
    <d v="2025-01-10T00:00:00"/>
    <d v="1899-12-30T14:20:51"/>
    <n v="2025"/>
    <n v="2"/>
    <n v="2"/>
    <n v="7"/>
    <n v="7"/>
    <d v="2025-01-07T14:00:00"/>
    <n v="135"/>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s v="suspect who is also student suspect was identified as manuel martinez perez suspect and his cousin esmeralda perez martinez who is a potential witness suspect gave her a hug suspect suspect suspect suspect touch the victim because she was busy doing her class work suspect suspect"/>
    <s v=""/>
    <s v="C01W02"/>
    <s v="Afternoon (12:00-15:59)"/>
    <m/>
    <m/>
    <m/>
    <m/>
    <m/>
    <m/>
  </r>
  <r>
    <s v="25-006324"/>
    <x v="1"/>
    <x v="0"/>
    <x v="1"/>
    <d v="1899-12-30T15:00:00"/>
    <x v="1"/>
    <s v="January"/>
    <s v=" Berdan Pl, 100 Block"/>
    <s v="176  Berdan Place"/>
    <s v="Sexual Assault"/>
    <x v="1"/>
    <s v="Juvenile Investigation"/>
    <s v=""/>
    <s v="176  Berdan Place, Hackensack, NJ, 07601"/>
    <s v="H3"/>
    <n v="8"/>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m/>
    <m/>
    <m/>
    <m/>
    <m/>
    <m/>
    <m/>
    <m/>
    <m/>
    <s v="Bay_F"/>
    <s v="Complete"/>
    <s v="Det. Frankie Garrett 323"/>
    <s v="DET"/>
    <s v="Det. Evelyn Reyes 336"/>
    <s v="TOT DCP&amp;P"/>
    <m/>
    <n v="9"/>
    <d v="2025-01-23T00:00:00"/>
    <d v="1899-12-30T15:00:00"/>
    <m/>
    <m/>
    <d v="2025-01-23T00:00:00"/>
    <d v="1899-12-30T15:58:15"/>
    <n v="2025"/>
    <n v="4"/>
    <n v="4"/>
    <n v="23"/>
    <n v="23"/>
    <d v="2025-01-23T15:00:00"/>
    <n v="176"/>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s v="suspect"/>
    <s v=""/>
    <s v="C01W04"/>
    <s v="Afternoon (12:00-15:59)"/>
    <m/>
    <m/>
    <m/>
    <m/>
    <m/>
    <m/>
  </r>
  <r>
    <s v="25-013527"/>
    <x v="2"/>
    <x v="1"/>
    <x v="2"/>
    <d v="1899-12-30T20:00:00"/>
    <x v="2"/>
    <s v="February"/>
    <s v=" Prospect Ave, 200 Block"/>
    <s v="240  Prospect Avenue"/>
    <s v="Exceptionally Cleared/Closed"/>
    <x v="2"/>
    <s v="Sexual Assault"/>
    <s v=""/>
    <s v="240  Prospect Avenue, Hackensack, NJ, 07601"/>
    <s v="H4"/>
    <n v="8"/>
    <s v="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
    <m/>
    <m/>
    <m/>
    <m/>
    <m/>
    <m/>
    <m/>
    <m/>
    <m/>
    <m/>
    <s v="Bay_F"/>
    <s v="Complete"/>
    <s v="Det. Matthew Dogali 338"/>
    <s v="DET"/>
    <s v="Det. Matthew Dogali 338"/>
    <s v="Ex-Cleared / Closed"/>
    <m/>
    <n v="9"/>
    <d v="2025-02-17T00:00:00"/>
    <d v="1899-12-30T20:00:00"/>
    <d v="2025-02-17T00:00:00"/>
    <d v="1899-12-30T23:45:00"/>
    <d v="2025-02-18T00:00:00"/>
    <d v="1899-12-30T17:39:20"/>
    <n v="2025"/>
    <n v="8"/>
    <n v="4"/>
    <n v="17"/>
    <n v="48"/>
    <d v="2025-02-17T20:00:00"/>
    <n v="240"/>
    <s v="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
    <m/>
    <s v="suspect akashpreet riar on february 17, 2025 suspect is a teacher's assistant at the new york college of podiatric medicine, where she attends suspect because she was looking for a tutor and he offered to help her suspect picked up the victim in a blue honda (unknown registration) from her residence in new york city at approximately 1930 hours suspect arrived at the  suspect's apartment (240 prospect avenue, unknown apartment) suspect were studying for approximately 1 hours, before both parties started to have a few drinks of alcohol suspect started to approach her and speak in a sexual manner suspect started to grope her breasts, buttocks and thighs while trying to kiss her neck suspect suspect forced his way into the bathroom suspect forced her to pull down her pants and shoved his hand down the front of her pants suspect began to digitally penetrate the victim's vagina suspect to stop but felt like she had no control over the situation suspect inserted his penis into her vagina against her will suspect ejaculated next to the victim suspect called an uber for her and she took the ride share back to nyc"/>
    <s v=""/>
    <s v="C02W07"/>
    <s v="Night (20:00-23:59)"/>
    <m/>
    <m/>
    <m/>
    <m/>
    <m/>
    <m/>
  </r>
  <r>
    <s v="25-014007"/>
    <x v="3"/>
    <x v="0"/>
    <x v="3"/>
    <d v="1899-12-30T12:52:04"/>
    <x v="0"/>
    <s v="February"/>
    <s v="Union St, 300 Block"/>
    <s v="360 Union Street"/>
    <s v="Sexual Assault"/>
    <x v="3"/>
    <s v=""/>
    <s v=""/>
    <s v="360 Union Street, Hackensack, NJ, 07601"/>
    <s v="H2"/>
    <n v="8"/>
    <s v="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
    <m/>
    <m/>
    <m/>
    <m/>
    <m/>
    <m/>
    <m/>
    <m/>
    <m/>
    <m/>
    <s v="Deleon_A"/>
    <s v="Complete"/>
    <s v="P.O. Angie Tabares 363"/>
    <s v="A3"/>
    <s v="Det. Frankie Garrett 323"/>
    <s v="Cleared - Arrest"/>
    <s v="36A = Incest"/>
    <n v="9"/>
    <d v="2017-06-20T00:00:00"/>
    <d v="1899-12-30T12:52:04"/>
    <d v="2024-09-20T00:00:00"/>
    <m/>
    <d v="2025-02-20T00:00:00"/>
    <d v="1899-12-30T12:52:04"/>
    <n v="2017"/>
    <n v="25"/>
    <n v="4"/>
    <n v="20"/>
    <n v="171"/>
    <d v="2017-06-20T12:52:00"/>
    <n v="360"/>
    <s v="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
    <m/>
    <s v=""/>
    <s v=""/>
    <s v="C02W08"/>
    <s v="Afternoon (12:00-15:59)"/>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25-002635"/>
    <x v="0"/>
    <x v="0"/>
    <d v="1899-12-30T15:00:00"/>
    <d v="1899-12-30T15:30:00"/>
    <x v="0"/>
    <s v="January"/>
    <x v="0"/>
    <s v="90 Prospect Avenue"/>
    <s v="Burglary - Auto"/>
    <x v="0"/>
    <s v=""/>
    <s v=""/>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Complete"/>
    <s v="P.O. Ruben Almonte 359"/>
    <s v="A3"/>
    <s v="Det. Matthew DeBonis 325"/>
    <s v="Active/Administratively Closed"/>
    <s v="23F = Theft From Motor Vehicle"/>
    <n v="9"/>
    <d v="2025-01-06T00:00:00"/>
    <d v="1899-12-30T15:30:00"/>
    <d v="2025-01-10T00:00:00"/>
    <m/>
    <d v="2025-01-10T00:00:00"/>
    <d v="1899-12-30T19:49:52"/>
    <n v="2025"/>
    <n v="2"/>
    <n v="2"/>
    <n v="6"/>
    <n v="6"/>
    <d v="2025-01-06T15:30:00"/>
    <n v="90"/>
    <x v="0"/>
    <x v="0"/>
    <s v="suspect(s): unknown suspect may be her husband uri darzi whom she is currently in a civil lawsuit with"/>
    <s v="$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s v="C01W01"/>
    <s v="Afternoon (12:00-15:59)"/>
  </r>
  <r>
    <s v="25-007074"/>
    <x v="1"/>
    <x v="1"/>
    <d v="1899-12-30T18:00:00"/>
    <d v="1899-12-30T18:27:00"/>
    <x v="1"/>
    <s v="January"/>
    <x v="1"/>
    <s v="206 Stanley Place"/>
    <s v="Burglary - Auto"/>
    <x v="1"/>
    <s v="Theft"/>
    <s v=""/>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Complete"/>
    <s v="P.O. Massimo Gallorini 379"/>
    <s v="A2"/>
    <s v="Sgt. Franklin Bay 162"/>
    <s v="No Investigation"/>
    <s v="23F = Theft From Motor Vehicle"/>
    <n v="9"/>
    <d v="2025-01-25T00:00:00"/>
    <d v="1899-12-30T18:27:00"/>
    <m/>
    <m/>
    <d v="2025-01-26T00:00:00"/>
    <d v="1899-12-30T10:34:25"/>
    <n v="2025"/>
    <n v="4"/>
    <n v="4"/>
    <n v="25"/>
    <n v="25"/>
    <d v="2025-01-25T18:27:00"/>
    <n v="206"/>
    <x v="1"/>
    <x v="1"/>
    <s v="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
    <s v=""/>
    <s v="C01W04"/>
    <s v="Evening Peak (16:00-19:59)"/>
  </r>
  <r>
    <s v="25-007197"/>
    <x v="2"/>
    <x v="2"/>
    <d v="1899-12-30T20:00:00"/>
    <d v="1899-12-30T20:10:00"/>
    <x v="2"/>
    <s v="January"/>
    <x v="2"/>
    <s v="5 Pangborn Place"/>
    <s v="Burglary - Auto"/>
    <x v="1"/>
    <s v="Theft"/>
    <s v=""/>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Complete"/>
    <s v="P.O. Micah Gibson 365"/>
    <s v="A3"/>
    <s v="Det. Matthew Dogali 338"/>
    <s v="Active/Administratively Closed"/>
    <s v="23F = Theft From Motor Vehicle"/>
    <n v="9"/>
    <d v="2025-01-26T00:00:00"/>
    <d v="1899-12-30T20:10:00"/>
    <d v="2025-01-26T00:00:00"/>
    <d v="1899-12-30T20:19:00"/>
    <d v="2025-01-26T00:00:00"/>
    <d v="1899-12-30T20:24:08"/>
    <n v="2025"/>
    <n v="5"/>
    <n v="5"/>
    <n v="26"/>
    <n v="26"/>
    <d v="2025-01-26T20:10:00"/>
    <n v="5"/>
    <x v="2"/>
    <x v="2"/>
    <s v=""/>
    <s v="$200.00.    The vehicle was parked on Conklin Place, 150 feet east of Pangborn Place, facing west"/>
    <s v="C01W04"/>
    <s v="Night (20:00-23:59)"/>
  </r>
  <r>
    <s v="25-012325"/>
    <x v="3"/>
    <x v="1"/>
    <d v="1899-12-30T16:00:00"/>
    <d v="1899-12-30T16:00:00"/>
    <x v="3"/>
    <s v="February"/>
    <x v="3"/>
    <s v="East Pleasantview Avenue &amp; Kipp Street"/>
    <s v="Burglary - Auto"/>
    <x v="0"/>
    <s v=""/>
    <s v=""/>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Complete"/>
    <s v="P.O. Angelo Vicale 370"/>
    <s v="B3"/>
    <s v="Det. Demetrius Carroll 133"/>
    <s v="Active Investigation"/>
    <s v="23F = Theft From Motor Vehicle"/>
    <n v="9"/>
    <d v="2025-02-13T00:00:00"/>
    <d v="1899-12-30T16:00:00"/>
    <m/>
    <m/>
    <d v="2025-02-14T00:00:00"/>
    <d v="1899-12-30T07:10:39"/>
    <n v="2025"/>
    <n v="7"/>
    <n v="3"/>
    <n v="13"/>
    <n v="44"/>
    <d v="2025-02-13T16:00:00"/>
    <m/>
    <x v="3"/>
    <x v="3"/>
    <s v="suspect(s) were able to unlock the door from the inside and enter the vehicle"/>
    <s v="$3,000.001-Heath RMLD- Approximately  $8,000.001-Heath gas detector- Approximately  $5,000.00                                            Approximate amount stolen:  $16,000.00    I did not observe any cameras in the area and the PSE&amp;G vehicle is self insured."/>
    <s v="C02W07"/>
    <s v="Evening Peak (16:00-19:59)"/>
  </r>
  <r>
    <s v="25-018160"/>
    <x v="4"/>
    <x v="2"/>
    <d v="1899-12-30T22:00:00"/>
    <d v="1899-12-30T22:35:45"/>
    <x v="3"/>
    <s v="March"/>
    <x v="4"/>
    <s v="216 Central Avenue"/>
    <s v="Burglary - Auto"/>
    <x v="0"/>
    <s v=""/>
    <s v=""/>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Complete"/>
    <s v="P.O. Ruben Almonte 359"/>
    <s v="A3"/>
    <s v="Det. John Tanucilli 335"/>
    <s v="Active Investigation"/>
    <m/>
    <n v="9"/>
    <d v="2025-03-06T00:00:00"/>
    <d v="1899-12-30T22:35:45"/>
    <m/>
    <m/>
    <d v="2025-03-06T00:00:00"/>
    <d v="1899-12-30T22:35:45"/>
    <n v="2025"/>
    <n v="10"/>
    <n v="2"/>
    <n v="6"/>
    <n v="65"/>
    <d v="2025-03-06T22:35:00"/>
    <n v="216"/>
    <x v="4"/>
    <x v="4"/>
    <s v="suspect: black male with a beard wearing a gray hooded sweatshirt suspect which was unsuccessful suspect completing a purchase at the listed location suspect was approximately $102"/>
    <s v="$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
    <s v="C03W10"/>
    <s v="Night (20:00-23:59)"/>
  </r>
  <r>
    <s v="25-019245"/>
    <x v="5"/>
    <x v="1"/>
    <d v="1899-12-30T19:00:00"/>
    <d v="1899-12-30T19:30:00"/>
    <x v="2"/>
    <s v="March"/>
    <x v="5"/>
    <s v="282 American Legion Drive"/>
    <s v="Burglary - Auto"/>
    <x v="0"/>
    <s v=""/>
    <s v=""/>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Complete"/>
    <s v="P.O. Peter Voorhis 380"/>
    <s v="B1"/>
    <m/>
    <m/>
    <m/>
    <n v="9"/>
    <d v="2025-03-09T00:00:00"/>
    <d v="1899-12-30T19:30:00"/>
    <d v="2025-03-10T00:00:00"/>
    <d v="1899-12-30T08:30:00"/>
    <d v="2025-03-10T00:00:00"/>
    <d v="1899-12-30T08:53:28"/>
    <n v="2025"/>
    <n v="11"/>
    <n v="3"/>
    <n v="9"/>
    <n v="68"/>
    <d v="2025-03-09T19:30:00"/>
    <n v="282"/>
    <x v="5"/>
    <x v="5"/>
    <s v="suspect is identified"/>
    <s v="$250.00 dollars in miscellaneous tools were missing from the vehicle. We did not observe any visible damage or forced entry to the doors' exterior"/>
    <s v="C03W10"/>
    <s v="Evening Peak (16:00-19:59)"/>
  </r>
  <r>
    <s v="25-019756"/>
    <x v="6"/>
    <x v="0"/>
    <d v="1899-12-30T14:00:00"/>
    <d v="1899-12-30T14:30:00"/>
    <x v="4"/>
    <s v="March"/>
    <x v="6"/>
    <s v="123 Anderson Street"/>
    <s v="Burglary - Auto"/>
    <x v="0"/>
    <s v=""/>
    <s v=""/>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Complete"/>
    <s v="P.O. Denisse Caero 367"/>
    <s v="B2"/>
    <s v="Det. Gunther Lara-Nunez 351"/>
    <s v="Active Investigation"/>
    <s v="23F = Theft From Motor Vehicle"/>
    <n v="9"/>
    <d v="2025-03-11T00:00:00"/>
    <d v="1899-12-30T14:30:00"/>
    <m/>
    <m/>
    <d v="2025-03-11T00:00:00"/>
    <d v="1899-12-30T16:34:10"/>
    <n v="2025"/>
    <n v="11"/>
    <n v="3"/>
    <n v="11"/>
    <n v="70"/>
    <d v="2025-03-11T14:30:00"/>
    <n v="123"/>
    <x v="6"/>
    <x v="6"/>
    <s v="suspects should they be identified"/>
    <s v="$200.00 dollars. He reported that he left his wallet with the  $200.00 in the middle console which was visible to any passerby.        Due to the victim reporting that he contaminated the area/vehicle, he was not offered to have his vehicle to be fingerprinted by BCI"/>
    <s v="C03W11"/>
    <s v="Afternoon (12:00-15: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25-002635"/>
    <x v="0"/>
    <x v="0"/>
    <d v="1899-12-30T15:00:00"/>
    <d v="1899-12-30T15:30:00"/>
    <x v="0"/>
    <s v="Jan"/>
    <s v="Prospect Ave, 0 Block"/>
    <s v="90 Prospect Avenue"/>
    <s v="Burglary - Auto"/>
    <s v="Burglary - Auto"/>
    <s v=""/>
    <s v=""/>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Complete"/>
    <s v="P.O. Ruben Almonte 359"/>
    <s v="A3"/>
    <s v="Det. Matthew DeBonis 325"/>
    <s v="Active/Administratively Closed"/>
    <s v="23F = Theft From Motor Vehicle"/>
    <n v="9"/>
    <d v="2025-01-06T00:00:00"/>
    <d v="1899-12-30T15:30:00"/>
    <d v="2025-01-10T00:00:00"/>
    <m/>
    <d v="2025-01-10T00:00:00"/>
    <d v="1899-12-30T19:49:52"/>
    <n v="2025"/>
    <n v="2"/>
    <n v="2"/>
    <n v="6"/>
    <n v="6"/>
    <d v="2025-01-06T15:30:00"/>
    <n v="90"/>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s v="Vehicle 1: NJ-XCSW43 HONDA, PIL"/>
    <s v="suspect(s): unknown suspect may be her husband uri darzi whom she is currently in a civil lawsuit with"/>
    <s v="$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s v="C01W01"/>
    <s v="Afternoon (12:00-15:59)"/>
    <x v="0"/>
  </r>
  <r>
    <s v="25-007074"/>
    <x v="1"/>
    <x v="1"/>
    <d v="1899-12-30T18:00:00"/>
    <d v="1899-12-30T18:27:00"/>
    <x v="1"/>
    <s v="Jan"/>
    <s v="Stanley Pl, 200 Block"/>
    <s v="206 Stanley Place"/>
    <s v="Burglary - Auto, Theft"/>
    <s v="Burglary - Auto"/>
    <s v="Theft"/>
    <s v=""/>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Complete"/>
    <s v="P.O. Massimo Gallorini 379"/>
    <s v="A2"/>
    <s v="Sgt. Franklin Bay 162"/>
    <s v="No Investigation"/>
    <s v="23F = Theft From Motor Vehicle"/>
    <n v="9"/>
    <d v="2025-01-25T00:00:00"/>
    <d v="1899-12-30T18:27:00"/>
    <m/>
    <m/>
    <d v="2025-01-26T00:00:00"/>
    <d v="1899-12-30T10:34:25"/>
    <n v="2025"/>
    <n v="4"/>
    <n v="4"/>
    <n v="25"/>
    <n v="25"/>
    <d v="2025-01-25T18:27:00"/>
    <n v="206"/>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s v="Vehicle 1: NJ-R36GBB HONDA, CRV"/>
    <s v="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
    <s v=""/>
    <s v="C01W04"/>
    <s v="Evening Peak (16:00-19:59)"/>
    <x v="1"/>
  </r>
  <r>
    <s v="25-007197"/>
    <x v="2"/>
    <x v="2"/>
    <d v="1899-12-30T20:00:00"/>
    <d v="1899-12-30T20:10:00"/>
    <x v="2"/>
    <s v="Jan"/>
    <s v="Pangborn Pl, 0 Block"/>
    <s v="5 Pangborn Place"/>
    <s v="Burglary - Auto, Theft"/>
    <s v="Burglary - Auto"/>
    <s v="Theft"/>
    <s v=""/>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Complete"/>
    <s v="P.O. Micah Gibson 365"/>
    <s v="A3"/>
    <s v="Det. Matthew Dogali 338"/>
    <s v="Active/Administratively Closed"/>
    <s v="23F = Theft From Motor Vehicle"/>
    <n v="9"/>
    <d v="2025-01-26T00:00:00"/>
    <d v="1899-12-30T20:10:00"/>
    <d v="2025-01-26T00:00:00"/>
    <d v="1899-12-30T20:19:00"/>
    <d v="2025-01-26T00:00:00"/>
    <d v="1899-12-30T20:24:08"/>
    <n v="2025"/>
    <n v="5"/>
    <n v="5"/>
    <n v="26"/>
    <n v="26"/>
    <d v="2025-01-26T20:10:00"/>
    <n v="5"/>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s v="Vehicle 1: NJ-R97RYW HONDA, ODY"/>
    <s v=""/>
    <s v="$200.00.    The vehicle was parked on Conklin Place, 150 feet east of Pangborn Place, facing west"/>
    <s v="C01W04"/>
    <s v="Night (20:00-23:59)"/>
    <x v="1"/>
  </r>
  <r>
    <s v="25-012325"/>
    <x v="3"/>
    <x v="1"/>
    <d v="1899-12-30T16:00:00"/>
    <d v="1899-12-30T16:00:00"/>
    <x v="3"/>
    <s v="Feb"/>
    <s v="East Pleasantview Avenue &amp; Kipp Street"/>
    <s v="East Pleasantview Avenue &amp; Kipp Street"/>
    <s v="Burglary - Auto"/>
    <s v="Burglary - Auto"/>
    <s v=""/>
    <s v=""/>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Complete"/>
    <s v="P.O. Angelo Vicale 370"/>
    <s v="B3"/>
    <s v="Det. Demetrius Carroll 133"/>
    <s v="Active Investigation"/>
    <s v="23F = Theft From Motor Vehicle"/>
    <n v="9"/>
    <d v="2025-02-13T00:00:00"/>
    <d v="1899-12-30T16:00:00"/>
    <m/>
    <m/>
    <d v="2025-02-14T00:00:00"/>
    <d v="1899-12-30T07:10:39"/>
    <n v="2025"/>
    <n v="7"/>
    <n v="3"/>
    <n v="13"/>
    <n v="44"/>
    <d v="2025-02-13T16:00:00"/>
    <m/>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s v="Vehicle 1: NJ-XGDR55 FORD, R1Z"/>
    <s v="suspect(s) were able to unlock the door from the inside and enter the vehicle"/>
    <s v="$3,000.001-Heath RMLD- Approximately  $8,000.001-Heath gas detector- Approximately  $5,000.00                                            Approximate amount stolen:  $16,000.00    I did not observe any cameras in the area and the PSE&amp;G vehicle is self insured."/>
    <s v="C02W07"/>
    <s v="Evening Peak (16:00-19:59)"/>
    <x v="0"/>
  </r>
  <r>
    <s v="25-018160"/>
    <x v="4"/>
    <x v="2"/>
    <d v="1899-12-30T22:00:00"/>
    <d v="1899-12-30T22:35:45"/>
    <x v="3"/>
    <s v="Mar"/>
    <s v="Central Ave, 200 Block"/>
    <s v="216 Central Avenue"/>
    <s v="Burglary - Auto"/>
    <s v="Burglary - Auto"/>
    <s v=""/>
    <s v=""/>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Complete"/>
    <s v="P.O. Ruben Almonte 359"/>
    <s v="A3"/>
    <s v="Det. John Tanucilli 335"/>
    <s v="Active Investigation"/>
    <m/>
    <n v="9"/>
    <d v="2025-03-06T00:00:00"/>
    <d v="1899-12-30T22:35:45"/>
    <m/>
    <m/>
    <d v="2025-03-06T00:00:00"/>
    <d v="1899-12-30T22:35:45"/>
    <n v="2025"/>
    <n v="10"/>
    <n v="2"/>
    <n v="6"/>
    <n v="65"/>
    <d v="2025-03-06T22:35:00"/>
    <n v="216"/>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s v="Vehicle 1: NJ-R64NVW FORD, EXP"/>
    <s v="suspect: black male with a beard wearing a gray hooded sweatshirt suspect which was unsuccessful suspect completing a purchase at the listed location suspect was approximately $102"/>
    <s v="$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
    <s v="C03W10"/>
    <s v="Night (20:00-23:59)"/>
    <x v="0"/>
  </r>
  <r>
    <s v="25-019245"/>
    <x v="5"/>
    <x v="1"/>
    <d v="1899-12-30T19:00:00"/>
    <d v="1899-12-30T19:30:00"/>
    <x v="2"/>
    <s v="Mar"/>
    <s v="American Legion Drive, 200 Block"/>
    <s v="282 American Legion Drive"/>
    <s v="Burglary - Auto"/>
    <s v="Burglary - Auto"/>
    <s v=""/>
    <s v=""/>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Complete"/>
    <s v="P.O. Peter Voorhis 380"/>
    <s v="B1"/>
    <m/>
    <m/>
    <m/>
    <n v="9"/>
    <d v="2025-03-09T00:00:00"/>
    <d v="1899-12-30T19:30:00"/>
    <d v="2025-03-10T00:00:00"/>
    <d v="1899-12-30T08:30:00"/>
    <d v="2025-03-10T00:00:00"/>
    <d v="1899-12-30T08:53:28"/>
    <n v="2025"/>
    <n v="11"/>
    <n v="3"/>
    <n v="9"/>
    <n v="68"/>
    <d v="2025-03-09T19:30:00"/>
    <n v="282"/>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s v="Vehicle 1: NJ-K46PXJ HYN, TIB"/>
    <s v="suspect is identified"/>
    <s v="$250.00 dollars in miscellaneous tools were missing from the vehicle. We did not observe any visible damage or forced entry to the doors' exterior"/>
    <s v="C03W10"/>
    <s v="Evening Peak (16:00-19:59)"/>
    <x v="0"/>
  </r>
  <r>
    <s v="25-019756"/>
    <x v="6"/>
    <x v="0"/>
    <d v="1899-12-30T14:00:00"/>
    <d v="1899-12-30T14:30:00"/>
    <x v="4"/>
    <s v="Mar"/>
    <s v="Anderson St, 100 Block"/>
    <s v="123 Anderson Street"/>
    <s v="Burglary - Auto"/>
    <s v="Burglary - Auto"/>
    <s v=""/>
    <s v=""/>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Complete"/>
    <s v="P.O. Denisse Caero 367"/>
    <s v="B2"/>
    <s v="Det. Gunther Lara-Nunez 351"/>
    <s v="Active Investigation"/>
    <s v="23F = Theft From Motor Vehicle"/>
    <n v="9"/>
    <d v="2025-03-11T00:00:00"/>
    <d v="1899-12-30T14:30:00"/>
    <m/>
    <m/>
    <d v="2025-03-11T00:00:00"/>
    <d v="1899-12-30T16:34:10"/>
    <n v="2025"/>
    <n v="11"/>
    <n v="3"/>
    <n v="11"/>
    <n v="70"/>
    <d v="2025-03-11T14:30:00"/>
    <n v="123"/>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s v="Vehicle 1: NJ-K87VEF SUBARU, TRI"/>
    <s v="suspects should they be identified"/>
    <s v="$200.00 dollars. He reported that he left his wallet with the  $200.00 in the middle console which was visible to any passerby.        Due to the victim reporting that he contaminated the area/vehicle, he was not offered to have his vehicle to be fingerprinted by BCI"/>
    <s v="C03W11"/>
    <s v="Afternoon (12:00-15:59)"/>
    <x v="0"/>
  </r>
  <r>
    <s v="25-023424"/>
    <x v="7"/>
    <x v="3"/>
    <d v="1899-12-30T04:00:00"/>
    <d v="1899-12-30T04:10:00"/>
    <x v="2"/>
    <s v="Mar"/>
    <s v="Pulaski Pl, 0 Block"/>
    <s v="24 Pulaski Place"/>
    <s v="Burglary - Auto, Criminal Mischief - Vehicle"/>
    <s v="Burglary - Auto"/>
    <s v="Criminal Mischief - Vehicle"/>
    <s v=""/>
    <s v="24 Pulaski Place, Hackensack, NJ, 07601"/>
    <s v="E3"/>
    <n v="5"/>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m/>
    <m/>
    <s v="M88KXU"/>
    <s v="FORD"/>
    <s v="ECO"/>
    <s v="NJ"/>
    <m/>
    <m/>
    <m/>
    <m/>
    <s v="Competiello_Fa"/>
    <s v="Complete"/>
    <s v="P.O. Micah Gibson 365"/>
    <s v="A3"/>
    <s v="Det. Demetrius Carroll 133"/>
    <s v="Active Investigation"/>
    <m/>
    <n v="9"/>
    <d v="2025-03-23T00:00:00"/>
    <d v="1899-12-30T04:10:00"/>
    <d v="2025-03-23T00:00:00"/>
    <d v="1899-12-30T04:20:00"/>
    <d v="2025-03-23T00:00:00"/>
    <d v="1899-12-30T04:55:22"/>
    <n v="2025"/>
    <n v="13"/>
    <n v="5"/>
    <n v="23"/>
    <n v="82"/>
    <d v="2025-03-23T04:10:00"/>
    <n v="24"/>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s v="Vehicle 1: NJ-M88KXU FORD, ECO"/>
    <s v="suspect vehicle description: white 4-door suv, possibly a honda crv or toyota style suv suspect vehicle parked next to his, facing west suspect vehicle fled the scene, traveling west on pulaski place towards an unknown direction suspect also damaged the steering wheel and ignition system to his vehicle"/>
    <s v="$1,000.00.         A New Jersey Victim Notification Form was completed and provided to the victim"/>
    <s v="C03W12"/>
    <s v="Morning (04:00-07:59)"/>
    <x v="2"/>
  </r>
  <r>
    <s v="25-025304"/>
    <x v="8"/>
    <x v="3"/>
    <d v="1899-12-30T04:00:00"/>
    <d v="1899-12-30T04:55:25"/>
    <x v="1"/>
    <s v="Mar"/>
    <s v="Parkway, 0 Block"/>
    <s v="15 Parkway"/>
    <s v="Suspicious Incident, Attempted Burglary"/>
    <s v="Suspicious Incident"/>
    <s v="Attempted Burglary"/>
    <s v=""/>
    <s v="15 Parkway, Hackensack, NJ, 07601"/>
    <s v="F2"/>
    <n v="6"/>
    <s v="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quot;what are you doing&quot; to which the suspect responded &quot;construction work&quot;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
    <m/>
    <m/>
    <s v="Z85SBR"/>
    <s v="ACURA"/>
    <s v="TLX"/>
    <s v="NJ"/>
    <m/>
    <m/>
    <m/>
    <m/>
    <s v="Competiello_Fa"/>
    <s v="Complete"/>
    <s v="P.O. Laura Lopez-Amaya 374"/>
    <s v="B3"/>
    <m/>
    <m/>
    <m/>
    <n v="9"/>
    <d v="2025-03-29T00:00:00"/>
    <d v="1899-12-30T04:55:25"/>
    <m/>
    <m/>
    <d v="2025-03-29T00:00:00"/>
    <d v="1899-12-30T05:01:25"/>
    <n v="2025"/>
    <n v="13"/>
    <n v="5"/>
    <n v="29"/>
    <n v="88"/>
    <d v="2025-03-29T04:55:00"/>
    <n v="15"/>
    <s v="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quot;what are you doing&quot; to which the suspect responded &quot;construction work&quot;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
    <s v="Vehicle 1: NJ-Z85SBR ACURA, TLX"/>
    <s v="suspect is a tall, slim male dressed in all black suspect responded &quot;construction work&quot; and took off running suspect vehicle suspect fleeing upon observing the complainant"/>
    <s v="$200.00.   The complainant was unable to get the vehicle owner on the phone so we were unable to get permission to process the vehicle"/>
    <s v="C04W13"/>
    <s v="Morning (04:00-07:59)"/>
    <x v="3"/>
  </r>
  <r>
    <s v="25-026077"/>
    <x v="9"/>
    <x v="1"/>
    <d v="1899-12-30T18:00:00"/>
    <d v="1899-12-30T18:40:00"/>
    <x v="0"/>
    <s v="Mar"/>
    <s v="Second Street &amp; American Legion Drive"/>
    <s v="Second Street &amp; American Legion Drive"/>
    <s v="Burglary - Auto, Theft, Criminal Mischief"/>
    <s v="Burglary - Auto"/>
    <s v="Theft"/>
    <s v="Criminal Mischief"/>
    <s v="Second Street &amp; American Legion Drive, Hackensack, NJ, 07601"/>
    <s v="G3"/>
    <n v="7"/>
    <s v="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
    <m/>
    <m/>
    <s v="J72JJJ"/>
    <s v="TOYOTA"/>
    <s v="SIENNA"/>
    <s v="NJ"/>
    <m/>
    <m/>
    <m/>
    <m/>
    <s v="Farhi_B"/>
    <s v="Complete"/>
    <s v="P.O. Jeffrey Rodriguez 342"/>
    <s v="A2"/>
    <m/>
    <m/>
    <m/>
    <n v="9"/>
    <d v="2025-03-31T00:00:00"/>
    <d v="1899-12-30T18:40:00"/>
    <d v="2025-03-31T00:00:00"/>
    <d v="1899-12-30T22:00:00"/>
    <d v="2025-03-31T00:00:00"/>
    <d v="1899-12-30T22:19:40"/>
    <n v="2025"/>
    <n v="14"/>
    <n v="6"/>
    <n v="31"/>
    <n v="90"/>
    <d v="2025-03-31T18:40:00"/>
    <m/>
    <s v="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
    <s v="Vehicle 1: NJ-J72JJJ TOYOTA, SIENNA"/>
    <s v=""/>
    <s v="$5.00 US in mixed coins and a Go Pro camera worth approximately  $600.00 US. A victim notification form was completed and the victim received a copy"/>
    <s v="C04W13"/>
    <s v="Evening Peak (16:00-19:59)"/>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25-004478"/>
    <x v="0"/>
    <x v="0"/>
    <d v="1899-12-30T12:00:00"/>
    <d v="1899-12-30T12:00:00"/>
    <x v="0"/>
    <s v="January"/>
    <s v="Second St, 0 Block"/>
    <s v="30 Second Street"/>
    <s v="Burglary - Residence"/>
    <x v="0"/>
    <s v=""/>
    <s v=""/>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s v="Deleon_A"/>
    <s v="Complete"/>
    <s v="P.O. Aziah Miller 357"/>
    <s v="A3"/>
    <s v="Det. Matthew DeBonis 325"/>
    <s v="Active/Administratively Closed"/>
    <s v="220 = Burglary/Breaking &amp; Entering"/>
    <n v="9"/>
    <d v="2025-01-16T00:00:00"/>
    <d v="1899-12-30T12:00:00"/>
    <d v="2025-01-16T00:00:00"/>
    <d v="1899-12-30T18:00:00"/>
    <d v="2025-01-16T00:00:00"/>
    <d v="1899-12-30T19:34:52"/>
    <n v="2025"/>
    <n v="3"/>
    <n v="3"/>
    <n v="16"/>
    <n v="16"/>
    <d v="2025-01-16T12:00:00"/>
    <n v="30"/>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s v="suspects at the time this report was taken"/>
    <s v="$35.00. A Victim Notification was completed and the victim was provided with a copy upon our departure"/>
    <s v="C01W03"/>
    <s v="Afternoon (12:00-15:59)"/>
  </r>
  <r>
    <s v="25-006864"/>
    <x v="1"/>
    <x v="1"/>
    <d v="1899-12-30T11:00:00"/>
    <d v="1899-12-30T11:00:00"/>
    <x v="1"/>
    <s v="January"/>
    <s v="Kansas St, 0 Block"/>
    <s v="60 Kansas Street"/>
    <s v="Burglary - Residence"/>
    <x v="0"/>
    <s v=""/>
    <s v=""/>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s v="Levis_R"/>
    <s v="Complete"/>
    <s v="P.O. Andres Lopez 375"/>
    <s v="A2"/>
    <s v="Det. Matthew DeBonis 325"/>
    <s v="Active Investigation"/>
    <s v="220 = Burglary/Breaking &amp; Entering"/>
    <n v="9"/>
    <d v="2025-01-25T00:00:00"/>
    <d v="1899-12-30T11:00:00"/>
    <d v="2025-01-25T00:00:00"/>
    <d v="1899-12-30T14:00:00"/>
    <d v="2025-01-25T00:00:00"/>
    <d v="1899-12-30T13:55:59"/>
    <n v="2025"/>
    <n v="4"/>
    <n v="4"/>
    <n v="25"/>
    <n v="25"/>
    <d v="2025-01-25T11:00:00"/>
    <n v="60"/>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s v="suspects inside"/>
    <s v="$2,000 in miscellaneous jewelry. She described the jewelry to be earrings and gold necklaces.The victim reported she had the same incident occur in 2023"/>
    <s v="C01W04"/>
    <s v="Morning Peak (08:00-11:59)"/>
  </r>
  <r>
    <s v="25-008551"/>
    <x v="2"/>
    <x v="1"/>
    <d v="1899-12-30T11:00:00"/>
    <d v="1899-12-30T11:59:50"/>
    <x v="2"/>
    <s v="January"/>
    <s v="The Esplanade, 200 Block"/>
    <s v="292 The Esplanade"/>
    <s v="Burglary - Residence"/>
    <x v="0"/>
    <s v=""/>
    <s v=""/>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s v="Klosk_J"/>
    <s v="Complete"/>
    <s v="P.O. Denisse Caero 367"/>
    <s v="B2"/>
    <s v="Det. John Tanucilli 335"/>
    <s v="Active/Administratively Closed"/>
    <s v="220 = Burglary/Breaking &amp; Entering"/>
    <n v="9"/>
    <d v="2025-01-31T00:00:00"/>
    <d v="1899-12-30T11:59:50"/>
    <m/>
    <m/>
    <d v="2025-01-31T00:00:00"/>
    <d v="1899-12-30T11:59:50"/>
    <n v="2025"/>
    <n v="5"/>
    <n v="5"/>
    <n v="31"/>
    <n v="31"/>
    <d v="2025-01-31T11:59:00"/>
    <n v="292"/>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s v=""/>
    <s v=""/>
    <s v="C02W05"/>
    <s v="Morning Peak (08:00-11:59)"/>
  </r>
  <r>
    <s v="25-009831"/>
    <x v="3"/>
    <x v="2"/>
    <d v="1899-12-30T02:00:00"/>
    <d v="1899-12-30T02:57:00"/>
    <x v="3"/>
    <s v="February"/>
    <s v="Passaic St, 400 Block"/>
    <s v="441 Passaic Street"/>
    <s v="Burglary - Commercial"/>
    <x v="1"/>
    <s v="Alarm - Burglar"/>
    <s v=""/>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s v="Swetits_M"/>
    <s v="Complete"/>
    <s v="P.O. Benjamin Estrada 350"/>
    <s v="A2"/>
    <s v="Det. Frank Scarpa 348"/>
    <s v="Active Investigation"/>
    <s v="220 = Burglary/Breaking &amp; Entering"/>
    <n v="9"/>
    <d v="2025-02-05T00:00:00"/>
    <d v="1899-12-30T02:57:00"/>
    <m/>
    <m/>
    <d v="2025-02-05T00:00:00"/>
    <d v="1899-12-30T02:57:41"/>
    <n v="2025"/>
    <n v="6"/>
    <n v="2"/>
    <n v="5"/>
    <n v="36"/>
    <d v="2025-02-05T02:57:00"/>
    <n v="441"/>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s v=""/>
    <s v=""/>
    <s v="C02W06"/>
    <s v="Early Morning (00:00-03:59)"/>
  </r>
  <r>
    <s v="25-013147"/>
    <x v="4"/>
    <x v="0"/>
    <d v="1899-12-30T12:00:00"/>
    <d v="1899-12-30T12:35:58"/>
    <x v="4"/>
    <s v="February"/>
    <s v="Pangborn Pl, 0 Block"/>
    <s v="35 Pangborn Place"/>
    <s v="Burglary - Commercial"/>
    <x v="2"/>
    <s v="Suspicious Incident"/>
    <s v=""/>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s v="Deleon_A"/>
    <s v="Complete"/>
    <s v="P.O. Ruben Almonte 359"/>
    <s v="A3"/>
    <s v="Sgt. Francesco Tripodi 134"/>
    <s v="Under Supervisor Review"/>
    <s v="220 = Burglary/Breaking &amp; Entering"/>
    <n v="9"/>
    <d v="2025-02-17T00:00:00"/>
    <d v="1899-12-30T12:35:58"/>
    <m/>
    <m/>
    <d v="2025-02-17T00:00:00"/>
    <d v="1899-12-30T12:35:58"/>
    <n v="2025"/>
    <n v="8"/>
    <n v="4"/>
    <n v="17"/>
    <n v="48"/>
    <d v="2025-02-17T12:35:00"/>
    <n v="35"/>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s v="suspect(s): unknown     i responded to the listed location, 35 pangborn place - hackensack emergency dental, on a report of a burglary"/>
    <s v="$100.00 USD) and a Keep Connect Router Reporter ( $50.00) had been a taken from the basement. The complainant further stated there did not appear to be any forced entry into the basement $150.00 USD"/>
    <s v="C02W07"/>
    <s v="Afternoon (12:00-15:59)"/>
  </r>
  <r>
    <s v="25-003745"/>
    <x v="5"/>
    <x v="1"/>
    <d v="1899-12-30T11:00:00"/>
    <d v="1899-12-30T11:08:00"/>
    <x v="5"/>
    <s v="January"/>
    <s v="Main St, 800 Block"/>
    <s v="895 Main Street"/>
    <s v="Burglary - Residence"/>
    <x v="3"/>
    <s v="Harassment"/>
    <s v="Domestic Violence"/>
    <s v="895 Main Street, Hackensack, NJ, 07601"/>
    <s v="I5"/>
    <n v="9"/>
    <s v="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quot; BITCH, DON'T MESS WITH THE GRANDKIDS, DO YOU KNOW WHO THAT NIGGA IS ON THE COUCH, STAY THE FUCK AWAY FROM ME!&quot;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m/>
    <m/>
    <m/>
    <m/>
    <m/>
    <m/>
    <m/>
    <m/>
    <m/>
    <m/>
    <s v="Knapp_J"/>
    <s v="Complete"/>
    <s v="P.O. Kevin Small 328"/>
    <s v="B2"/>
    <s v="Det. John Tanucilli 335"/>
    <s v="Complaint Signed"/>
    <s v="220 = Burglary/Breaking &amp; Entering"/>
    <n v="9"/>
    <d v="2025-01-14T00:00:00"/>
    <d v="1899-12-30T11:08:00"/>
    <m/>
    <m/>
    <d v="2025-01-14T00:00:00"/>
    <d v="1899-12-30T11:13:04"/>
    <n v="2025"/>
    <n v="3"/>
    <n v="3"/>
    <n v="14"/>
    <n v="14"/>
    <d v="2025-01-14T11:08:00"/>
    <n v="895"/>
    <s v="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quot; BITCH, DON'T MESS WITH THE GRANDKIDS, DO YOU KNOW WHO THAT NIGGA IS ON THE COUCH, STAY THE FUCK AWAY FROM ME!&quot;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m/>
    <s v="suspect) suspect suspect has not lived at the apartment for approximately three (3) months suspect does not have key access to the apartment suspect broke into the apartment uninvited and continued into her bedroom, where she was located suspect was irate, confronted her about money that she was awarded from a lawsuit settlement suspect stated, &quot; bitch, don't mess with the grandkids, do you know who that nigga is on the couch, stay the fuck away from me!&quot; the victim reported at the time her granddaughter, ms suspect entered suspect did not engage with ms suspect suspect for 2c:29-9 (contempt of court) suspect exited the bedroom, the granddaughter and her boyfriend left and the witness entered the apartment suspect by exiting the apartment suspect was inside and the victim confirmed his reporting suspect has a no contact order against the witness (see complaint #w2024-000767-0223) suspect used a credit card to gain entry into the apartment"/>
    <s v=""/>
    <s v="C01W03"/>
    <s v="Morning Peak (08:00-11:59)"/>
  </r>
  <r>
    <s v="25-004288"/>
    <x v="0"/>
    <x v="3"/>
    <d v="1899-12-30T20:00:00"/>
    <d v="1899-12-30T20:00:00"/>
    <x v="0"/>
    <s v="January"/>
    <s v="Bonhomme St, 100 Block"/>
    <s v="152 Bonhomme Street"/>
    <s v="Violation of Court Order"/>
    <x v="4"/>
    <s v="Burglary - Residence"/>
    <s v="Harassment"/>
    <s v="152 Bonhomme Street, Hackensack, NJ, 07601"/>
    <s v="E2"/>
    <n v="5"/>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m/>
    <m/>
    <m/>
    <m/>
    <m/>
    <m/>
    <m/>
    <m/>
    <m/>
    <m/>
    <s v="Levis_R"/>
    <s v="Complete"/>
    <s v="P.O. Daniel Francavilla 329"/>
    <s v="B4"/>
    <m/>
    <m/>
    <s v="220 = Burglary/Breaking &amp; Entering"/>
    <n v="9"/>
    <d v="2025-01-16T00:00:00"/>
    <d v="1899-12-30T20:00:00"/>
    <m/>
    <m/>
    <d v="2025-01-16T00:00:00"/>
    <d v="1899-12-30T02:09:41"/>
    <n v="2025"/>
    <n v="3"/>
    <n v="3"/>
    <n v="16"/>
    <n v="16"/>
    <d v="2025-01-16T20:00:00"/>
    <n v="152"/>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m/>
    <s v="suspect were prviously in a two year relationship suspect inside of the house suspect and escorted her out of the house suspect ran toward the backyard fence and climbed over before our arrival on the scene suspect entering the rear yard and walking to the basement door of the house suspect"/>
    <s v="$200.00.  P"/>
    <s v="C01W03"/>
    <s v="Night (20:00-23:59)"/>
  </r>
  <r>
    <s v="25-019648"/>
    <x v="6"/>
    <x v="2"/>
    <d v="1899-12-30T01:00:00"/>
    <d v="1899-12-30T01:07:00"/>
    <x v="4"/>
    <s v="March"/>
    <s v="Park Ave, 0 Block"/>
    <s v="1 Park Avenue"/>
    <s v="Burglary - Residence"/>
    <x v="0"/>
    <s v=""/>
    <s v=""/>
    <s v="1 Park Avenue, Hackensack, NJ, 07601"/>
    <s v="H1"/>
    <n v="8"/>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m/>
    <m/>
    <m/>
    <m/>
    <m/>
    <m/>
    <m/>
    <m/>
    <m/>
    <s v="Ghirardi_R"/>
    <s v="Complete"/>
    <s v="P.O. Nicholas Mazzaccaro 377"/>
    <s v="B2"/>
    <s v="Det. Matthew Dogali 338"/>
    <s v="Active Investigation"/>
    <s v="220 = Burglary/Breaking &amp; Entering"/>
    <n v="9"/>
    <d v="2025-03-10T00:00:00"/>
    <d v="1899-12-30T01:07:00"/>
    <d v="2025-03-10T00:00:00"/>
    <d v="1899-12-30T03:53:00"/>
    <d v="2025-03-11T00:00:00"/>
    <d v="1899-12-30T10:36:59"/>
    <n v="2025"/>
    <n v="11"/>
    <n v="3"/>
    <n v="10"/>
    <n v="69"/>
    <d v="2025-03-10T01:07:00"/>
    <n v="1"/>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s v="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
    <s v=""/>
    <s v="C03W10"/>
    <s v="Early Morning (00:00-03:59)"/>
  </r>
  <r>
    <s v="25-021703"/>
    <x v="7"/>
    <x v="4"/>
    <d v="1899-12-30T05:00:00"/>
    <d v="1899-12-30T05:30:00"/>
    <x v="5"/>
    <s v="March"/>
    <s v="Hackensack Ave, 400 Block"/>
    <s v="414 Hackensack Avenue"/>
    <s v="Assist Other Agency"/>
    <x v="5"/>
    <s v="Burglary - Residence"/>
    <s v=""/>
    <s v="414 Hackensack Avenue, Hackensack, NJ, 07601"/>
    <s v="I6"/>
    <n v="9"/>
    <s v="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
    <m/>
    <m/>
    <s v="Y52RXA"/>
    <s v="KIA"/>
    <s v="TEL"/>
    <s v="NJ"/>
    <m/>
    <m/>
    <m/>
    <m/>
    <m/>
    <s v="Complete"/>
    <s v="Lt. John Knapp 141"/>
    <s v="HACSOC"/>
    <m/>
    <m/>
    <m/>
    <n v="9"/>
    <m/>
    <m/>
    <d v="2025-03-18T00:00:00"/>
    <d v="1899-12-30T05:30:00"/>
    <d v="2025-03-18T00:00:00"/>
    <d v="1899-12-30T06:34:38"/>
    <n v="2025"/>
    <n v="12"/>
    <n v="4"/>
    <n v="18"/>
    <n v="77"/>
    <d v="2025-03-18T05:30:00"/>
    <n v="414"/>
    <s v="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
    <s v="Vehicle 1: NJ-Y52RXA KIA, TEL"/>
    <s v=""/>
    <s v=""/>
    <s v="C03W12"/>
    <s v="Morning (04:00-07:59)"/>
  </r>
  <r>
    <s v="25-024952"/>
    <x v="8"/>
    <x v="3"/>
    <d v="1899-12-30T22:00:00"/>
    <d v="1899-12-30T22:43:12"/>
    <x v="0"/>
    <s v="March"/>
    <s v="Essex St, 200 Block"/>
    <s v="211 Essex Street"/>
    <s v="Burglary - Commercial"/>
    <x v="6"/>
    <s v="Hindering Apprehension"/>
    <s v="Resisting Arrest/Eluding"/>
    <s v="211 Essex Street, Hackensack, NJ, 07601"/>
    <s v="F1"/>
    <n v="6"/>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m/>
    <m/>
    <m/>
    <m/>
    <m/>
    <m/>
    <m/>
    <m/>
    <m/>
    <s v="Bay_F"/>
    <s v="Complete"/>
    <s v="P.O. Laura Lopez-Amaya 374"/>
    <s v="B3"/>
    <s v="Det. John Mora 257"/>
    <s v="Active Investigation"/>
    <m/>
    <n v="9"/>
    <d v="2025-03-27T00:00:00"/>
    <d v="1899-12-30T22:43:12"/>
    <m/>
    <m/>
    <d v="2025-03-27T00:00:00"/>
    <d v="1899-12-30T22:43:12"/>
    <n v="2025"/>
    <n v="13"/>
    <n v="5"/>
    <n v="27"/>
    <n v="86"/>
    <d v="2025-03-27T22:43:00"/>
    <n v="211"/>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s v=""/>
    <s v="$26.99. Melanie Esquiveo then responded to police headquarters to provide a statement to detectives"/>
    <s v="C04W13"/>
    <s v="Night (20:00-23:59)"/>
  </r>
  <r>
    <s v="25-025078"/>
    <x v="8"/>
    <x v="3"/>
    <d v="1899-12-30T23:00:00"/>
    <d v="1899-12-30T23:30:00"/>
    <x v="0"/>
    <s v="March"/>
    <s v="Park Ave, 0 Block"/>
    <s v="2 Park Avenue"/>
    <s v="Burglary - Residence"/>
    <x v="0"/>
    <s v=""/>
    <s v=""/>
    <s v="2 Park Avenue, Hackensack, NJ, 07601"/>
    <s v="H1"/>
    <n v="8"/>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n v="50300"/>
    <m/>
    <m/>
    <m/>
    <m/>
    <m/>
    <m/>
    <m/>
    <m/>
    <m/>
    <s v="Klosk_J"/>
    <s v="Complete"/>
    <s v="P.O. Peter Voorhis 380"/>
    <s v="B1"/>
    <s v="Sgt. Patrick Williams 143"/>
    <s v="Active Investigation"/>
    <m/>
    <n v="9"/>
    <d v="2025-03-27T00:00:00"/>
    <d v="1899-12-30T23:30:00"/>
    <d v="2025-03-28T00:00:00"/>
    <d v="1899-12-30T00:36:00"/>
    <d v="2025-03-28T00:00:00"/>
    <d v="1899-12-30T11:13:39"/>
    <n v="2025"/>
    <n v="13"/>
    <n v="5"/>
    <n v="27"/>
    <n v="86"/>
    <d v="2025-03-27T23:30:00"/>
    <n v="2"/>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m/>
    <s v="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
    <s v="$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
    <s v="C04W13"/>
    <s v="Night (20:00-23:59)"/>
  </r>
  <r>
    <s v="25-025926"/>
    <x v="9"/>
    <x v="0"/>
    <d v="1899-12-30T12:00:00"/>
    <d v="1899-12-30T12:00:00"/>
    <x v="4"/>
    <s v="March"/>
    <s v="Essex St, 100 Block"/>
    <s v="100 Essex Street"/>
    <s v="Burglary - Residence"/>
    <x v="0"/>
    <s v=""/>
    <s v=""/>
    <s v="100 Essex Street, Hackensack, NJ, 07601"/>
    <s v="G2"/>
    <n v="7"/>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m/>
    <m/>
    <m/>
    <m/>
    <m/>
    <m/>
    <m/>
    <m/>
    <m/>
    <s v="Competiello_Fa"/>
    <s v="Complete"/>
    <s v="P.O. Anthony Mattalian 83"/>
    <s v="A2"/>
    <m/>
    <m/>
    <m/>
    <n v="9"/>
    <d v="2025-03-31T00:00:00"/>
    <d v="1899-12-30T12:00:00"/>
    <m/>
    <m/>
    <d v="2025-03-31T00:00:00"/>
    <d v="1899-12-30T13:02:43"/>
    <n v="2025"/>
    <n v="14"/>
    <n v="6"/>
    <n v="31"/>
    <n v="90"/>
    <d v="2025-03-31T12:00:00"/>
    <n v="100"/>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s v="suspect was inside his apartment, were visible suspect suspect a few weeks prior and seeing him briefly today"/>
    <s v="$50.00 USD inside, attached to four (4) keys and one (1) safety deposit box key. Total loss of  $200.00 USD.     The victim stated in effect that he took a shower at approximately 0500 hours today"/>
    <s v="C04W13"/>
    <s v="Afternoon (12:00-15:5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s v="25-000813"/>
    <x v="0"/>
    <x v="0"/>
    <d v="1899-12-30T21:00:00"/>
    <d v="1899-12-30T21:30:00"/>
    <x v="0"/>
    <s v="January"/>
    <s v="Lookout Ave, 300 Block"/>
    <s v="309 Lookout Avenue"/>
    <s v="Motor Vehicle Theft"/>
    <x v="0"/>
    <s v=""/>
    <s v=""/>
    <s v="309 Lookout Avenue, Hackensack, NJ, 07601"/>
    <s v="I2"/>
    <n v="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m/>
    <m/>
    <s v="W46ULY"/>
    <s v="HONDA"/>
    <s v="ACC"/>
    <s v="NJ"/>
    <m/>
    <m/>
    <m/>
    <m/>
    <s v="Klosk_J"/>
    <s v="Complete"/>
    <s v="P.O. Nicholas Mazzaccaro 377"/>
    <s v="B4"/>
    <s v="Det. Robert Ghirardi 150"/>
    <s v="Active/Administratively Closed"/>
    <s v="240 = Theft of Motor Vehicle"/>
    <n v="9"/>
    <d v="2025-01-03T00:00:00"/>
    <d v="1899-12-30T21:30:00"/>
    <d v="2025-01-04T00:00:00"/>
    <d v="1899-12-30T06:25:00"/>
    <d v="2025-01-04T00:00:00"/>
    <d v="1899-12-30T10:59:09"/>
    <n v="2025"/>
    <n v="1"/>
    <n v="1"/>
    <n v="3"/>
    <n v="3"/>
    <d v="2025-01-03T21:30:00"/>
    <n v="30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s v="Vehicle 1: NJ-W46ULY HONDA, ACC"/>
    <s v="suspect(s) are identified"/>
    <s v=""/>
    <s v="C01W01"/>
    <s v="Night (20:00-23:59)"/>
  </r>
  <r>
    <s v="25-004097"/>
    <x v="1"/>
    <x v="1"/>
    <d v="1899-12-30T12:00:00"/>
    <d v="1899-12-30T12:57:26"/>
    <x v="1"/>
    <s v="January"/>
    <s v="First St, 200 Block"/>
    <s v="244 First Street"/>
    <s v="Motor Vehicle Theft"/>
    <x v="0"/>
    <s v=""/>
    <s v=""/>
    <s v="244 First Street, Hackensack, NJ, 07601"/>
    <s v="H3"/>
    <n v="8"/>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m/>
    <m/>
    <s v="U38ULG"/>
    <s v="HONDA"/>
    <s v="CIV"/>
    <s v="NJ"/>
    <m/>
    <m/>
    <m/>
    <m/>
    <s v="Swetits_M"/>
    <s v="Complete"/>
    <s v="P.O. Frank Lorenzo 371"/>
    <s v="b1"/>
    <s v="Det. Matthew DeBonis 325"/>
    <s v="Active/Administratively Closed"/>
    <s v="240 = Theft of Motor Vehicle"/>
    <n v="9"/>
    <d v="2025-01-15T00:00:00"/>
    <d v="1899-12-30T12:57:26"/>
    <m/>
    <m/>
    <d v="2025-01-15T00:00:00"/>
    <d v="1899-12-30T12:57:26"/>
    <n v="2025"/>
    <n v="3"/>
    <n v="3"/>
    <n v="15"/>
    <n v="15"/>
    <d v="2025-01-15T12:57:00"/>
    <n v="244"/>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s v="Vehicle 1: NJ-U38ULG HONDA, CIV"/>
    <s v="suspected to be from his rear passenger side window"/>
    <s v="$50,000.00 as the vehicle was fairly new. He further reported he attempted to track the vehicle as it contains tracking equipment but was unsuccessful as it was not connecting"/>
    <s v="C01W03"/>
    <s v="Afternoon (12:00-15:59)"/>
  </r>
  <r>
    <s v="25-005871"/>
    <x v="2"/>
    <x v="2"/>
    <d v="1899-12-30T19:00:00"/>
    <d v="1899-12-30T19:00:00"/>
    <x v="2"/>
    <s v="January"/>
    <s v="Ross Ave, 0 Block"/>
    <s v="33 Ross Avenue"/>
    <s v="Motor Vehicle Theft"/>
    <x v="0"/>
    <s v=""/>
    <s v=""/>
    <s v="33 Ross Avenue, Hackensack, NJ, 07601"/>
    <s v="I1"/>
    <n v="9"/>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m/>
    <m/>
    <s v="U22RSV"/>
    <s v="HONDA"/>
    <s v="PAS"/>
    <s v="NJ"/>
    <m/>
    <m/>
    <m/>
    <m/>
    <s v="Tovbin_S"/>
    <s v="Complete"/>
    <s v="P.O. Roselys Salas 369"/>
    <s v="B4"/>
    <s v="Det. John Tanucilli 335"/>
    <s v="Active/Administratively Closed"/>
    <s v="240 = Theft of Motor Vehicle"/>
    <n v="9"/>
    <d v="2025-01-21T00:00:00"/>
    <d v="1899-12-30T19:00:00"/>
    <d v="2025-01-22T00:00:00"/>
    <d v="1899-12-30T03:09:00"/>
    <d v="2025-01-22T00:00:00"/>
    <d v="1899-12-30T03:10:53"/>
    <n v="2025"/>
    <n v="4"/>
    <n v="4"/>
    <n v="21"/>
    <n v="21"/>
    <d v="2025-01-21T19:00:00"/>
    <n v="33"/>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s v="Vehicle 1: NJ-U22RSV HONDA, PAS"/>
    <s v=""/>
    <s v=""/>
    <s v="C01W04"/>
    <s v="Evening Peak (16:00-19:59)"/>
  </r>
  <r>
    <s v="25-006083"/>
    <x v="3"/>
    <x v="3"/>
    <d v="1899-12-30T08:00:00"/>
    <d v="1899-12-30T08:00:00"/>
    <x v="1"/>
    <s v="January"/>
    <s v="Hudson St, 400 Block"/>
    <s v="443 Hudson Street"/>
    <s v="Motor Vehicle Theft"/>
    <x v="0"/>
    <s v=""/>
    <s v=""/>
    <s v="443 Hudson Street, Hackensack, NJ, 07601"/>
    <s v="E3"/>
    <n v="5"/>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m/>
    <m/>
    <s v="Y62SRJ"/>
    <s v="NISSAN"/>
    <s v="PTH"/>
    <s v="NJ"/>
    <m/>
    <m/>
    <m/>
    <m/>
    <s v="Swetits_M"/>
    <s v="Complete"/>
    <s v="P.O. Roselys Salas 369"/>
    <s v="B4"/>
    <s v="Det. Demetrius Carroll 133"/>
    <s v="Active/Administratively Closed"/>
    <s v="240 = Theft of Motor Vehicle"/>
    <n v="9"/>
    <d v="2025-01-22T00:00:00"/>
    <d v="1899-12-30T08:00:00"/>
    <d v="2025-01-22T00:00:00"/>
    <d v="1899-12-30T19:13:00"/>
    <d v="2025-01-22T00:00:00"/>
    <d v="1899-12-30T19:14:56"/>
    <n v="2025"/>
    <n v="4"/>
    <n v="4"/>
    <n v="22"/>
    <n v="22"/>
    <d v="2025-01-22T08:00:00"/>
    <n v="443"/>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s v="Vehicle 1: NJ-Y62SRJ NISSAN, PTH"/>
    <s v=""/>
    <s v=""/>
    <s v="C01W04"/>
    <s v="Morning Peak (08:00-11:59)"/>
  </r>
  <r>
    <s v="25-008075"/>
    <x v="4"/>
    <x v="1"/>
    <d v="1899-12-30T15:00:00"/>
    <d v="1899-12-30T15:00:00"/>
    <x v="2"/>
    <s v="January"/>
    <s v="Essex St, 100 Block"/>
    <s v="119 Essex Street"/>
    <s v="Motor Vehicle Theft"/>
    <x v="1"/>
    <s v="Theft"/>
    <s v=""/>
    <s v="119 Essex Street, Hackensack, NJ, 07601"/>
    <s v="F1"/>
    <n v="6"/>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m/>
    <m/>
    <s v="K84CXU"/>
    <s v="LEXUS"/>
    <s v="ES"/>
    <s v="NJ"/>
    <m/>
    <m/>
    <m/>
    <m/>
    <s v="Swetits_M"/>
    <s v="Complete"/>
    <s v="P.O. Roselys Salas 369"/>
    <s v="B4"/>
    <s v="Det. Matthew DeBonis 325"/>
    <s v="Ex-Cleared / Closed"/>
    <s v="240 = Theft of Motor Vehicle"/>
    <n v="9"/>
    <d v="2025-01-28T00:00:00"/>
    <d v="1899-12-30T15:00:00"/>
    <d v="2025-01-29T00:00:00"/>
    <d v="1899-12-30T22:01:00"/>
    <d v="2025-01-29T00:00:00"/>
    <d v="1899-12-30T22:02:24"/>
    <n v="2025"/>
    <n v="5"/>
    <n v="5"/>
    <n v="28"/>
    <n v="28"/>
    <d v="2025-01-28T15:00:00"/>
    <n v="119"/>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s v="Vehicle 1: NJ-K84CXU LEXUS, ES"/>
    <s v=""/>
    <s v="$800.00 USD."/>
    <s v="C02W05"/>
    <s v="Afternoon (12:00-15:59)"/>
  </r>
  <r>
    <s v="25-010788"/>
    <x v="5"/>
    <x v="1"/>
    <d v="1899-12-30T12:00:00"/>
    <d v="1899-12-30T12:00:00"/>
    <x v="0"/>
    <s v="January"/>
    <s v="Hudson St, 500 Block"/>
    <s v="535 Hudson Street"/>
    <s v="Motor Vehicle Theft"/>
    <x v="0"/>
    <s v=""/>
    <s v=""/>
    <s v="535 Hudson Street, Hackensack, NJ, 07601"/>
    <s v="E3"/>
    <n v="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m/>
    <m/>
    <s v="S70MPZ"/>
    <m/>
    <s v="CIV"/>
    <s v="NJ"/>
    <m/>
    <m/>
    <m/>
    <m/>
    <s v="Swetits_M"/>
    <s v="Complete"/>
    <s v="P.O. Daniel Francavilla 329"/>
    <s v="B4"/>
    <s v="Det. Matthew Dogali 338"/>
    <s v="Active/Administratively Closed"/>
    <s v="240 = Theft of Motor Vehicle"/>
    <n v="9"/>
    <d v="2025-01-31T00:00:00"/>
    <d v="1899-12-30T12:00:00"/>
    <d v="2025-02-07T00:00:00"/>
    <d v="1899-12-30T13:00:00"/>
    <d v="2025-02-08T00:00:00"/>
    <d v="1899-12-30T09:22:04"/>
    <n v="2025"/>
    <n v="5"/>
    <n v="5"/>
    <n v="31"/>
    <n v="31"/>
    <d v="2025-01-31T12:00:00"/>
    <n v="53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s v="Vehicle 1: NJ-S70MPZ"/>
    <s v=""/>
    <s v="$6,000.00.  A victim notification form was completed, and the vehicle was entered into N"/>
    <s v="C02W05"/>
    <s v="Afternoon (12:00-15:59)"/>
  </r>
  <r>
    <s v="25-008777"/>
    <x v="6"/>
    <x v="4"/>
    <d v="1899-12-30T01:00:00"/>
    <d v="1899-12-30T01:00:00"/>
    <x v="3"/>
    <s v="February"/>
    <s v="Sutton Ave, 400 Block"/>
    <s v="453 Sutton Avenue"/>
    <s v="Motor Vehicle Theft"/>
    <x v="0"/>
    <s v=""/>
    <s v=""/>
    <s v="453 Sutton Avenue, Hackensack, NJ, 07601"/>
    <s v="F2"/>
    <n v="6"/>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m/>
    <m/>
    <s v="P77UZJ"/>
    <s v="FORD"/>
    <s v="CRO"/>
    <s v="NJ"/>
    <m/>
    <m/>
    <m/>
    <m/>
    <s v="Swetits_M"/>
    <s v="Complete"/>
    <s v="P.O. Roselys Salas 369"/>
    <s v="B4"/>
    <s v="Det. Demetrius Carroll 133"/>
    <s v="Active/Administratively Closed"/>
    <s v="240 = Theft of Motor Vehicle"/>
    <n v="9"/>
    <d v="2025-02-01T00:00:00"/>
    <d v="1899-12-30T01:00:00"/>
    <m/>
    <d v="1899-12-30T02:30:00"/>
    <d v="2025-02-01T00:00:00"/>
    <d v="1899-12-30T02:52:33"/>
    <n v="2025"/>
    <n v="5"/>
    <n v="1"/>
    <n v="1"/>
    <n v="32"/>
    <d v="2025-02-01T01:00:00"/>
    <n v="453"/>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s v="Vehicle 1: NJ-P77UZJ FORD, CRO"/>
    <s v=""/>
    <s v="$30.00 USD."/>
    <s v="C02W05"/>
    <s v="Early Morning (00:00-03:59)"/>
  </r>
  <r>
    <s v="25-009657"/>
    <x v="7"/>
    <x v="2"/>
    <d v="1899-12-30T18:00:00"/>
    <d v="1899-12-30T18:30:00"/>
    <x v="4"/>
    <s v="February"/>
    <s v="Midtown Bridge Approach, 0 Block"/>
    <s v="55 Midtown Bridge Approach"/>
    <s v="Motor Vehicle Theft"/>
    <x v="0"/>
    <s v=""/>
    <s v=""/>
    <s v="55 Midtown Bridge Approach, Hackensack, NJ, 07601"/>
    <s v="H1"/>
    <n v="8"/>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m/>
    <m/>
    <s v="AM82732"/>
    <s v="RAM"/>
    <s v="PROMASTER"/>
    <s v="AZ"/>
    <m/>
    <m/>
    <m/>
    <m/>
    <s v="Deleon_A"/>
    <s v="Complete"/>
    <s v="P.O. Micah Gibson 365"/>
    <s v="A3"/>
    <s v="Det. Matthew DeBonis 325"/>
    <s v="Complaint Signed"/>
    <s v="240 = Theft of Motor Vehicle"/>
    <n v="9"/>
    <d v="2025-02-03T00:00:00"/>
    <d v="1899-12-30T18:30:00"/>
    <d v="2025-02-04T00:00:00"/>
    <d v="1899-12-30T19:00:00"/>
    <d v="2025-02-04T00:00:00"/>
    <d v="1899-12-30T12:43:32"/>
    <n v="2025"/>
    <n v="6"/>
    <n v="2"/>
    <n v="3"/>
    <n v="34"/>
    <d v="2025-02-03T18:30:00"/>
    <n v="55"/>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s v="Vehicle 1: AZ-AM82732 RAM, PROMASTER"/>
    <s v="suspect, where a brief verbal exchange is had suspect is then seen retrieving keys from a lock box, before entering the van and fleeing the area suspect, who acted as an employee of the business suspect and secured the keys in the lock box himself"/>
    <s v="$45,000.00.            The complainant has video footage of the incident, available upon request"/>
    <s v="C02W05"/>
    <s v="Evening Peak (16:00-19:59)"/>
  </r>
  <r>
    <s v="25-010474"/>
    <x v="8"/>
    <x v="5"/>
    <d v="1899-12-30T06:00:00"/>
    <d v="1899-12-30T06:35:00"/>
    <x v="0"/>
    <s v="February"/>
    <s v="Hudson St, 100 Block"/>
    <s v="170 Hudson Street"/>
    <s v="Motor Vehicle Theft"/>
    <x v="0"/>
    <s v=""/>
    <s v=""/>
    <s v="170 Hudson Street, Hackensack, NJ, 07601"/>
    <s v="E2"/>
    <n v="5"/>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m/>
    <m/>
    <s v="T12SSE"/>
    <s v="DODGE"/>
    <s v="CAR"/>
    <s v="NJ"/>
    <m/>
    <m/>
    <m/>
    <m/>
    <s v="Swetits_M"/>
    <s v="Complete"/>
    <s v="P.O. Matthew Tedesco 316"/>
    <s v="B3"/>
    <s v="Sgt. Francesco Tripodi 134"/>
    <s v="No Investigation"/>
    <s v="240 = Theft of Motor Vehicle"/>
    <n v="9"/>
    <d v="2025-02-07T00:00:00"/>
    <d v="1899-12-30T06:35:00"/>
    <d v="2025-02-07T00:00:00"/>
    <d v="1899-12-30T06:50:00"/>
    <d v="2025-02-07T00:00:00"/>
    <d v="1899-12-30T07:22:38"/>
    <n v="2025"/>
    <n v="6"/>
    <n v="2"/>
    <n v="7"/>
    <n v="38"/>
    <d v="2025-02-07T06:35:00"/>
    <n v="170"/>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s v="Vehicle 1: NJ-T12SSE DODGE, CAR"/>
    <s v=""/>
    <s v="$2,000.00 Dollars."/>
    <s v="C02W06"/>
    <s v="Morning (04:00-07:59)"/>
  </r>
  <r>
    <s v="25-013091"/>
    <x v="9"/>
    <x v="3"/>
    <d v="1899-12-30T08:00:00"/>
    <d v="1899-12-30T08:22:14"/>
    <x v="4"/>
    <s v="February"/>
    <s v="Second St, 100 Block"/>
    <s v="100 Second Street"/>
    <s v="Motor Vehicle Theft"/>
    <x v="2"/>
    <s v="Recovered Stolen Vehicle"/>
    <s v=""/>
    <s v="100 Second Street, Hackensack, NJ, 07601"/>
    <s v="G3"/>
    <n v="7"/>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m/>
    <m/>
    <s v="L17PUM"/>
    <s v="HONDA"/>
    <s v="ACC"/>
    <s v="NJ"/>
    <m/>
    <m/>
    <m/>
    <m/>
    <s v="Deleon_A"/>
    <s v="Complete"/>
    <s v="P.O. Ruben Almonte 359"/>
    <s v="A3"/>
    <s v="Det. Demetrius Carroll 133"/>
    <s v="Active Investigation"/>
    <s v="240 = Theft of Motor Vehicle"/>
    <n v="9"/>
    <d v="2025-02-17T00:00:00"/>
    <d v="1899-12-30T08:22:14"/>
    <m/>
    <m/>
    <d v="2025-02-17T00:00:00"/>
    <d v="1899-12-30T08:22:14"/>
    <n v="2025"/>
    <n v="8"/>
    <n v="4"/>
    <n v="17"/>
    <n v="48"/>
    <d v="2025-02-17T08:22:00"/>
    <n v="100"/>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s v="Vehicle 1: NJ-L17PUM HONDA, ACC"/>
    <s v="suspect(s): unknown     the victim, kimberly trujillo, responded to police headquarters on a report of a motor vehicle theft"/>
    <s v="$22,000 USD.  See Rochelle Park Case #2025-002492."/>
    <s v="C02W07"/>
    <s v="Morning Peak (08:00-11:59)"/>
  </r>
  <r>
    <s v="25-013106"/>
    <x v="9"/>
    <x v="3"/>
    <d v="1899-12-30T09:00:00"/>
    <d v="1899-12-30T09:31:55"/>
    <x v="4"/>
    <s v="February"/>
    <s v="Prospect Ave, 0 Block"/>
    <s v="30 Prospect Avenue"/>
    <s v="Motor Vehicle Theft"/>
    <x v="0"/>
    <s v=""/>
    <s v=""/>
    <s v="30 Prospect Avenue, Hackensack, NJ, 07601"/>
    <s v="G4"/>
    <n v="7"/>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m/>
    <m/>
    <s v="Z53RVG"/>
    <s v="HONDA"/>
    <s v="ACC"/>
    <s v="NJ"/>
    <m/>
    <m/>
    <m/>
    <m/>
    <s v="Deleon_A"/>
    <s v="Complete"/>
    <s v="P.O. Anzour Marza 356"/>
    <s v="A3"/>
    <s v="Det. Demetrius Carroll 133"/>
    <s v="Active/Administratively Closed"/>
    <s v="240 = Theft of Motor Vehicle"/>
    <n v="9"/>
    <d v="2025-02-17T00:00:00"/>
    <d v="1899-12-30T09:31:55"/>
    <m/>
    <m/>
    <d v="2025-02-17T00:00:00"/>
    <d v="1899-12-30T09:31:55"/>
    <n v="2025"/>
    <n v="8"/>
    <n v="4"/>
    <n v="17"/>
    <n v="48"/>
    <d v="2025-02-17T09:31:00"/>
    <n v="30"/>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s v="Vehicle 1: NJ-Z53RVG HONDA, ACC"/>
    <s v=""/>
    <s v=""/>
    <s v="C02W07"/>
    <s v="Morning Peak (08:00-11:59)"/>
  </r>
  <r>
    <s v="25-015290"/>
    <x v="10"/>
    <x v="3"/>
    <d v="1899-12-30T10:00:00"/>
    <d v="1899-12-30T10:00:00"/>
    <x v="2"/>
    <s v="February"/>
    <s v="Washington Ave, 400 Block"/>
    <s v="430 Washington Avenue"/>
    <s v="Motor Vehicle Theft"/>
    <x v="0"/>
    <s v=""/>
    <s v=""/>
    <s v="430 Washington Avenue, Hackensack, NJ, 07601"/>
    <s v="E3"/>
    <n v="5"/>
    <s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
    <m/>
    <m/>
    <s v="8FL4661"/>
    <s v="HONDA"/>
    <s v="PILOT"/>
    <s v="MD"/>
    <m/>
    <m/>
    <m/>
    <m/>
    <s v="Klosk_J"/>
    <s v="Complete"/>
    <s v="P.O. Denisse Caero 367"/>
    <s v="B2"/>
    <m/>
    <m/>
    <m/>
    <n v="9"/>
    <d v="2025-02-25T00:00:00"/>
    <d v="1899-12-30T10:00:00"/>
    <d v="2025-02-25T00:00:00"/>
    <d v="1899-12-30T23:00:00"/>
    <d v="2025-02-24T00:00:00"/>
    <d v="1899-12-30T23:47:34"/>
    <n v="2025"/>
    <n v="9"/>
    <n v="5"/>
    <n v="25"/>
    <n v="56"/>
    <d v="2025-02-25T10:00:00"/>
    <n v="430"/>
    <s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
    <s v="Vehicle 1: MD-8FL4661 HONDA, PILOT"/>
    <s v=""/>
    <s v=""/>
    <s v="C03W09"/>
    <s v="Morning Peak (08:00-11:59)"/>
  </r>
  <r>
    <s v="25-022902"/>
    <x v="11"/>
    <x v="5"/>
    <d v="1899-12-30T07:00:00"/>
    <d v="1899-12-30T07:48:00"/>
    <x v="0"/>
    <s v="March"/>
    <s v="Kenneth St, 100 Block"/>
    <s v="171 Kenneth Street"/>
    <s v="Motor Vehicle Theft"/>
    <x v="0"/>
    <s v=""/>
    <s v=""/>
    <s v="171 Kenneth Street, Hackensack, NJ, 07601"/>
    <s v="F1"/>
    <n v="6"/>
    <s v="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
    <m/>
    <m/>
    <s v="JWG42F"/>
    <s v="CHEVROLET"/>
    <m/>
    <s v="NJ"/>
    <m/>
    <m/>
    <m/>
    <m/>
    <s v="Farhi_B"/>
    <s v="Complete"/>
    <s v="P.O. Andres Lopez 375"/>
    <s v="A2"/>
    <s v="Sgt. Francesco Tripodi 134"/>
    <s v="Under Supervisor Review"/>
    <m/>
    <n v="9"/>
    <d v="2025-03-21T00:00:00"/>
    <d v="1899-12-30T07:48:00"/>
    <m/>
    <m/>
    <d v="2025-03-21T00:00:00"/>
    <d v="1899-12-30T14:19:53"/>
    <n v="2025"/>
    <n v="12"/>
    <n v="4"/>
    <n v="21"/>
    <n v="80"/>
    <d v="2025-03-21T07:48:00"/>
    <n v="171"/>
    <s v="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
    <s v="Vehicle 1: NJ-JWG42F"/>
    <s v="suspect enters the van suspect proceeds to sit in the van for a couple of minutes before starting the vehicle south on kenneth st"/>
    <s v="$4,000.00."/>
    <s v="C03W12"/>
    <s v="Morning (04:00-07:59)"/>
  </r>
  <r>
    <s v="25-025341"/>
    <x v="12"/>
    <x v="0"/>
    <d v="1899-12-30T20:00:00"/>
    <d v="1899-12-30T20:30:00"/>
    <x v="0"/>
    <s v="March"/>
    <s v="Berry St, 200 Block"/>
    <s v="296 Berry Street"/>
    <s v="Motor Vehicle Theft"/>
    <x v="0"/>
    <s v=""/>
    <s v=""/>
    <s v="296 Berry Street, Hackensack, NJ, 07601"/>
    <s v="H4"/>
    <n v="8"/>
    <s v="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
    <m/>
    <m/>
    <s v="T41VHN"/>
    <s v="ACURA"/>
    <s v="TLX"/>
    <s v="NJ"/>
    <m/>
    <m/>
    <m/>
    <m/>
    <s v="Competiello_Fa"/>
    <s v="Complete"/>
    <s v="P.O. Wanda Rivera 161"/>
    <s v="A1"/>
    <m/>
    <m/>
    <m/>
    <n v="9"/>
    <d v="2025-03-28T00:00:00"/>
    <d v="1899-12-30T20:30:00"/>
    <d v="2025-03-29T00:00:00"/>
    <d v="1899-12-30T10:00:00"/>
    <d v="2025-03-29T00:00:00"/>
    <d v="1899-12-30T10:19:00"/>
    <n v="2025"/>
    <n v="13"/>
    <n v="5"/>
    <n v="28"/>
    <n v="87"/>
    <d v="2025-03-28T20:30:00"/>
    <n v="296"/>
    <s v="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
    <s v="Vehicle 1: NJ-T41VHN ACURA, TLX"/>
    <s v=""/>
    <s v="$50,000Insurance provider: Geico 100, policy #4587415441"/>
    <s v="C04W13"/>
    <s v="Night (20:00-23:59)"/>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25-003362"/>
    <x v="0"/>
    <x v="0"/>
    <d v="1899-12-30T12:00:00"/>
    <d v="1899-12-30T12:05:00"/>
    <x v="0"/>
    <s v="Jan"/>
    <s v="Clay St, 200 Block"/>
    <s v="204 Clay Street"/>
    <s v="Dispute, Criminal Attempt, Robbery"/>
    <s v="Dispute"/>
    <s v="Criminal Attempt"/>
    <s v="Robbery"/>
    <s v="204 Clay Street, Hackensack, NJ, 07601"/>
    <s v="H3"/>
    <n v="8"/>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m/>
    <m/>
    <m/>
    <m/>
    <m/>
    <m/>
    <m/>
    <m/>
    <m/>
    <s v="Klosk_J"/>
    <s v="Complete"/>
    <s v="P.O. Forrod Bonsu 353"/>
    <s v="B1"/>
    <s v="Det. Frankie Garrett 323"/>
    <s v="Active Investigation"/>
    <s v="120 = Robbery"/>
    <n v="9"/>
    <d v="2025-01-13T00:00:00"/>
    <d v="1899-12-30T12:05:00"/>
    <m/>
    <m/>
    <d v="2025-01-13T00:00:00"/>
    <d v="1899-12-30T12:07:44"/>
    <n v="2025"/>
    <n v="3"/>
    <n v="3"/>
    <n v="13"/>
    <n v="13"/>
    <d v="2025-01-13T12:05:00"/>
    <n v="204"/>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s v="suspect, described as wearing a grey hoodie and sweatpants, had fled southbound on first street suspect, later identified as d suspect, d suspect asked the victim if he could drop off the stolen moped for a couple of days suspect, d suspect arrived at his residence demanding $400 suspect arrived with three (3) other friends: two hispanic males, unknown names, dates of birth, or addresses, and a hispanic female, blonde hair and blue jacket, operating a toyota rav 4 with an unknown ny tag suspect, and the three (3) witnesses stood by suspect breached the door with physical force and continued to assault the victim while demanding $400 suspect, d suspect and the three (3) witnesses fled the scene after she threatened to call the police"/>
    <s v="$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400.00 for the red moped electric bike.  I then requested a supervisor, and Sgt"/>
    <s v="C01W02"/>
    <x v="0"/>
    <x v="0"/>
  </r>
  <r>
    <s v="25-003813"/>
    <x v="1"/>
    <x v="0"/>
    <d v="1899-12-30T15:00:00"/>
    <d v="1899-12-30T15:22:34"/>
    <x v="1"/>
    <s v="Jan"/>
    <s v="Hackensack Ave, 400 Block"/>
    <s v="450 Hackensack Avenue"/>
    <s v="Robbery, Resisting Arrest/Eluding, Suspicious Person"/>
    <s v="Robbery"/>
    <s v="Resisting Arrest/Eluding"/>
    <s v="Suspicious Person"/>
    <s v="450 Hackensack Avenue, Hackensack, NJ, 07601"/>
    <s v="I6"/>
    <n v="9"/>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m/>
    <m/>
    <s v="Y82VDS"/>
    <s v="VOLKS"/>
    <s v="ATL"/>
    <s v="NJ"/>
    <m/>
    <m/>
    <m/>
    <m/>
    <s v="Swetits_M"/>
    <s v="Complete"/>
    <s v="P.O. Nicholas Mazzaccaro 377"/>
    <s v="b2"/>
    <s v="Det. John Tanucilli 335"/>
    <s v="Active Investigation"/>
    <s v="120 = Robbery"/>
    <n v="9"/>
    <d v="2025-01-14T00:00:00"/>
    <d v="1899-12-30T15:22:34"/>
    <m/>
    <m/>
    <d v="2025-01-14T00:00:00"/>
    <d v="1899-12-30T15:22:34"/>
    <n v="2025"/>
    <n v="3"/>
    <n v="3"/>
    <n v="14"/>
    <n v="14"/>
    <d v="2025-01-14T15:22:00"/>
    <n v="450"/>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s v="Vehicle 1: NJ-Y82VDS VOLKS, ATL"/>
    <s v=""/>
    <s v="$1,284.00 and placed them in a shopping cart. The arrestee then went past all points of sale and tried to exit the store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s v="C01W03"/>
    <x v="0"/>
    <x v="1"/>
  </r>
  <r>
    <s v="25-004629"/>
    <x v="2"/>
    <x v="1"/>
    <d v="1899-12-30T21:00:00"/>
    <d v="1899-12-30T21:03:00"/>
    <x v="2"/>
    <s v="Jan"/>
    <s v="Main St, 600 Block"/>
    <s v="630 Main Street"/>
    <s v="Robbery"/>
    <s v="Robbery"/>
    <s v=""/>
    <s v=""/>
    <s v="630 Main Street, Hackensack, NJ, 07601"/>
    <s v="I1"/>
    <n v="9"/>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m/>
    <m/>
    <m/>
    <s v="HYUNDAI"/>
    <s v="SONATA"/>
    <m/>
    <m/>
    <m/>
    <m/>
    <m/>
    <s v="Deleon_A"/>
    <s v="Complete"/>
    <s v="P.O. Massimo Gallorini 379"/>
    <s v="A2"/>
    <s v="Det. John Mora 257"/>
    <s v="Complaint Signed"/>
    <s v="120 = Robbery"/>
    <n v="9"/>
    <d v="2025-01-16T00:00:00"/>
    <d v="1899-12-30T21:03:00"/>
    <d v="2025-01-16T00:00:00"/>
    <d v="1899-12-30T21:16:00"/>
    <d v="2025-01-17T00:00:00"/>
    <d v="1899-12-30T12:16:59"/>
    <n v="2025"/>
    <n v="3"/>
    <n v="3"/>
    <n v="16"/>
    <n v="16"/>
    <d v="2025-01-16T21:03:00"/>
    <n v="630"/>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s v="Vehicle 1: HYUNDAI, SONATA"/>
    <s v="suspect 1: hispanic male, approximately early 30' s in age, approximately 5'10&quot; in height, approximately 180 in weight, wearing a tan hooded sweater, brown &quot;ny&quot; yankees logo hat, black sweatpants and white sneakers suspect 2: hispanic female, approximately mid 20's in age, approximately 5'5&quot; in height, approximately 140 in weight, wearing a black jacket, grey hooded sweater, tan pants and cream colored shoes suspect vehicle: 4 door silver in color hyundai sonata (unknown registration) suspect 1 and  suspect 2 entered target suspect 1 and 2 passed all points of sale with unpaid merchandise in a shopping cart suspects suspects attempted to steal suspect 1 punched the victim in the head, specifically the top left side, with a closed fist one time suspect later left the area in the  suspect vehicle"/>
    <s v="$452.71. Prior to exiting Target Loss Prevention / the victim confronted both suspects"/>
    <s v="C01W03"/>
    <x v="1"/>
    <x v="2"/>
  </r>
  <r>
    <s v="25-009348"/>
    <x v="3"/>
    <x v="2"/>
    <d v="1899-12-30T17:00:00"/>
    <d v="1899-12-30T17:25:00"/>
    <x v="3"/>
    <s v="Feb"/>
    <s v="Hudson St, 100 Block"/>
    <s v="144 Hudson Street"/>
    <s v="Suspicious Incident, Robbery"/>
    <s v="Suspicious Incident"/>
    <s v="Robbery"/>
    <s v=""/>
    <s v="144 Hudson Street, Hackensack, NJ, 07601"/>
    <s v="E1"/>
    <n v="5"/>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m/>
    <m/>
    <m/>
    <m/>
    <m/>
    <m/>
    <m/>
    <m/>
    <m/>
    <s v="Deleon_A"/>
    <s v="Complete"/>
    <s v="P.O. Micah Gibson 365"/>
    <s v="A3"/>
    <s v="Sgt. Francesco Tripodi 134"/>
    <s v="No Investigation"/>
    <m/>
    <n v="9"/>
    <d v="2025-02-02T00:00:00"/>
    <d v="1899-12-30T17:25:00"/>
    <d v="2025-02-02T00:00:00"/>
    <d v="1899-12-30T18:00:00"/>
    <d v="2025-02-03T00:00:00"/>
    <d v="1899-12-30T12:02:04"/>
    <n v="2025"/>
    <n v="6"/>
    <n v="2"/>
    <n v="2"/>
    <n v="33"/>
    <d v="2025-02-02T17:25:00"/>
    <n v="144"/>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s v="suspect descriptions:unknown  suspect 1: tall white male, crew cut, no clothing descriptionunknown  suspects 2-5: 4 males, unknown race, wearing dark colored helmets and dark clothes with padding suspects, with four of them carrying bats suspect #1 threatened him, stating that he would beat him up if he didn't hand over his belongings suspect #1 forcibly retrieved the wallet off his person and removed a debit card and identification card, before throwing the wallet back in his direction suspect's then told him if they saw him again, they would beat him up suspects then fled east on court street, before turning left to head north on river road"/>
    <s v=""/>
    <s v="C02W05"/>
    <x v="2"/>
    <x v="3"/>
  </r>
  <r>
    <s v="25-009438"/>
    <x v="4"/>
    <x v="2"/>
    <d v="1899-12-30T16:00:00"/>
    <d v="1899-12-30T16:40:35"/>
    <x v="0"/>
    <s v="Feb"/>
    <s v="Hackensack Ave, 400 Block"/>
    <s v="400 Hackensack Avenue"/>
    <s v="Robbery"/>
    <s v="Robbery"/>
    <s v=""/>
    <s v=""/>
    <s v="400 Hackensack Avenue, Hackensack, NJ, 07601"/>
    <s v="I6"/>
    <n v="9"/>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m/>
    <m/>
    <m/>
    <m/>
    <m/>
    <m/>
    <m/>
    <m/>
    <m/>
    <s v="Levis_R"/>
    <s v="Complete"/>
    <s v="P.O. Aziah Miller 357"/>
    <s v="A3"/>
    <s v="Det. Matthew Dogali 338"/>
    <s v="Active/Administratively Closed"/>
    <s v="120 = Robbery"/>
    <n v="9"/>
    <m/>
    <m/>
    <m/>
    <m/>
    <d v="2025-02-03T00:00:00"/>
    <d v="1899-12-30T16:40:35"/>
    <n v="2025"/>
    <n v="6"/>
    <n v="2"/>
    <n v="3"/>
    <n v="34"/>
    <d v="2025-02-03T16:40:00"/>
    <n v="400"/>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s v="suspects (1 male, 2 females) entered the establishment at approximately 1600 hours suspects reportedly exited and reentered the store multiples time prior to committing the offense, with the last entry being made only by the male  suspect suspect grabbed three small purses from the display shelf before he began to walk toward the exit suspect, who immediately shoved him into a store fixture suspect reportedly proceeded to run out of the store toward the nearest mall exit, where he entered a black vehicle and fled in an unknown direction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s v="$650.00. The store manager (witness) wished to have complaints signed against the suspects if they were able to be identified"/>
    <s v="C02W05"/>
    <x v="2"/>
    <x v="2"/>
  </r>
  <r>
    <s v="25-012110"/>
    <x v="5"/>
    <x v="3"/>
    <d v="1899-12-30T02:00:00"/>
    <d v="1899-12-30T02:00:00"/>
    <x v="2"/>
    <s v="Feb"/>
    <s v="Christopher Columbus Drive, 100 Block"/>
    <s v="128 Christopher Columbus Drive"/>
    <s v="Assist Other Agency, Aggravated Assault, Robbery"/>
    <s v="Assist Other Agency"/>
    <s v="Aggravated Assault"/>
    <s v="Robbery"/>
    <s v="128 Christopher Columbus Drive, Jersey City, NJ 07302, Hackensack, NJ, 07601"/>
    <s v="I5"/>
    <n v="9"/>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m/>
    <m/>
    <m/>
    <m/>
    <m/>
    <m/>
    <m/>
    <m/>
    <m/>
    <s v="Briggs_S"/>
    <s v="Complete"/>
    <s v="P.O. Angelo Vicale 370"/>
    <s v="B3"/>
    <s v="Det. John Mora 257"/>
    <s v="TOT Outside Jurisdiction"/>
    <m/>
    <n v="9"/>
    <d v="2025-02-13T00:00:00"/>
    <d v="1899-12-30T02:00:00"/>
    <m/>
    <m/>
    <d v="2025-02-13T00:00:00"/>
    <d v="1899-12-30T12:17:39"/>
    <n v="2025"/>
    <n v="7"/>
    <n v="3"/>
    <n v="13"/>
    <n v="44"/>
    <d v="2025-02-13T02:00:00"/>
    <n v="128"/>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s v="suspect were in a dating relationship for approximately 9 months suspect met with her on the sidewalk suspect wished to get back together, but she refused suspect strangled her, he stole her iphone 14 pro out of her front pocket (approximate value: $1,000 suspect, but he has not been served"/>
    <s v="$1,000.00) then fled the scene.     The victim advised me that she currently has a restraining order against the suspect, but he has not been served"/>
    <s v="C02W07"/>
    <x v="3"/>
    <x v="4"/>
  </r>
  <r>
    <s v="25-017536"/>
    <x v="6"/>
    <x v="2"/>
    <d v="1899-12-30T18:00:00"/>
    <d v="1899-12-30T18:59:25"/>
    <x v="1"/>
    <s v="Mar"/>
    <s v="Essex St, 200 Block"/>
    <s v="216 Essex Street"/>
    <s v="Robbery"/>
    <s v="Robbery"/>
    <s v=""/>
    <s v=""/>
    <s v="216 Essex Street, Hackensack, NJ, 07601"/>
    <s v="F1"/>
    <n v="6"/>
    <s v="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quot;If you call the police, I will kill you.&quot;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quot;No.&quot;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
    <m/>
    <m/>
    <m/>
    <m/>
    <m/>
    <m/>
    <m/>
    <m/>
    <m/>
    <m/>
    <s v="Bay_F"/>
    <s v="Complete"/>
    <s v="P.O. Steven Lemanowicz 347"/>
    <s v="B4"/>
    <s v="Det. Matthew DeBonis 325"/>
    <s v="Active Investigation"/>
    <s v="120 = Robbery"/>
    <n v="9"/>
    <d v="2025-03-04T00:00:00"/>
    <d v="1899-12-30T18:59:25"/>
    <m/>
    <m/>
    <d v="2025-03-04T00:00:00"/>
    <d v="1899-12-30T18:59:25"/>
    <n v="2025"/>
    <n v="10"/>
    <n v="2"/>
    <n v="4"/>
    <n v="63"/>
    <d v="2025-03-04T18:59:00"/>
    <n v="216"/>
    <s v="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quot;If you call the police, I will kill you.&quot;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quot;No.&quot;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
    <m/>
    <s v="suspect description:  bm, 5'5, gray vest, blue hooded sweatshirt, blue jeans, black medium length hair, black purse and a black backpack suspect) had entered his store whom he recognized that had caused a disturbance earlier in the day with his customers suspect to leave or he will call the police suspect then grabbed two 50 ml bottles of patron silver and the employee grabbed his hand suspect then left the store with the bottles, picked up a black backpack he left outside the store and walked north on lehigh street suspect said anything during the theft and he stated the  suspect responded, &quot;if you call the police, i will kill you suspect taking the bottles suspect was put out to patrols and a canvass of the area was negative for the  suspect suspect if he was identified"/>
    <s v="$7.00 each for a total loss of  $14.00."/>
    <s v="C03W10"/>
    <x v="2"/>
    <x v="2"/>
  </r>
  <r>
    <s v="25-017488"/>
    <x v="6"/>
    <x v="0"/>
    <d v="1899-12-30T15:00:00"/>
    <d v="1899-12-30T15:23:00"/>
    <x v="1"/>
    <s v="Mar"/>
    <s v="High St, 100 Block"/>
    <s v="195 High Street"/>
    <s v="Robbery, Unlawful Possess./Weapons, Dispute"/>
    <s v="Robbery"/>
    <s v="Unlawful Possess./Weapons"/>
    <s v="Dispute"/>
    <s v="195 High Street, Hackensack, NJ, 07601"/>
    <s v="H3"/>
    <n v="8"/>
    <s v="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quot;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quot; I will fuck both of ya up&quot; and began demanding the money Foster owed him.     Hunt reported that, he told the suspect that he was going to call the police. The suspect then stated ' I ain't scared of no police&quot;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
    <m/>
    <m/>
    <s v="D78PNR"/>
    <s v="BMW"/>
    <s v="430"/>
    <s v="NJ"/>
    <m/>
    <m/>
    <m/>
    <m/>
    <s v="Bay_F"/>
    <s v="Complete"/>
    <s v="P.O. Bobby Rivera 361"/>
    <s v="b2"/>
    <s v="Det. John Mora 257"/>
    <s v="Complaint Signed"/>
    <s v="120 = Robbery"/>
    <n v="9"/>
    <d v="2025-03-04T00:00:00"/>
    <d v="1899-12-30T15:23:00"/>
    <m/>
    <m/>
    <d v="2025-03-04T00:00:00"/>
    <d v="1899-12-30T15:28:00"/>
    <n v="2025"/>
    <n v="10"/>
    <n v="2"/>
    <n v="4"/>
    <n v="63"/>
    <d v="2025-03-04T15:23:00"/>
    <n v="195"/>
    <s v="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quot;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quot; I will fuck both of ya up&quot; and began demanding the money Foster owed him.     Hunt reported that, he told the suspect that he was going to call the police. The suspect then stated ' I ain't scared of no police&quot;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
    <s v="Vehicle 1: NJ-D78PNR BMW, 430"/>
    <s v="suspect because she owed him money suspect exited the bmw and confronted him suspect began asking where foster was and hunt advised him that he believes she was at the listed address suspect then stated &quot; ya keep fucking around with me and i am going to bust a cap in both of your asses' suspect reentered the white bmw and began following him suspect exited the bmw, and followed him up the front porch suspect followed him inside, uninvited suspect removed a short black baseball bat from his waistband and stated &quot; i will fuck both of ya up&quot; and began demanding the money foster owed him suspect that he was going to call the police suspect then stated ' i ain't scared of no police&quot; and attempted to snatch hunts phone from his hands suspect fled suspect was responsible for the broken window, however, neither of them observed it suspect's vehicle of nj -d78pnr suspects name and an address of 26 anderson street, where she believes the mother resides suspect suspect for 2c:15-1a(2), 2c:12-3a, 2c:12-1a3, 2c:39-5d, and 2c:39-4d"/>
    <s v=""/>
    <s v="C03W10"/>
    <x v="0"/>
    <x v="5"/>
  </r>
  <r>
    <s v="25-024100"/>
    <x v="7"/>
    <x v="4"/>
    <d v="1899-12-30T11:00:00"/>
    <d v="1899-12-30T11:37:00"/>
    <x v="1"/>
    <s v="Mar"/>
    <s v="Hackensack Ave, 400 Block"/>
    <s v="450 Hackensack Avenue"/>
    <s v="Robbery, Theft, Medical Call"/>
    <s v="Robbery"/>
    <s v="Theft"/>
    <s v="Medical Call"/>
    <s v="450 Hackensack Avenue, Hackensack, NJ, 07601"/>
    <s v="I6"/>
    <n v="9"/>
    <s v="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
    <m/>
    <m/>
    <s v="C73VBN"/>
    <s v="SUBARU"/>
    <s v="IMP"/>
    <s v="NJ"/>
    <m/>
    <m/>
    <m/>
    <m/>
    <s v="Klosk_J"/>
    <s v="Complete"/>
    <s v="P.O. Christian Alvarez 364"/>
    <s v="B1"/>
    <s v="Det. John Tanucilli 335"/>
    <s v="Active Investigation"/>
    <m/>
    <n v="9"/>
    <d v="2025-03-25T00:00:00"/>
    <d v="1899-12-30T11:37:00"/>
    <m/>
    <m/>
    <d v="2025-03-25T00:00:00"/>
    <d v="1899-12-30T12:04:57"/>
    <n v="2025"/>
    <n v="13"/>
    <n v="5"/>
    <n v="25"/>
    <n v="84"/>
    <d v="2025-03-25T11:37:00"/>
    <n v="450"/>
    <s v="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
    <s v="Vehicle 1: NJ-C73VBN SUBARU, IMP"/>
    <s v="suspect: hispanic female approximately 50 years of age and heavy build suspect who put a gold chain around his neck and began to converse with him suspect then began to rip the victim's rolex watch off of his left wrist suspect but was unsuccessful suspect stole the watch and got into the passenger seat of a white sedan, which drove off"/>
    <s v="$15,000.00. Hackensack University Medical Center BLS responded to the scene and evaluated the patient"/>
    <s v="C04W13"/>
    <x v="4"/>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A9B4E4-A120-44A0-838E-AEA6C398B3D0}" name="PivotTable3" cacheId="8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Q5:BV10" firstHeaderRow="1" firstDataRow="2" firstDataCol="1" rowPageCount="2" colPageCount="1"/>
  <pivotFields count="55">
    <pivotField dataField="1" showAll="0" defaultSubtotal="0"/>
    <pivotField axis="axisPage" numFmtId="14" multipleItemSelectionAllowed="1" showAll="0" defaultSubtotal="0">
      <items count="10">
        <item h="1" x="0"/>
        <item h="1" x="1"/>
        <item h="1" x="2"/>
        <item h="1" x="3"/>
        <item x="4"/>
        <item x="5"/>
        <item x="6"/>
        <item x="7"/>
        <item x="8"/>
        <item x="9"/>
      </items>
    </pivotField>
    <pivotField axis="axisRow" showAll="0" defaultSubtotal="0">
      <items count="4">
        <item x="3"/>
        <item x="0"/>
        <item x="1"/>
        <item x="2"/>
      </items>
    </pivotField>
    <pivotField numFmtId="172" showAll="0" defaultSubtotal="0"/>
    <pivotField numFmtId="172" showAll="0" defaultSubtotal="0"/>
    <pivotField axis="axisCol" showAll="0" defaultSubtotal="0">
      <items count="10">
        <item m="1" x="7"/>
        <item m="1" x="5"/>
        <item m="1" x="9"/>
        <item m="1" x="8"/>
        <item m="1" x="6"/>
        <item x="2"/>
        <item x="0"/>
        <item x="4"/>
        <item x="3"/>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2"/>
        <item x="1"/>
        <item x="4"/>
        <item x="3"/>
      </items>
    </pivotField>
  </pivotFields>
  <rowFields count="1">
    <field x="2"/>
  </rowFields>
  <rowItems count="4">
    <i>
      <x/>
    </i>
    <i>
      <x v="1"/>
    </i>
    <i>
      <x v="2"/>
    </i>
    <i>
      <x v="3"/>
    </i>
  </rowItems>
  <colFields count="1">
    <field x="5"/>
  </colFields>
  <colItems count="5">
    <i>
      <x v="5"/>
    </i>
    <i>
      <x v="6"/>
    </i>
    <i>
      <x v="7"/>
    </i>
    <i>
      <x v="8"/>
    </i>
    <i>
      <x v="9"/>
    </i>
  </colItems>
  <pageFields count="2">
    <pageField fld="1" hier="-1"/>
    <pageField fld="54" hier="-1"/>
  </pageFields>
  <dataFields count="1">
    <dataField name="Count of Case Number" fld="0" subtotal="count" baseField="0" baseItem="0"/>
  </dataFields>
  <formats count="19">
    <format dxfId="148">
      <pivotArea type="all" dataOnly="0" outline="0" fieldPosition="0"/>
    </format>
    <format dxfId="149">
      <pivotArea outline="0" collapsedLevelsAreSubtotals="1" fieldPosition="0"/>
    </format>
    <format dxfId="150">
      <pivotArea type="origin" dataOnly="0" labelOnly="1" outline="0" fieldPosition="0"/>
    </format>
    <format dxfId="151">
      <pivotArea field="5" type="button" dataOnly="0" labelOnly="1" outline="0" axis="axisCol" fieldPosition="0"/>
    </format>
    <format dxfId="152">
      <pivotArea type="topRight" dataOnly="0" labelOnly="1" outline="0" fieldPosition="0"/>
    </format>
    <format dxfId="153">
      <pivotArea field="2" type="button" dataOnly="0" labelOnly="1" outline="0" axis="axisRow" fieldPosition="0"/>
    </format>
    <format dxfId="154">
      <pivotArea dataOnly="0" labelOnly="1" fieldPosition="0">
        <references count="1">
          <reference field="2" count="0"/>
        </references>
      </pivotArea>
    </format>
    <format dxfId="155">
      <pivotArea dataOnly="0" labelOnly="1" grandRow="1" outline="0" fieldPosition="0"/>
    </format>
    <format dxfId="156">
      <pivotArea dataOnly="0" labelOnly="1" fieldPosition="0">
        <references count="1">
          <reference field="5" count="0"/>
        </references>
      </pivotArea>
    </format>
    <format dxfId="157">
      <pivotArea dataOnly="0" labelOnly="1" grandCol="1" outline="0" fieldPosition="0"/>
    </format>
    <format dxfId="158">
      <pivotArea field="5" type="button" dataOnly="0" labelOnly="1" outline="0" axis="axisCol" fieldPosition="0"/>
    </format>
    <format dxfId="159">
      <pivotArea field="5" type="button" dataOnly="0" labelOnly="1" outline="0" axis="axisCol" fieldPosition="0"/>
    </format>
    <format dxfId="160">
      <pivotArea field="2" type="button" dataOnly="0" labelOnly="1" outline="0" axis="axisRow" fieldPosition="0"/>
    </format>
    <format dxfId="161">
      <pivotArea dataOnly="0" labelOnly="1" fieldPosition="0">
        <references count="1">
          <reference field="5" count="0"/>
        </references>
      </pivotArea>
    </format>
    <format dxfId="162">
      <pivotArea dataOnly="0" labelOnly="1" grandCol="1" outline="0" fieldPosition="0"/>
    </format>
    <format dxfId="163">
      <pivotArea field="2" type="button" dataOnly="0" labelOnly="1" outline="0" axis="axisRow" fieldPosition="0"/>
    </format>
    <format dxfId="164">
      <pivotArea dataOnly="0" labelOnly="1" fieldPosition="0">
        <references count="1">
          <reference field="5" count="0"/>
        </references>
      </pivotArea>
    </format>
    <format dxfId="165">
      <pivotArea dataOnly="0" labelOnly="1" grandCol="1" outline="0" fieldPosition="0"/>
    </format>
    <format dxfId="166">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97CF93-59C7-4478-9905-218B0F1815AD}" name="PivotTable1" cacheId="8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H5:BM10" firstHeaderRow="1" firstDataRow="2" firstDataCol="1" rowPageCount="2" colPageCount="1"/>
  <pivotFields count="55">
    <pivotField dataField="1" showAll="0" defaultSubtotal="0"/>
    <pivotField axis="axisPage" numFmtId="14" showAll="0" defaultSubtotal="0">
      <items count="10">
        <item x="0"/>
        <item x="1"/>
        <item x="2"/>
        <item x="3"/>
        <item x="4"/>
        <item x="5"/>
        <item x="6"/>
        <item x="7"/>
        <item x="8"/>
        <item x="9"/>
      </items>
    </pivotField>
    <pivotField axis="axisRow" showAll="0" defaultSubtotal="0">
      <items count="4">
        <item x="3"/>
        <item x="0"/>
        <item x="1"/>
        <item x="2"/>
      </items>
    </pivotField>
    <pivotField numFmtId="172" showAll="0" defaultSubtotal="0"/>
    <pivotField numFmtId="172" showAll="0" defaultSubtotal="0"/>
    <pivotField axis="axisCol" showAll="0" defaultSubtotal="0">
      <items count="10">
        <item m="1" x="7"/>
        <item m="1" x="5"/>
        <item m="1" x="9"/>
        <item m="1" x="8"/>
        <item m="1" x="6"/>
        <item x="2"/>
        <item x="0"/>
        <item x="4"/>
        <item x="3"/>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2"/>
        <item x="1"/>
        <item x="4"/>
        <item x="3"/>
      </items>
    </pivotField>
  </pivotFields>
  <rowFields count="1">
    <field x="2"/>
  </rowFields>
  <rowItems count="4">
    <i>
      <x/>
    </i>
    <i>
      <x v="1"/>
    </i>
    <i>
      <x v="2"/>
    </i>
    <i>
      <x v="3"/>
    </i>
  </rowItems>
  <colFields count="1">
    <field x="5"/>
  </colFields>
  <colItems count="5">
    <i>
      <x v="5"/>
    </i>
    <i>
      <x v="6"/>
    </i>
    <i>
      <x v="7"/>
    </i>
    <i>
      <x v="8"/>
    </i>
    <i>
      <x v="9"/>
    </i>
  </colItems>
  <pageFields count="2">
    <pageField fld="1" hier="-1"/>
    <pageField fld="54" hier="-1"/>
  </pageFields>
  <dataFields count="1">
    <dataField name="Count of Case Number" fld="0" subtotal="count" baseField="0" baseItem="0"/>
  </dataFields>
  <formats count="19">
    <format dxfId="205">
      <pivotArea type="all" dataOnly="0" outline="0" fieldPosition="0"/>
    </format>
    <format dxfId="204">
      <pivotArea outline="0" collapsedLevelsAreSubtotals="1" fieldPosition="0"/>
    </format>
    <format dxfId="203">
      <pivotArea type="origin" dataOnly="0" labelOnly="1" outline="0" fieldPosition="0"/>
    </format>
    <format dxfId="202">
      <pivotArea field="5" type="button" dataOnly="0" labelOnly="1" outline="0" axis="axisCol" fieldPosition="0"/>
    </format>
    <format dxfId="201">
      <pivotArea type="topRight" dataOnly="0" labelOnly="1" outline="0" fieldPosition="0"/>
    </format>
    <format dxfId="200">
      <pivotArea field="2" type="button" dataOnly="0" labelOnly="1" outline="0" axis="axisRow" fieldPosition="0"/>
    </format>
    <format dxfId="199">
      <pivotArea dataOnly="0" labelOnly="1" fieldPosition="0">
        <references count="1">
          <reference field="2" count="0"/>
        </references>
      </pivotArea>
    </format>
    <format dxfId="198">
      <pivotArea dataOnly="0" labelOnly="1" grandRow="1" outline="0" fieldPosition="0"/>
    </format>
    <format dxfId="197">
      <pivotArea dataOnly="0" labelOnly="1" fieldPosition="0">
        <references count="1">
          <reference field="5" count="0"/>
        </references>
      </pivotArea>
    </format>
    <format dxfId="196">
      <pivotArea dataOnly="0" labelOnly="1" grandCol="1" outline="0" fieldPosition="0"/>
    </format>
    <format dxfId="195">
      <pivotArea field="5" type="button" dataOnly="0" labelOnly="1" outline="0" axis="axisCol" fieldPosition="0"/>
    </format>
    <format dxfId="194">
      <pivotArea field="5" type="button" dataOnly="0" labelOnly="1" outline="0" axis="axisCol" fieldPosition="0"/>
    </format>
    <format dxfId="193">
      <pivotArea field="2" type="button" dataOnly="0" labelOnly="1" outline="0" axis="axisRow" fieldPosition="0"/>
    </format>
    <format dxfId="192">
      <pivotArea dataOnly="0" labelOnly="1" fieldPosition="0">
        <references count="1">
          <reference field="5" count="0"/>
        </references>
      </pivotArea>
    </format>
    <format dxfId="191">
      <pivotArea dataOnly="0" labelOnly="1" grandCol="1" outline="0" fieldPosition="0"/>
    </format>
    <format dxfId="190">
      <pivotArea field="2" type="button" dataOnly="0" labelOnly="1" outline="0" axis="axisRow" fieldPosition="0"/>
    </format>
    <format dxfId="189">
      <pivotArea dataOnly="0" labelOnly="1" fieldPosition="0">
        <references count="1">
          <reference field="5" count="0"/>
        </references>
      </pivotArea>
    </format>
    <format dxfId="188">
      <pivotArea dataOnly="0" labelOnly="1" grandCol="1" outline="0" fieldPosition="0"/>
    </format>
    <format dxfId="187">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551D94-C0DF-483B-B94F-235BD17AF538}" name="PivotTable11"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4:K7" firstHeaderRow="1" firstDataRow="2" firstDataCol="1" rowPageCount="2" colPageCount="1"/>
  <pivotFields count="54">
    <pivotField dataField="1" compact="0" outline="0" showAll="0"/>
    <pivotField axis="axisPage" compact="0" numFmtId="14" outline="0" multipleItemSelectionAllowed="1" showAll="0">
      <items count="8">
        <item h="1" x="0"/>
        <item h="1" x="1"/>
        <item h="1" x="2"/>
        <item h="1" x="3"/>
        <item x="4"/>
        <item x="5"/>
        <item h="1" x="6"/>
        <item t="default"/>
      </items>
    </pivotField>
    <pivotField axis="axisRow" compact="0" outline="0" showAll="0">
      <items count="4">
        <item x="0"/>
        <item x="1"/>
        <item x="2"/>
        <item t="default"/>
      </items>
    </pivotField>
    <pivotField compact="0" numFmtId="164" outline="0" showAll="0"/>
    <pivotField compact="0" numFmtId="164" outline="0" showAll="0"/>
    <pivotField axis="axisCol" compact="0" outline="0" showAll="0">
      <items count="6">
        <item x="2"/>
        <item x="0"/>
        <item x="3"/>
        <item x="1"/>
        <item x="4"/>
        <item t="default"/>
      </items>
    </pivotField>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
    <i>
      <x v="1"/>
    </i>
    <i>
      <x v="2"/>
    </i>
  </rowItems>
  <colFields count="1">
    <field x="5"/>
  </colFields>
  <colItems count="2">
    <i>
      <x/>
    </i>
    <i>
      <x v="2"/>
    </i>
  </colItems>
  <pageFields count="2">
    <pageField fld="1" hier="-1"/>
    <pageField fld="10" hier="-1"/>
  </pageFields>
  <dataFields count="1">
    <dataField name="Count of Case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EF82DD-A285-4FF9-B154-8B7841EA0D6E}" name="PivotTable10"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F8" firstHeaderRow="1" firstDataRow="2" firstDataCol="1" rowPageCount="2" colPageCount="1"/>
  <pivotFields count="54">
    <pivotField dataField="1" compact="0" outline="0" showAll="0"/>
    <pivotField axis="axisPage" compact="0" numFmtId="14" outline="0" multipleItemSelectionAllowed="1" showAll="0">
      <items count="8">
        <item x="0"/>
        <item x="1"/>
        <item x="2"/>
        <item x="3"/>
        <item x="4"/>
        <item x="5"/>
        <item x="6"/>
        <item t="default"/>
      </items>
    </pivotField>
    <pivotField axis="axisRow" compact="0" outline="0" showAll="0">
      <items count="4">
        <item x="0"/>
        <item x="1"/>
        <item x="2"/>
        <item t="default"/>
      </items>
    </pivotField>
    <pivotField compact="0" numFmtId="164" outline="0" showAll="0"/>
    <pivotField compact="0" numFmtId="164" outline="0" showAll="0"/>
    <pivotField axis="axisCol" compact="0" outline="0" showAll="0">
      <items count="6">
        <item x="2"/>
        <item x="0"/>
        <item x="3"/>
        <item x="1"/>
        <item x="4"/>
        <item t="default"/>
      </items>
    </pivotField>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i>
    <i>
      <x v="1"/>
    </i>
    <i>
      <x v="2"/>
    </i>
  </rowItems>
  <colFields count="1">
    <field x="5"/>
  </colFields>
  <colItems count="5">
    <i>
      <x/>
    </i>
    <i>
      <x v="1"/>
    </i>
    <i>
      <x v="2"/>
    </i>
    <i>
      <x v="3"/>
    </i>
    <i>
      <x v="4"/>
    </i>
  </colItems>
  <pageFields count="2">
    <pageField fld="1" hier="-1"/>
    <pageField fld="10" hier="-1"/>
  </pageFields>
  <dataFields count="1">
    <dataField name="Count of Case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122ACF-9BCE-46C5-B025-E0F2D898B832}" name="PivotTable2" cacheId="7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location ref="U4:X10" firstHeaderRow="1" firstDataRow="1" firstDataCol="3" rowPageCount="2" colPageCount="1"/>
  <pivotFields count="54">
    <pivotField dataField="1" compact="0" showAll="0"/>
    <pivotField axis="axisPage" compact="0" numFmtId="14" multipleItemSelectionAllowed="1" showAll="0">
      <items count="8">
        <item h="1" x="0"/>
        <item h="1" x="1"/>
        <item h="1" x="2"/>
        <item h="1" x="3"/>
        <item x="4"/>
        <item x="5"/>
        <item h="1" x="6"/>
        <item t="default"/>
      </items>
    </pivotField>
    <pivotField compact="0" showAll="0"/>
    <pivotField compact="0" numFmtId="164" showAll="0"/>
    <pivotField compact="0" numFmtId="164" showAll="0"/>
    <pivotField compact="0" showAll="0"/>
    <pivotField compact="0" showAll="0"/>
    <pivotField axis="axisRow" compact="0" showAll="0">
      <items count="8">
        <item x="5"/>
        <item x="4"/>
        <item x="3"/>
        <item x="2"/>
        <item x="0"/>
        <item x="1"/>
        <item x="6"/>
        <item t="default"/>
      </items>
    </pivotField>
    <pivotField compact="0" showAll="0"/>
    <pivotField compact="0" showAll="0"/>
    <pivotField axis="axisPage" compact="0" showAll="0">
      <items count="3">
        <item x="0"/>
        <item x="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4" showAll="0"/>
    <pivotField compact="0" numFmtId="22" showAll="0"/>
    <pivotField compact="0" showAll="0"/>
    <pivotField compact="0" showAll="0"/>
    <pivotField compact="0" numFmtId="14" showAll="0"/>
    <pivotField compact="0" numFmtId="22" showAll="0"/>
    <pivotField compact="0" showAll="0"/>
    <pivotField compact="0" showAll="0"/>
    <pivotField compact="0" showAll="0"/>
    <pivotField compact="0" showAll="0"/>
    <pivotField compact="0" showAll="0"/>
    <pivotField compact="0" numFmtId="22" showAll="0"/>
    <pivotField compact="0" showAll="0"/>
    <pivotField axis="axisRow" compact="0" showAll="0">
      <items count="8">
        <item x="3"/>
        <item x="2"/>
        <item x="5"/>
        <item x="1"/>
        <item x="0"/>
        <item x="4"/>
        <item x="6"/>
        <item t="default"/>
      </items>
    </pivotField>
    <pivotField axis="axisRow" compact="0" showAll="0">
      <items count="8">
        <item x="5"/>
        <item x="1"/>
        <item x="4"/>
        <item x="2"/>
        <item x="0"/>
        <item x="3"/>
        <item x="6"/>
        <item t="default"/>
      </items>
    </pivotField>
    <pivotField compact="0" showAll="0"/>
    <pivotField compact="0" showAll="0"/>
    <pivotField compact="0" showAll="0"/>
    <pivotField compact="0" showAll="0"/>
  </pivotFields>
  <rowFields count="3">
    <field x="7"/>
    <field x="49"/>
    <field x="48"/>
  </rowFields>
  <rowItems count="6">
    <i>
      <x/>
    </i>
    <i r="1">
      <x/>
    </i>
    <i r="2">
      <x v="2"/>
    </i>
    <i>
      <x v="1"/>
    </i>
    <i r="1">
      <x v="2"/>
    </i>
    <i r="2">
      <x v="5"/>
    </i>
  </rowItems>
  <colItems count="1">
    <i/>
  </colItems>
  <pageFields count="2">
    <pageField fld="1" hier="-1"/>
    <pageField fld="10" hier="-1"/>
  </pageFields>
  <dataFields count="1">
    <dataField name="Count of Case Number" fld="0" subtotal="count" baseField="0" baseItem="0"/>
  </dataFields>
  <formats count="25">
    <format dxfId="791">
      <pivotArea type="all" dataOnly="0" outline="0" fieldPosition="0"/>
    </format>
    <format dxfId="790">
      <pivotArea outline="0" collapsedLevelsAreSubtotals="1" fieldPosition="0"/>
    </format>
    <format dxfId="789">
      <pivotArea field="7" type="button" dataOnly="0" labelOnly="1" outline="0" axis="axisRow" fieldPosition="0"/>
    </format>
    <format dxfId="788">
      <pivotArea field="49" type="button" dataOnly="0" labelOnly="1" outline="0" axis="axisRow" fieldPosition="1"/>
    </format>
    <format dxfId="787">
      <pivotArea dataOnly="0" labelOnly="1" outline="0" fieldPosition="0">
        <references count="1">
          <reference field="7" count="2">
            <x v="0"/>
            <x v="1"/>
          </reference>
        </references>
      </pivotArea>
    </format>
    <format dxfId="786">
      <pivotArea dataOnly="0" labelOnly="1" outline="0" fieldPosition="0">
        <references count="2">
          <reference field="7" count="1" selected="0">
            <x v="0"/>
          </reference>
          <reference field="49" count="1">
            <x v="0"/>
          </reference>
        </references>
      </pivotArea>
    </format>
    <format dxfId="785">
      <pivotArea dataOnly="0" labelOnly="1" outline="0" fieldPosition="0">
        <references count="2">
          <reference field="7" count="1" selected="0">
            <x v="1"/>
          </reference>
          <reference field="49" count="1">
            <x v="2"/>
          </reference>
        </references>
      </pivotArea>
    </format>
    <format dxfId="784">
      <pivotArea dataOnly="0" labelOnly="1" outline="0" axis="axisValues" fieldPosition="0"/>
    </format>
    <format dxfId="783">
      <pivotArea type="all" dataOnly="0" outline="0" fieldPosition="0"/>
    </format>
    <format dxfId="782">
      <pivotArea outline="0" collapsedLevelsAreSubtotals="1" fieldPosition="0"/>
    </format>
    <format dxfId="781">
      <pivotArea field="7" type="button" dataOnly="0" labelOnly="1" outline="0" axis="axisRow" fieldPosition="0"/>
    </format>
    <format dxfId="780">
      <pivotArea field="49" type="button" dataOnly="0" labelOnly="1" outline="0" axis="axisRow" fieldPosition="1"/>
    </format>
    <format dxfId="779">
      <pivotArea dataOnly="0" labelOnly="1" outline="0" fieldPosition="0">
        <references count="1">
          <reference field="7" count="2">
            <x v="0"/>
            <x v="1"/>
          </reference>
        </references>
      </pivotArea>
    </format>
    <format dxfId="778">
      <pivotArea dataOnly="0" labelOnly="1" outline="0" fieldPosition="0">
        <references count="2">
          <reference field="7" count="1" selected="0">
            <x v="0"/>
          </reference>
          <reference field="49" count="1">
            <x v="0"/>
          </reference>
        </references>
      </pivotArea>
    </format>
    <format dxfId="777">
      <pivotArea dataOnly="0" labelOnly="1" outline="0" fieldPosition="0">
        <references count="2">
          <reference field="7" count="1" selected="0">
            <x v="1"/>
          </reference>
          <reference field="49" count="1">
            <x v="2"/>
          </reference>
        </references>
      </pivotArea>
    </format>
    <format dxfId="776">
      <pivotArea dataOnly="0" labelOnly="1" outline="0" axis="axisValues" fieldPosition="0"/>
    </format>
    <format dxfId="775">
      <pivotArea field="7" type="button" dataOnly="0" labelOnly="1" outline="0" axis="axisRow" fieldPosition="0"/>
    </format>
    <format dxfId="774">
      <pivotArea field="49" type="button" dataOnly="0" labelOnly="1" outline="0" axis="axisRow" fieldPosition="1"/>
    </format>
    <format dxfId="773">
      <pivotArea field="48" type="button" dataOnly="0" labelOnly="1" outline="0" axis="axisRow" fieldPosition="2"/>
    </format>
    <format dxfId="772">
      <pivotArea dataOnly="0" labelOnly="1" outline="0" fieldPosition="0">
        <references count="1">
          <reference field="7" count="1">
            <x v="0"/>
          </reference>
        </references>
      </pivotArea>
    </format>
    <format dxfId="771">
      <pivotArea dataOnly="0" labelOnly="1" outline="0" fieldPosition="0">
        <references count="1">
          <reference field="7" count="1">
            <x v="1"/>
          </reference>
        </references>
      </pivotArea>
    </format>
    <format dxfId="770">
      <pivotArea dataOnly="0" labelOnly="1" outline="0" fieldPosition="0">
        <references count="2">
          <reference field="7" count="1" selected="0">
            <x v="0"/>
          </reference>
          <reference field="49" count="1">
            <x v="0"/>
          </reference>
        </references>
      </pivotArea>
    </format>
    <format dxfId="769">
      <pivotArea dataOnly="0" labelOnly="1" outline="0" fieldPosition="0">
        <references count="2">
          <reference field="7" count="1" selected="0">
            <x v="1"/>
          </reference>
          <reference field="49" count="1">
            <x v="2"/>
          </reference>
        </references>
      </pivotArea>
    </format>
    <format dxfId="768">
      <pivotArea dataOnly="0" labelOnly="1" outline="0" fieldPosition="0">
        <references count="3">
          <reference field="7" count="1" selected="0">
            <x v="0"/>
          </reference>
          <reference field="48" count="1">
            <x v="2"/>
          </reference>
          <reference field="49" count="1" selected="0">
            <x v="0"/>
          </reference>
        </references>
      </pivotArea>
    </format>
    <format dxfId="767">
      <pivotArea dataOnly="0" labelOnly="1" outline="0" fieldPosition="0">
        <references count="3">
          <reference field="7" count="1" selected="0">
            <x v="1"/>
          </reference>
          <reference field="48" count="1">
            <x v="5"/>
          </reference>
          <reference field="49" count="1" selected="0">
            <x v="2"/>
          </reference>
        </references>
      </pivotArea>
    </format>
  </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A026AF-2406-4540-B40A-3F130D728B4D}" name="PivotTable8" cacheId="10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4:L9" firstHeaderRow="1" firstDataRow="2" firstDataCol="1" rowPageCount="2" colPageCount="1"/>
  <pivotFields count="54">
    <pivotField dataField="1" compact="0" outline="0" showAll="0"/>
    <pivotField axis="axisPage" compact="0" numFmtId="14" outline="0" multipleItemSelectionAllowed="1" showAll="0">
      <items count="11">
        <item h="1" x="5"/>
        <item h="1" x="0"/>
        <item h="1" x="1"/>
        <item h="1" x="2"/>
        <item h="1" x="3"/>
        <item h="1" x="4"/>
        <item x="6"/>
        <item x="7"/>
        <item x="8"/>
        <item x="9"/>
        <item t="default"/>
      </items>
    </pivotField>
    <pivotField axis="axisRow" compact="0" outline="0" showAll="0">
      <items count="6">
        <item x="2"/>
        <item x="1"/>
        <item x="0"/>
        <item x="3"/>
        <item x="4"/>
        <item t="default"/>
      </items>
    </pivotField>
    <pivotField compact="0" numFmtId="164" outline="0" showAll="0"/>
    <pivotField compact="0" numFmtId="164" outline="0" showAll="0"/>
    <pivotField axis="axisCol" compact="0" outline="0" showAll="0">
      <items count="7">
        <item x="4"/>
        <item x="5"/>
        <item x="3"/>
        <item x="0"/>
        <item x="2"/>
        <item x="1"/>
        <item t="default"/>
      </items>
    </pivotField>
    <pivotField compact="0" outline="0" showAll="0"/>
    <pivotField compact="0" outline="0" showAll="0"/>
    <pivotField compact="0" outline="0" showAll="0"/>
    <pivotField compact="0" outline="0" showAll="0"/>
    <pivotField axis="axisPage" compact="0" outline="0" showAll="0">
      <items count="8">
        <item x="1"/>
        <item x="2"/>
        <item x="0"/>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4">
    <i>
      <x/>
    </i>
    <i>
      <x v="2"/>
    </i>
    <i>
      <x v="3"/>
    </i>
    <i>
      <x v="4"/>
    </i>
  </rowItems>
  <colFields count="1">
    <field x="5"/>
  </colFields>
  <colItems count="3">
    <i>
      <x/>
    </i>
    <i>
      <x v="1"/>
    </i>
    <i>
      <x v="3"/>
    </i>
  </colItems>
  <pageFields count="2">
    <pageField fld="1" hier="-1"/>
    <pageField fld="10" hier="-1"/>
  </pageFields>
  <dataFields count="1">
    <dataField name="Count of Case Number" fld="0" subtotal="count" baseField="0" baseItem="0"/>
  </dataFields>
  <formats count="8">
    <format dxfId="686">
      <pivotArea type="all" dataOnly="0" outline="0" fieldPosition="0"/>
    </format>
    <format dxfId="685">
      <pivotArea outline="0" collapsedLevelsAreSubtotals="1" fieldPosition="0"/>
    </format>
    <format dxfId="684">
      <pivotArea type="origin" dataOnly="0" labelOnly="1" outline="0" fieldPosition="0"/>
    </format>
    <format dxfId="683">
      <pivotArea field="5" type="button" dataOnly="0" labelOnly="1" outline="0" axis="axisCol" fieldPosition="0"/>
    </format>
    <format dxfId="682">
      <pivotArea type="topRight" dataOnly="0" labelOnly="1" outline="0" fieldPosition="0"/>
    </format>
    <format dxfId="681">
      <pivotArea field="2" type="button" dataOnly="0" labelOnly="1" outline="0" axis="axisRow" fieldPosition="0"/>
    </format>
    <format dxfId="680">
      <pivotArea dataOnly="0" labelOnly="1" outline="0" fieldPosition="0">
        <references count="1">
          <reference field="2" count="3">
            <x v="0"/>
            <x v="1"/>
            <x v="2"/>
          </reference>
        </references>
      </pivotArea>
    </format>
    <format dxfId="679">
      <pivotArea dataOnly="0" labelOnly="1" outline="0" fieldPosition="0">
        <references count="1">
          <reference field="5" count="3">
            <x v="0"/>
            <x v="2"/>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B1221F7-7AFD-4EBB-8253-1C3F30C98535}" name="PivotTable7" cacheId="10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G10" firstHeaderRow="1" firstDataRow="2" firstDataCol="1" rowPageCount="2" colPageCount="1"/>
  <pivotFields count="54">
    <pivotField dataField="1" compact="0" outline="0" showAll="0"/>
    <pivotField axis="axisPage" compact="0" numFmtId="14" outline="0" showAll="0">
      <items count="11">
        <item x="5"/>
        <item x="0"/>
        <item x="1"/>
        <item x="2"/>
        <item x="3"/>
        <item x="4"/>
        <item x="6"/>
        <item x="7"/>
        <item x="8"/>
        <item x="9"/>
        <item t="default"/>
      </items>
    </pivotField>
    <pivotField axis="axisRow" compact="0" outline="0" showAll="0">
      <items count="6">
        <item x="2"/>
        <item x="1"/>
        <item x="0"/>
        <item x="3"/>
        <item x="4"/>
        <item t="default"/>
      </items>
    </pivotField>
    <pivotField compact="0" numFmtId="164" outline="0" showAll="0"/>
    <pivotField compact="0" numFmtId="164" outline="0" showAll="0"/>
    <pivotField axis="axisCol" compact="0" outline="0" showAll="0">
      <items count="7">
        <item x="4"/>
        <item x="5"/>
        <item x="3"/>
        <item x="0"/>
        <item x="2"/>
        <item x="1"/>
        <item t="default"/>
      </items>
    </pivotField>
    <pivotField compact="0" outline="0" showAll="0"/>
    <pivotField compact="0" outline="0" showAll="0"/>
    <pivotField compact="0" outline="0" showAll="0"/>
    <pivotField compact="0" outline="0" showAll="0"/>
    <pivotField axis="axisPage" compact="0" outline="0" showAll="0">
      <items count="8">
        <item x="1"/>
        <item x="2"/>
        <item x="0"/>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5">
    <i>
      <x/>
    </i>
    <i>
      <x v="1"/>
    </i>
    <i>
      <x v="2"/>
    </i>
    <i>
      <x v="3"/>
    </i>
    <i>
      <x v="4"/>
    </i>
  </rowItems>
  <colFields count="1">
    <field x="5"/>
  </colFields>
  <colItems count="6">
    <i>
      <x/>
    </i>
    <i>
      <x v="1"/>
    </i>
    <i>
      <x v="2"/>
    </i>
    <i>
      <x v="3"/>
    </i>
    <i>
      <x v="4"/>
    </i>
    <i>
      <x v="5"/>
    </i>
  </colItems>
  <pageFields count="2">
    <pageField fld="1" hier="-1"/>
    <pageField fld="10" hier="-1"/>
  </pageFields>
  <dataFields count="1">
    <dataField name="Count of Case Number" fld="0" subtotal="count" baseField="0" baseItem="0"/>
  </dataFields>
  <formats count="10">
    <format dxfId="696">
      <pivotArea field="5" type="button" dataOnly="0" labelOnly="1" outline="0" axis="axisCol" fieldPosition="0"/>
    </format>
    <format dxfId="695">
      <pivotArea dataOnly="0" labelOnly="1" outline="0" fieldPosition="0">
        <references count="1">
          <reference field="5" count="1">
            <x v="0"/>
          </reference>
        </references>
      </pivotArea>
    </format>
    <format dxfId="694">
      <pivotArea type="all" dataOnly="0" outline="0" fieldPosition="0"/>
    </format>
    <format dxfId="693">
      <pivotArea outline="0" collapsedLevelsAreSubtotals="1" fieldPosition="0"/>
    </format>
    <format dxfId="692">
      <pivotArea type="origin" dataOnly="0" labelOnly="1" outline="0" fieldPosition="0"/>
    </format>
    <format dxfId="691">
      <pivotArea field="5" type="button" dataOnly="0" labelOnly="1" outline="0" axis="axisCol" fieldPosition="0"/>
    </format>
    <format dxfId="690">
      <pivotArea type="topRight" dataOnly="0" labelOnly="1" outline="0" fieldPosition="0"/>
    </format>
    <format dxfId="689">
      <pivotArea field="2" type="button" dataOnly="0" labelOnly="1" outline="0" axis="axisRow" fieldPosition="0"/>
    </format>
    <format dxfId="688">
      <pivotArea dataOnly="0" labelOnly="1" outline="0" fieldPosition="0">
        <references count="1">
          <reference field="2" count="0"/>
        </references>
      </pivotArea>
    </format>
    <format dxfId="687">
      <pivotArea dataOnly="0" labelOnly="1" outline="0"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6942F36-FF4A-4A84-976B-F422C23A4989}" name="PivotTable6" cacheId="12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4:R6" firstHeaderRow="1" firstDataRow="2" firstDataCol="1" rowPageCount="2" colPageCount="1"/>
  <pivotFields count="54">
    <pivotField dataField="1" compact="0" outline="0" showAll="0"/>
    <pivotField axis="axisPage" compact="0" numFmtId="14" outline="0" multipleItemSelectionAllowed="1" showAll="0">
      <items count="14">
        <item h="1" x="0"/>
        <item h="1" x="1"/>
        <item h="1" x="2"/>
        <item h="1" x="3"/>
        <item h="1" x="4"/>
        <item h="1" x="5"/>
        <item h="1" x="6"/>
        <item h="1" x="7"/>
        <item h="1" x="8"/>
        <item h="1" x="9"/>
        <item h="1" x="10"/>
        <item h="1" x="11"/>
        <item x="12"/>
        <item t="default"/>
      </items>
    </pivotField>
    <pivotField axis="axisRow" compact="0" outline="0" showAll="0">
      <items count="7">
        <item x="4"/>
        <item x="5"/>
        <item x="3"/>
        <item x="1"/>
        <item x="2"/>
        <item x="0"/>
        <item t="default"/>
      </items>
    </pivotField>
    <pivotField compact="0" numFmtId="164" outline="0" showAll="0"/>
    <pivotField compact="0" numFmtId="164" outline="0" showAll="0"/>
    <pivotField axis="axisCol" compact="0" outline="0" showAll="0">
      <items count="6">
        <item x="4"/>
        <item x="2"/>
        <item x="1"/>
        <item x="0"/>
        <item x="3"/>
        <item t="default"/>
      </items>
    </pivotField>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
    <i>
      <x v="5"/>
    </i>
  </rowItems>
  <colFields count="1">
    <field x="5"/>
  </colFields>
  <colItems count="1">
    <i>
      <x v="3"/>
    </i>
  </colItems>
  <pageFields count="2">
    <pageField fld="1" hier="-1"/>
    <pageField fld="10" hier="-1"/>
  </pageFields>
  <dataFields count="1">
    <dataField name="Count of Case Number" fld="0" subtotal="count" baseField="0" baseItem="0"/>
  </dataFields>
  <formats count="20">
    <format dxfId="548">
      <pivotArea type="all" dataOnly="0" outline="0" fieldPosition="0"/>
    </format>
    <format dxfId="547">
      <pivotArea outline="0" collapsedLevelsAreSubtotals="1" fieldPosition="0"/>
    </format>
    <format dxfId="546">
      <pivotArea type="origin" dataOnly="0" labelOnly="1" outline="0" fieldPosition="0"/>
    </format>
    <format dxfId="545">
      <pivotArea field="5" type="button" dataOnly="0" labelOnly="1" outline="0" axis="axisCol" fieldPosition="0"/>
    </format>
    <format dxfId="544">
      <pivotArea type="topRight" dataOnly="0" labelOnly="1" outline="0" fieldPosition="0"/>
    </format>
    <format dxfId="543">
      <pivotArea field="2" type="button" dataOnly="0" labelOnly="1" outline="0" axis="axisRow" fieldPosition="0"/>
    </format>
    <format dxfId="542">
      <pivotArea dataOnly="0" labelOnly="1" outline="0" fieldPosition="0">
        <references count="1">
          <reference field="2" count="1">
            <x v="2"/>
          </reference>
        </references>
      </pivotArea>
    </format>
    <format dxfId="541">
      <pivotArea dataOnly="0" labelOnly="1" grandRow="1" outline="0" fieldPosition="0"/>
    </format>
    <format dxfId="540">
      <pivotArea dataOnly="0" labelOnly="1" outline="0" fieldPosition="0">
        <references count="1">
          <reference field="5" count="1">
            <x v="1"/>
          </reference>
        </references>
      </pivotArea>
    </format>
    <format dxfId="539">
      <pivotArea dataOnly="0" labelOnly="1" grandCol="1" outline="0" fieldPosition="0"/>
    </format>
    <format dxfId="538">
      <pivotArea type="all" dataOnly="0" outline="0" fieldPosition="0"/>
    </format>
    <format dxfId="537">
      <pivotArea outline="0" collapsedLevelsAreSubtotals="1" fieldPosition="0"/>
    </format>
    <format dxfId="536">
      <pivotArea type="origin" dataOnly="0" labelOnly="1" outline="0" fieldPosition="0"/>
    </format>
    <format dxfId="535">
      <pivotArea field="5" type="button" dataOnly="0" labelOnly="1" outline="0" axis="axisCol" fieldPosition="0"/>
    </format>
    <format dxfId="534">
      <pivotArea type="topRight" dataOnly="0" labelOnly="1" outline="0" fieldPosition="0"/>
    </format>
    <format dxfId="533">
      <pivotArea field="2" type="button" dataOnly="0" labelOnly="1" outline="0" axis="axisRow" fieldPosition="0"/>
    </format>
    <format dxfId="532">
      <pivotArea dataOnly="0" labelOnly="1" outline="0" fieldPosition="0">
        <references count="1">
          <reference field="2" count="1">
            <x v="2"/>
          </reference>
        </references>
      </pivotArea>
    </format>
    <format dxfId="531">
      <pivotArea dataOnly="0" labelOnly="1" grandRow="1" outline="0" fieldPosition="0"/>
    </format>
    <format dxfId="530">
      <pivotArea dataOnly="0" labelOnly="1" outline="0" fieldPosition="0">
        <references count="1">
          <reference field="5" count="1">
            <x v="1"/>
          </reference>
        </references>
      </pivotArea>
    </format>
    <format dxfId="529">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1C8E654-8348-41E2-A35D-EEA7FC086F53}" name="PivotTable5" cacheId="12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4:J7" firstHeaderRow="1" firstDataRow="2" firstDataCol="1" rowPageCount="2" colPageCount="1"/>
  <pivotFields count="54">
    <pivotField dataField="1" compact="0" outline="0" showAll="0"/>
    <pivotField axis="axisPage" compact="0" numFmtId="14" outline="0" multipleItemSelectionAllowed="1" showAll="0">
      <items count="14">
        <item h="1" x="0"/>
        <item h="1" x="1"/>
        <item h="1" x="2"/>
        <item h="1" x="3"/>
        <item h="1" x="4"/>
        <item h="1" x="5"/>
        <item h="1" x="6"/>
        <item h="1" x="7"/>
        <item h="1" x="8"/>
        <item h="1" x="9"/>
        <item h="1" x="10"/>
        <item x="11"/>
        <item x="12"/>
        <item t="default"/>
      </items>
    </pivotField>
    <pivotField axis="axisRow" compact="0" outline="0" showAll="0">
      <items count="7">
        <item x="4"/>
        <item x="5"/>
        <item x="3"/>
        <item x="1"/>
        <item x="2"/>
        <item x="0"/>
        <item t="default"/>
      </items>
    </pivotField>
    <pivotField compact="0" numFmtId="164" outline="0" showAll="0"/>
    <pivotField compact="0" numFmtId="164" outline="0" showAll="0"/>
    <pivotField axis="axisCol" compact="0" outline="0" showAll="0">
      <items count="6">
        <item x="4"/>
        <item x="2"/>
        <item x="1"/>
        <item x="0"/>
        <item x="3"/>
        <item t="default"/>
      </items>
    </pivotField>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
    <i>
      <x v="1"/>
    </i>
    <i>
      <x v="5"/>
    </i>
  </rowItems>
  <colFields count="1">
    <field x="5"/>
  </colFields>
  <colItems count="1">
    <i>
      <x v="3"/>
    </i>
  </colItems>
  <pageFields count="2">
    <pageField fld="1" hier="-1"/>
    <pageField fld="10" hier="-1"/>
  </pageFields>
  <dataFields count="1">
    <dataField name="Count of Case Number" fld="0" subtotal="count" baseField="0" baseItem="0"/>
  </dataFields>
  <formats count="16">
    <format dxfId="564">
      <pivotArea type="all" dataOnly="0" outline="0" fieldPosition="0"/>
    </format>
    <format dxfId="563">
      <pivotArea outline="0" collapsedLevelsAreSubtotals="1" fieldPosition="0"/>
    </format>
    <format dxfId="562">
      <pivotArea type="origin" dataOnly="0" labelOnly="1" outline="0" fieldPosition="0"/>
    </format>
    <format dxfId="561">
      <pivotArea field="5" type="button" dataOnly="0" labelOnly="1" outline="0" axis="axisCol" fieldPosition="0"/>
    </format>
    <format dxfId="560">
      <pivotArea type="topRight" dataOnly="0" labelOnly="1" outline="0" fieldPosition="0"/>
    </format>
    <format dxfId="559">
      <pivotArea field="2" type="button" dataOnly="0" labelOnly="1" outline="0" axis="axisRow" fieldPosition="0"/>
    </format>
    <format dxfId="558">
      <pivotArea dataOnly="0" labelOnly="1" outline="0" fieldPosition="0">
        <references count="1">
          <reference field="2" count="5">
            <x v="0"/>
            <x v="1"/>
            <x v="2"/>
            <x v="3"/>
            <x v="4"/>
          </reference>
        </references>
      </pivotArea>
    </format>
    <format dxfId="557">
      <pivotArea dataOnly="0" labelOnly="1" outline="0" fieldPosition="0">
        <references count="1">
          <reference field="5" count="4">
            <x v="0"/>
            <x v="1"/>
            <x v="3"/>
            <x v="4"/>
          </reference>
        </references>
      </pivotArea>
    </format>
    <format dxfId="556">
      <pivotArea type="all" dataOnly="0" outline="0" fieldPosition="0"/>
    </format>
    <format dxfId="555">
      <pivotArea outline="0" collapsedLevelsAreSubtotals="1" fieldPosition="0"/>
    </format>
    <format dxfId="554">
      <pivotArea type="origin" dataOnly="0" labelOnly="1" outline="0" fieldPosition="0"/>
    </format>
    <format dxfId="553">
      <pivotArea field="5" type="button" dataOnly="0" labelOnly="1" outline="0" axis="axisCol" fieldPosition="0"/>
    </format>
    <format dxfId="552">
      <pivotArea type="topRight" dataOnly="0" labelOnly="1" outline="0" fieldPosition="0"/>
    </format>
    <format dxfId="551">
      <pivotArea field="2" type="button" dataOnly="0" labelOnly="1" outline="0" axis="axisRow" fieldPosition="0"/>
    </format>
    <format dxfId="550">
      <pivotArea dataOnly="0" labelOnly="1" outline="0" fieldPosition="0">
        <references count="1">
          <reference field="2" count="5">
            <x v="0"/>
            <x v="1"/>
            <x v="2"/>
            <x v="3"/>
            <x v="4"/>
          </reference>
        </references>
      </pivotArea>
    </format>
    <format dxfId="549">
      <pivotArea dataOnly="0" labelOnly="1" outline="0" fieldPosition="0">
        <references count="1">
          <reference field="5" count="4">
            <x v="0"/>
            <x v="1"/>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EC1DB5B-DD5C-48A5-ABA1-E9DF7B78C36B}" name="PivotTable4" cacheId="12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F11" firstHeaderRow="1" firstDataRow="2" firstDataCol="1" rowPageCount="2" colPageCount="1"/>
  <pivotFields count="54">
    <pivotField dataField="1" compact="0" outline="0" showAll="0"/>
    <pivotField axis="axisPage" compact="0" numFmtId="14" outline="0" showAll="0">
      <items count="14">
        <item x="0"/>
        <item x="1"/>
        <item x="2"/>
        <item x="3"/>
        <item x="4"/>
        <item x="5"/>
        <item x="6"/>
        <item x="7"/>
        <item x="8"/>
        <item x="9"/>
        <item x="10"/>
        <item x="11"/>
        <item x="12"/>
        <item t="default"/>
      </items>
    </pivotField>
    <pivotField axis="axisRow" compact="0" outline="0" showAll="0">
      <items count="7">
        <item x="4"/>
        <item x="5"/>
        <item x="3"/>
        <item x="1"/>
        <item x="2"/>
        <item x="0"/>
        <item t="default"/>
      </items>
    </pivotField>
    <pivotField compact="0" numFmtId="164" outline="0" showAll="0"/>
    <pivotField compact="0" numFmtId="164" outline="0" showAll="0"/>
    <pivotField axis="axisCol" compact="0" outline="0" showAll="0">
      <items count="6">
        <item x="4"/>
        <item x="2"/>
        <item x="1"/>
        <item x="0"/>
        <item x="3"/>
        <item t="default"/>
      </items>
    </pivotField>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6">
    <i>
      <x/>
    </i>
    <i>
      <x v="1"/>
    </i>
    <i>
      <x v="2"/>
    </i>
    <i>
      <x v="3"/>
    </i>
    <i>
      <x v="4"/>
    </i>
    <i>
      <x v="5"/>
    </i>
  </rowItems>
  <colFields count="1">
    <field x="5"/>
  </colFields>
  <colItems count="5">
    <i>
      <x/>
    </i>
    <i>
      <x v="1"/>
    </i>
    <i>
      <x v="2"/>
    </i>
    <i>
      <x v="3"/>
    </i>
    <i>
      <x v="4"/>
    </i>
  </colItems>
  <pageFields count="2">
    <pageField fld="1" hier="-1"/>
    <pageField fld="10" hier="-1"/>
  </pageFields>
  <dataFields count="1">
    <dataField name="Count of Case Number" fld="0" subtotal="count" baseField="0" baseItem="0"/>
  </dataFields>
  <formats count="16">
    <format dxfId="580">
      <pivotArea type="all" dataOnly="0" outline="0" fieldPosition="0"/>
    </format>
    <format dxfId="579">
      <pivotArea outline="0" collapsedLevelsAreSubtotals="1" fieldPosition="0"/>
    </format>
    <format dxfId="578">
      <pivotArea type="origin" dataOnly="0" labelOnly="1" outline="0" fieldPosition="0"/>
    </format>
    <format dxfId="577">
      <pivotArea field="5" type="button" dataOnly="0" labelOnly="1" outline="0" axis="axisCol" fieldPosition="0"/>
    </format>
    <format dxfId="576">
      <pivotArea type="topRight" dataOnly="0" labelOnly="1" outline="0" fieldPosition="0"/>
    </format>
    <format dxfId="575">
      <pivotArea field="2" type="button" dataOnly="0" labelOnly="1" outline="0" axis="axisRow" fieldPosition="0"/>
    </format>
    <format dxfId="574">
      <pivotArea dataOnly="0" labelOnly="1" outline="0" fieldPosition="0">
        <references count="1">
          <reference field="2" count="0"/>
        </references>
      </pivotArea>
    </format>
    <format dxfId="573">
      <pivotArea dataOnly="0" labelOnly="1" outline="0" fieldPosition="0">
        <references count="1">
          <reference field="5" count="0"/>
        </references>
      </pivotArea>
    </format>
    <format dxfId="572">
      <pivotArea type="all" dataOnly="0" outline="0" fieldPosition="0"/>
    </format>
    <format dxfId="571">
      <pivotArea outline="0" collapsedLevelsAreSubtotals="1" fieldPosition="0"/>
    </format>
    <format dxfId="570">
      <pivotArea type="origin" dataOnly="0" labelOnly="1" outline="0" fieldPosition="0"/>
    </format>
    <format dxfId="569">
      <pivotArea field="5" type="button" dataOnly="0" labelOnly="1" outline="0" axis="axisCol" fieldPosition="0"/>
    </format>
    <format dxfId="568">
      <pivotArea type="topRight" dataOnly="0" labelOnly="1" outline="0" fieldPosition="0"/>
    </format>
    <format dxfId="567">
      <pivotArea field="2" type="button" dataOnly="0" labelOnly="1" outline="0" axis="axisRow" fieldPosition="0"/>
    </format>
    <format dxfId="566">
      <pivotArea dataOnly="0" labelOnly="1" outline="0" fieldPosition="0">
        <references count="1">
          <reference field="2" count="0"/>
        </references>
      </pivotArea>
    </format>
    <format dxfId="565">
      <pivotArea dataOnly="0" labelOnly="1" outline="0"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DD9A2F8-87EA-4B32-89E6-82FAEA9EE77D}" name="PivotTable5" cacheId="1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R5:BS9" firstHeaderRow="1" firstDataRow="2" firstDataCol="1" rowPageCount="2" colPageCount="1"/>
  <pivotFields count="55">
    <pivotField dataField="1" showAll="0" defaultSubtotal="0"/>
    <pivotField axis="axisPage" numFmtId="167" multipleItemSelectionAllowed="1" showAll="0" defaultSubtotal="0">
      <items count="8">
        <item h="1" x="0"/>
        <item h="1" x="1"/>
        <item h="1" x="2"/>
        <item h="1" x="3"/>
        <item h="1" x="4"/>
        <item h="1" x="5"/>
        <item x="6"/>
        <item x="7"/>
      </items>
    </pivotField>
    <pivotField axis="axisRow" showAll="0" defaultSubtotal="0">
      <items count="5">
        <item x="3"/>
        <item x="4"/>
        <item x="0"/>
        <item x="2"/>
        <item x="1"/>
      </items>
    </pivotField>
    <pivotField numFmtId="168" showAll="0" defaultSubtotal="0"/>
    <pivotField numFmtId="168" showAll="0" defaultSubtotal="0"/>
    <pivotField axis="axisCol" showAll="0" defaultSubtotal="0">
      <items count="4">
        <item x="3"/>
        <item x="0"/>
        <item x="1"/>
        <item x="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7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5">
        <item x="0"/>
        <item x="3"/>
        <item x="2"/>
        <item x="4"/>
        <item x="1"/>
      </items>
    </pivotField>
    <pivotField axis="axisPage" showAll="0" defaultSubtotal="0">
      <items count="7">
        <item x="4"/>
        <item x="0"/>
        <item x="2"/>
        <item x="1"/>
        <item x="6"/>
        <item x="5"/>
        <item x="3"/>
      </items>
    </pivotField>
  </pivotFields>
  <rowFields count="1">
    <field x="2"/>
  </rowFields>
  <rowItems count="3">
    <i>
      <x v="1"/>
    </i>
    <i>
      <x v="2"/>
    </i>
    <i>
      <x v="3"/>
    </i>
  </rowItems>
  <colFields count="1">
    <field x="5"/>
  </colFields>
  <colItems count="1">
    <i>
      <x v="2"/>
    </i>
  </colItems>
  <pageFields count="2">
    <pageField fld="1" hier="-1"/>
    <pageField fld="54" hier="-1"/>
  </pageFields>
  <dataFields count="1">
    <dataField name="Count of Column1"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6DF1CC4-3F4F-49EB-BBEE-4F7E50CE45DC}" name="PivotTable4" cacheId="1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I5:BM11" firstHeaderRow="1" firstDataRow="2" firstDataCol="1" rowPageCount="2" colPageCount="1"/>
  <pivotFields count="55">
    <pivotField dataField="1" showAll="0" defaultSubtotal="0"/>
    <pivotField axis="axisPage" numFmtId="167" showAll="0" defaultSubtotal="0">
      <items count="8">
        <item x="0"/>
        <item x="1"/>
        <item x="2"/>
        <item x="3"/>
        <item x="4"/>
        <item x="5"/>
        <item x="6"/>
        <item x="7"/>
      </items>
    </pivotField>
    <pivotField axis="axisRow" showAll="0" defaultSubtotal="0">
      <items count="5">
        <item x="3"/>
        <item x="4"/>
        <item x="0"/>
        <item x="2"/>
        <item x="1"/>
      </items>
    </pivotField>
    <pivotField numFmtId="168" showAll="0" defaultSubtotal="0"/>
    <pivotField numFmtId="168" showAll="0" defaultSubtotal="0"/>
    <pivotField axis="axisCol" showAll="0" defaultSubtotal="0">
      <items count="4">
        <item x="3"/>
        <item x="0"/>
        <item x="1"/>
        <item x="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7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5">
        <item x="0"/>
        <item x="3"/>
        <item x="2"/>
        <item x="4"/>
        <item x="1"/>
      </items>
    </pivotField>
    <pivotField axis="axisPage" showAll="0" defaultSubtotal="0">
      <items count="7">
        <item x="4"/>
        <item x="0"/>
        <item x="2"/>
        <item x="1"/>
        <item x="6"/>
        <item x="5"/>
        <item x="3"/>
      </items>
    </pivotField>
  </pivotFields>
  <rowFields count="1">
    <field x="2"/>
  </rowFields>
  <rowItems count="5">
    <i>
      <x/>
    </i>
    <i>
      <x v="1"/>
    </i>
    <i>
      <x v="2"/>
    </i>
    <i>
      <x v="3"/>
    </i>
    <i>
      <x v="4"/>
    </i>
  </rowItems>
  <colFields count="1">
    <field x="5"/>
  </colFields>
  <colItems count="4">
    <i>
      <x/>
    </i>
    <i>
      <x v="1"/>
    </i>
    <i>
      <x v="2"/>
    </i>
    <i>
      <x v="3"/>
    </i>
  </colItems>
  <pageFields count="2">
    <pageField fld="1" hier="-1"/>
    <pageField fld="54" hier="-1"/>
  </pageFields>
  <dataFields count="1">
    <dataField name="Count of Column1"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D3ED914-75F7-4518-BD47-D9E5F3B16151}" name="PivotTable2"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G4:H6" firstHeaderRow="1" firstDataRow="2" firstDataCol="1" rowPageCount="2" colPageCount="1"/>
  <pivotFields count="60">
    <pivotField dataField="1" compact="0" outline="0" showAll="0"/>
    <pivotField axis="axisPage" compact="0" numFmtId="14" outline="0" showAll="0">
      <items count="5">
        <item h="1" x="0"/>
        <item h="1" x="1"/>
        <item h="1" x="2"/>
        <item x="3"/>
        <item t="default"/>
      </items>
    </pivotField>
    <pivotField axis="axisRow" compact="0" outline="0" showAll="0">
      <items count="3">
        <item x="0"/>
        <item x="1"/>
        <item t="default"/>
      </items>
    </pivotField>
    <pivotField compact="0" numFmtId="164" outline="0" showAll="0">
      <items count="5">
        <item x="3"/>
        <item x="0"/>
        <item x="1"/>
        <item x="2"/>
        <item t="default"/>
      </items>
    </pivotField>
    <pivotField compact="0" numFmtId="164" outline="0" showAll="0"/>
    <pivotField axis="axisCol" compact="0" outline="0" showAll="0">
      <items count="4">
        <item x="2"/>
        <item x="0"/>
        <item x="1"/>
        <item t="default"/>
      </items>
    </pivotField>
    <pivotField compact="0" outline="0" showAll="0"/>
    <pivotField compact="0" outline="0" showAll="0"/>
    <pivotField compact="0" outline="0" showAll="0"/>
    <pivotField compact="0" outline="0" showAll="0"/>
    <pivotField axis="axisPage" compact="0" outline="0" showAll="0">
      <items count="5">
        <item x="0"/>
        <item x="2"/>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
    <i>
      <x/>
    </i>
  </rowItems>
  <colFields count="1">
    <field x="5"/>
  </colFields>
  <colItems count="1">
    <i>
      <x v="1"/>
    </i>
  </colItems>
  <pageFields count="2">
    <pageField fld="1" item="3" hier="-1"/>
    <pageField fld="10" hier="-1"/>
  </pageFields>
  <dataFields count="1">
    <dataField name="Count of Case Number" fld="0" subtotal="count" baseField="0" baseItem="0"/>
  </dataFields>
  <formats count="18">
    <format dxfId="408">
      <pivotArea type="all" dataOnly="0" outline="0" fieldPosition="0"/>
    </format>
    <format dxfId="407">
      <pivotArea outline="0" collapsedLevelsAreSubtotals="1" fieldPosition="0"/>
    </format>
    <format dxfId="406">
      <pivotArea type="origin" dataOnly="0" labelOnly="1" outline="0" fieldPosition="0"/>
    </format>
    <format dxfId="405">
      <pivotArea field="5" type="button" dataOnly="0" labelOnly="1" outline="0" axis="axisCol" fieldPosition="0"/>
    </format>
    <format dxfId="404">
      <pivotArea type="topRight" dataOnly="0" labelOnly="1" outline="0" fieldPosition="0"/>
    </format>
    <format dxfId="403">
      <pivotArea field="3" type="button" dataOnly="0" labelOnly="1" outline="0"/>
    </format>
    <format dxfId="402">
      <pivotArea dataOnly="0" labelOnly="1" grandRow="1" outline="0" fieldPosition="0"/>
    </format>
    <format dxfId="401">
      <pivotArea dataOnly="0" labelOnly="1" outline="0" fieldPosition="0">
        <references count="1">
          <reference field="5" count="0"/>
        </references>
      </pivotArea>
    </format>
    <format dxfId="400">
      <pivotArea dataOnly="0" labelOnly="1" grandCol="1" outline="0" fieldPosition="0"/>
    </format>
    <format dxfId="399">
      <pivotArea type="all" dataOnly="0" outline="0" fieldPosition="0"/>
    </format>
    <format dxfId="398">
      <pivotArea outline="0" collapsedLevelsAreSubtotals="1" fieldPosition="0"/>
    </format>
    <format dxfId="397">
      <pivotArea type="origin" dataOnly="0" labelOnly="1" outline="0" fieldPosition="0"/>
    </format>
    <format dxfId="396">
      <pivotArea field="5" type="button" dataOnly="0" labelOnly="1" outline="0" axis="axisCol" fieldPosition="0"/>
    </format>
    <format dxfId="395">
      <pivotArea type="topRight" dataOnly="0" labelOnly="1" outline="0" fieldPosition="0"/>
    </format>
    <format dxfId="394">
      <pivotArea field="3" type="button" dataOnly="0" labelOnly="1" outline="0"/>
    </format>
    <format dxfId="393">
      <pivotArea dataOnly="0" labelOnly="1" grandRow="1" outline="0" fieldPosition="0"/>
    </format>
    <format dxfId="392">
      <pivotArea dataOnly="0" labelOnly="1" outline="0" fieldPosition="0">
        <references count="1">
          <reference field="5" count="0"/>
        </references>
      </pivotArea>
    </format>
    <format dxfId="391">
      <pivotArea dataOnly="0" labelOnly="1" grandCol="1" outline="0" fieldPosition="0"/>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8C299E4-67B0-4755-A415-8C78441B315A}" name="PivotTable1"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D7" firstHeaderRow="1" firstDataRow="2" firstDataCol="1" rowPageCount="2" colPageCount="1"/>
  <pivotFields count="60">
    <pivotField dataField="1" compact="0" outline="0" showAll="0"/>
    <pivotField axis="axisPage" compact="0" numFmtId="14" outline="0" showAll="0">
      <items count="5">
        <item x="0"/>
        <item x="1"/>
        <item x="2"/>
        <item x="3"/>
        <item t="default"/>
      </items>
    </pivotField>
    <pivotField axis="axisRow" compact="0" outline="0" showAll="0">
      <items count="3">
        <item x="0"/>
        <item x="1"/>
        <item t="default"/>
      </items>
    </pivotField>
    <pivotField compact="0" numFmtId="164" outline="0" showAll="0">
      <items count="5">
        <item x="3"/>
        <item x="0"/>
        <item x="1"/>
        <item x="2"/>
        <item t="default"/>
      </items>
    </pivotField>
    <pivotField compact="0" numFmtId="164" outline="0" showAll="0"/>
    <pivotField axis="axisCol" compact="0" outline="0" showAll="0">
      <items count="4">
        <item x="2"/>
        <item x="0"/>
        <item x="1"/>
        <item t="default"/>
      </items>
    </pivotField>
    <pivotField compact="0" outline="0" showAll="0"/>
    <pivotField compact="0" outline="0" showAll="0"/>
    <pivotField compact="0" outline="0" showAll="0"/>
    <pivotField compact="0" outline="0" showAll="0"/>
    <pivotField axis="axisPage" compact="0" outline="0" showAll="0">
      <items count="5">
        <item x="0"/>
        <item x="2"/>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
    <i>
      <x/>
    </i>
    <i>
      <x v="1"/>
    </i>
  </rowItems>
  <colFields count="1">
    <field x="5"/>
  </colFields>
  <colItems count="3">
    <i>
      <x/>
    </i>
    <i>
      <x v="1"/>
    </i>
    <i>
      <x v="2"/>
    </i>
  </colItems>
  <pageFields count="2">
    <pageField fld="1" hier="-1"/>
    <pageField fld="10" hier="-1"/>
  </pageFields>
  <dataFields count="1">
    <dataField name="Count of Case Number" fld="0" subtotal="count" baseField="0" baseItem="0"/>
  </dataFields>
  <formats count="18">
    <format dxfId="426">
      <pivotArea type="all" dataOnly="0" outline="0" fieldPosition="0"/>
    </format>
    <format dxfId="425">
      <pivotArea outline="0" collapsedLevelsAreSubtotals="1" fieldPosition="0"/>
    </format>
    <format dxfId="424">
      <pivotArea type="origin" dataOnly="0" labelOnly="1" outline="0" fieldPosition="0"/>
    </format>
    <format dxfId="423">
      <pivotArea field="5" type="button" dataOnly="0" labelOnly="1" outline="0" axis="axisCol" fieldPosition="0"/>
    </format>
    <format dxfId="422">
      <pivotArea type="topRight" dataOnly="0" labelOnly="1" outline="0" fieldPosition="0"/>
    </format>
    <format dxfId="421">
      <pivotArea field="3" type="button" dataOnly="0" labelOnly="1" outline="0"/>
    </format>
    <format dxfId="420">
      <pivotArea dataOnly="0" labelOnly="1" grandRow="1" outline="0" fieldPosition="0"/>
    </format>
    <format dxfId="419">
      <pivotArea dataOnly="0" labelOnly="1" outline="0" fieldPosition="0">
        <references count="1">
          <reference field="5" count="0"/>
        </references>
      </pivotArea>
    </format>
    <format dxfId="418">
      <pivotArea dataOnly="0" labelOnly="1" grandCol="1" outline="0" fieldPosition="0"/>
    </format>
    <format dxfId="417">
      <pivotArea type="all" dataOnly="0" outline="0" fieldPosition="0"/>
    </format>
    <format dxfId="416">
      <pivotArea outline="0" collapsedLevelsAreSubtotals="1" fieldPosition="0"/>
    </format>
    <format dxfId="415">
      <pivotArea type="origin" dataOnly="0" labelOnly="1" outline="0" fieldPosition="0"/>
    </format>
    <format dxfId="414">
      <pivotArea field="5" type="button" dataOnly="0" labelOnly="1" outline="0" axis="axisCol" fieldPosition="0"/>
    </format>
    <format dxfId="413">
      <pivotArea type="topRight" dataOnly="0" labelOnly="1" outline="0" fieldPosition="0"/>
    </format>
    <format dxfId="412">
      <pivotArea field="3" type="button" dataOnly="0" labelOnly="1" outline="0"/>
    </format>
    <format dxfId="411">
      <pivotArea dataOnly="0" labelOnly="1" grandRow="1" outline="0" fieldPosition="0"/>
    </format>
    <format dxfId="410">
      <pivotArea dataOnly="0" labelOnly="1" outline="0" fieldPosition="0">
        <references count="1">
          <reference field="5" count="0"/>
        </references>
      </pivotArea>
    </format>
    <format dxfId="409">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D68C1F5-EACC-4489-84D3-847228668231}" name="PivotTable3"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M4:N6" firstHeaderRow="1" firstDataRow="2" firstDataCol="1" rowPageCount="2" colPageCount="1"/>
  <pivotFields count="60">
    <pivotField dataField="1" compact="0" outline="0" showAll="0"/>
    <pivotField axis="axisPage" compact="0" numFmtId="14" outline="0" showAll="0">
      <items count="5">
        <item x="0"/>
        <item x="1"/>
        <item x="2"/>
        <item x="3"/>
        <item t="default"/>
      </items>
    </pivotField>
    <pivotField axis="axisRow" compact="0" outline="0" showAll="0">
      <items count="3">
        <item x="0"/>
        <item x="1"/>
        <item t="default"/>
      </items>
    </pivotField>
    <pivotField compact="0" numFmtId="164" outline="0" showAll="0">
      <items count="5">
        <item x="3"/>
        <item x="0"/>
        <item x="1"/>
        <item x="2"/>
        <item t="default"/>
      </items>
    </pivotField>
    <pivotField compact="0" numFmtId="164" outline="0" showAll="0"/>
    <pivotField axis="axisCol" compact="0" outline="0" showAll="0">
      <items count="4">
        <item x="2"/>
        <item x="0"/>
        <item x="1"/>
        <item t="default"/>
      </items>
    </pivotField>
    <pivotField compact="0" outline="0" showAll="0"/>
    <pivotField compact="0" outline="0" showAll="0"/>
    <pivotField compact="0" outline="0" showAll="0"/>
    <pivotField compact="0" outline="0" showAll="0"/>
    <pivotField axis="axisPage" compact="0" outline="0" showAll="0">
      <items count="5">
        <item x="0"/>
        <item x="2"/>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
    <i>
      <x/>
    </i>
  </rowItems>
  <colFields count="1">
    <field x="5"/>
  </colFields>
  <colItems count="1">
    <i>
      <x v="1"/>
    </i>
  </colItems>
  <pageFields count="2">
    <pageField fld="1" item="0" hier="-1"/>
    <pageField fld="10" hier="-1"/>
  </pageFields>
  <dataFields count="1">
    <dataField name="Count of Case Number" fld="0" subtotal="count" baseField="0" baseItem="0"/>
  </dataFields>
  <formats count="18">
    <format dxfId="444">
      <pivotArea type="all" dataOnly="0" outline="0" fieldPosition="0"/>
    </format>
    <format dxfId="443">
      <pivotArea outline="0" collapsedLevelsAreSubtotals="1" fieldPosition="0"/>
    </format>
    <format dxfId="442">
      <pivotArea type="origin" dataOnly="0" labelOnly="1" outline="0" fieldPosition="0"/>
    </format>
    <format dxfId="441">
      <pivotArea field="5" type="button" dataOnly="0" labelOnly="1" outline="0" axis="axisCol" fieldPosition="0"/>
    </format>
    <format dxfId="440">
      <pivotArea type="topRight" dataOnly="0" labelOnly="1" outline="0" fieldPosition="0"/>
    </format>
    <format dxfId="439">
      <pivotArea field="3" type="button" dataOnly="0" labelOnly="1" outline="0"/>
    </format>
    <format dxfId="438">
      <pivotArea dataOnly="0" labelOnly="1" grandRow="1" outline="0" fieldPosition="0"/>
    </format>
    <format dxfId="437">
      <pivotArea dataOnly="0" labelOnly="1" outline="0" fieldPosition="0">
        <references count="1">
          <reference field="5" count="0"/>
        </references>
      </pivotArea>
    </format>
    <format dxfId="436">
      <pivotArea dataOnly="0" labelOnly="1" grandCol="1" outline="0" fieldPosition="0"/>
    </format>
    <format dxfId="435">
      <pivotArea type="all" dataOnly="0" outline="0" fieldPosition="0"/>
    </format>
    <format dxfId="434">
      <pivotArea outline="0" collapsedLevelsAreSubtotals="1" fieldPosition="0"/>
    </format>
    <format dxfId="433">
      <pivotArea type="origin" dataOnly="0" labelOnly="1" outline="0" fieldPosition="0"/>
    </format>
    <format dxfId="432">
      <pivotArea field="5" type="button" dataOnly="0" labelOnly="1" outline="0" axis="axisCol" fieldPosition="0"/>
    </format>
    <format dxfId="431">
      <pivotArea type="topRight" dataOnly="0" labelOnly="1" outline="0" fieldPosition="0"/>
    </format>
    <format dxfId="430">
      <pivotArea field="3" type="button" dataOnly="0" labelOnly="1" outline="0"/>
    </format>
    <format dxfId="429">
      <pivotArea dataOnly="0" labelOnly="1" grandRow="1" outline="0" fieldPosition="0"/>
    </format>
    <format dxfId="428">
      <pivotArea dataOnly="0" labelOnly="1" outline="0" fieldPosition="0">
        <references count="1">
          <reference field="5" count="0"/>
        </references>
      </pivotArea>
    </format>
    <format dxfId="427">
      <pivotArea dataOnly="0" labelOnly="1" grandCol="1" outline="0"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54FF8468-6696-4CDE-AE8B-4B0FE28D2441}" autoFormatId="16" applyNumberFormats="0" applyBorderFormats="0" applyFontFormats="0" applyPatternFormats="0" applyAlignmentFormats="0" applyWidthHeightFormats="0">
  <queryTableRefresh nextId="56">
    <queryTableFields count="55">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ALL_INCIDENTS" tableColumnId="10"/>
      <queryTableField id="11" name="Incident Type_1"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 id="55" name="ALL_INCIDENTS - Copy"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36C3D5E-A89C-4A83-BA0C-7A59259D7EBF}" autoFormatId="16" applyNumberFormats="0" applyBorderFormats="0" applyFontFormats="0" applyPatternFormats="0" applyAlignmentFormats="0" applyWidthHeightFormats="0">
  <queryTableRefresh nextId="120">
    <queryTableFields count="54">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2" xr16:uid="{1535C284-9D16-4C61-940C-BE409E77425D}" autoFormatId="16" applyNumberFormats="0" applyBorderFormats="0" applyFontFormats="0" applyPatternFormats="0" applyAlignmentFormats="0" applyWidthHeightFormats="0">
  <queryTableRefresh nextId="110">
    <queryTableFields count="54">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9" xr16:uid="{0677BE91-4D61-4337-BBBD-82298BA30184}" autoFormatId="16" applyNumberFormats="0" applyBorderFormats="0" applyFontFormats="0" applyPatternFormats="0" applyAlignmentFormats="0" applyWidthHeightFormats="0">
  <queryTableRefresh nextId="110">
    <queryTableFields count="54">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F5FD647D-CA1C-4668-B924-07DE318A596F}" autoFormatId="16" applyNumberFormats="0" applyBorderFormats="0" applyFontFormats="0" applyPatternFormats="0" applyAlignmentFormats="0" applyWidthHeightFormats="0">
  <queryTableRefresh nextId="56">
    <queryTableFields count="55">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ALL_INCIDENTS" tableColumnId="10"/>
      <queryTableField id="11" name="Incident Type_1"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 id="55" name="ALL_INCIDENTS - Copy" tableColumnId="5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17" xr16:uid="{308AC9F4-3E59-47A9-8B79-AD02AC86BC3C}" autoFormatId="16" applyNumberFormats="0" applyBorderFormats="0" applyFontFormats="0" applyPatternFormats="0" applyAlignmentFormats="0" applyWidthHeightFormats="0">
  <queryTableRefresh nextId="116">
    <queryTableFields count="60">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 id="110" name="SA_TypeOfAssault" tableColumnId="55"/>
      <queryTableField id="111" name="SA_VictimIncapacitated" tableColumnId="56"/>
      <queryTableField id="112" name="SA_ForceOrThreatUsed" tableColumnId="57"/>
      <queryTableField id="113" name="SA_LocationType" tableColumnId="58"/>
      <queryTableField id="114" name="SA_KnownVsStranger" tableColumnId="59"/>
      <queryTableField id="115" name="SA_NumberOfOffenders" tableColumnId="6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8" xr16:uid="{AAC10221-B6AC-47C5-88F7-34F0126B5912}" autoFormatId="16" applyNumberFormats="0" applyBorderFormats="0" applyFontFormats="0" applyPatternFormats="0" applyAlignmentFormats="0" applyWidthHeightFormats="0">
  <queryTableRefresh nextId="8">
    <queryTableFields count="7">
      <queryTableField id="1" name="Case Number" tableColumnId="1"/>
      <queryTableField id="2" name="SA_TypeOfAssault" tableColumnId="2"/>
      <queryTableField id="3" name="SA_VictimIncapacitated" tableColumnId="3"/>
      <queryTableField id="4" name="SA_ForceOrThreatUsed" tableColumnId="4"/>
      <queryTableField id="5" name="SA_LocationType" tableColumnId="5"/>
      <queryTableField id="6" name="SA_KnownVsStranger" tableColumnId="6"/>
      <queryTableField id="7" name="SA_NumberOfOffenders" tableColumnId="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791A67D-24EB-43A4-8B5A-327AF9B69B51}" autoFormatId="16" applyNumberFormats="0" applyBorderFormats="0" applyFontFormats="0" applyPatternFormats="0" applyAlignmentFormats="0" applyWidthHeightFormats="0">
  <queryTableRefresh nextId="113">
    <queryTableFields count="55">
      <queryTableField id="2" name="Case Number" tableColumnId="2"/>
      <queryTableField id="7" name="INC_DATE" tableColumnId="7"/>
      <queryTableField id="58" name="TOD" tableColumnId="54"/>
      <queryTableField id="3" name="Start of Hour" tableColumnId="3"/>
      <queryTableField id="4" name="INC_TIME" tableColumnId="4"/>
      <queryTableField id="5" name="Day Name" tableColumnId="5"/>
      <queryTableField id="6" name="Month Name" tableColumnId="6"/>
      <queryTableField id="48" name="BLOCK" tableColumnId="48"/>
      <queryTableField id="8" name="Location" tableColumnId="8"/>
      <queryTableField id="10" name="ALL_INCIDENTS" tableColumnId="10"/>
      <queryTableField id="9" name="Incident Type_1" tableColumnId="9"/>
      <queryTableField id="11" name="Incident Type_2" tableColumnId="11"/>
      <queryTableField id="12" name="Incident Type_3" tableColumnId="12"/>
      <queryTableField id="13" name="FullAddress" tableColumnId="13"/>
      <queryTableField id="14" name="Grid" tableColumnId="14"/>
      <queryTableField id="15" name="Zone" tableColumnId="15"/>
      <queryTableField id="16" name="Narrative" tableColumnId="16"/>
      <queryTableField id="17" name="Total Value Stolen" tableColumnId="17"/>
      <queryTableField id="18" name="Total Value Recover" tableColumnId="18"/>
      <queryTableField id="19" name="Registration 1" tableColumnId="19"/>
      <queryTableField id="20" name="Make1" tableColumnId="20"/>
      <queryTableField id="21" name="Model1" tableColumnId="21"/>
      <queryTableField id="22" name="Reg State 1" tableColumnId="22"/>
      <queryTableField id="23" name="Registration 2" tableColumnId="23"/>
      <queryTableField id="24" name="Reg State 2" tableColumnId="24"/>
      <queryTableField id="25" name="Make2" tableColumnId="25"/>
      <queryTableField id="26" name="Model2" tableColumnId="26"/>
      <queryTableField id="27" name="Reviewed By" tableColumnId="27"/>
      <queryTableField id="28" name="CompleteCalc" tableColumnId="28"/>
      <queryTableField id="29" name="Officer of Record" tableColumnId="29"/>
      <queryTableField id="30" name="Squad" tableColumnId="30"/>
      <queryTableField id="31" name="Det_Assigned" tableColumnId="31"/>
      <queryTableField id="32" name="Case_Status" tableColumnId="32"/>
      <queryTableField id="33" name="NIBRS Classification" tableColumnId="33"/>
      <queryTableField id="34" name="CASE_NUMBER_LENGTH" tableColumnId="34"/>
      <queryTableField id="35" name="Incident Date" tableColumnId="35"/>
      <queryTableField id="36" name="Incident Time" tableColumnId="36"/>
      <queryTableField id="37" name="Incident Date_Between" tableColumnId="37"/>
      <queryTableField id="38" name="Incident Time_Between" tableColumnId="38"/>
      <queryTableField id="39" name="Report Date" tableColumnId="39"/>
      <queryTableField id="40" name="Report Time" tableColumnId="40"/>
      <queryTableField id="41" name="Year" tableColumnId="41"/>
      <queryTableField id="42" name="Week of Year" tableColumnId="42"/>
      <queryTableField id="43" name="Week of Month" tableColumnId="43"/>
      <queryTableField id="44" name="Day" tableColumnId="44"/>
      <queryTableField id="45" name="Day of Year" tableColumnId="45"/>
      <queryTableField id="46" name="INC_DATE_AND_TIME" tableColumnId="46"/>
      <queryTableField id="47" name="St#" tableColumnId="47"/>
      <queryTableField id="109" name="Notes" tableColumnId="50"/>
      <queryTableField id="51" name="VEHICLE" tableColumnId="51"/>
      <queryTableField id="52" name="Suspect" tableColumnId="52"/>
      <queryTableField id="53" name="TOTAL_STOLEN_AMOUNT" tableColumnId="53"/>
      <queryTableField id="54" name="REPORT_CYCLE" tableColumnId="1"/>
      <queryTableField id="49" name="TIME_OF_DAY" tableColumnId="49"/>
      <queryTableField id="111" name="ALL_INCIDENTS - Copy" tableColumnId="5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D86FFB89-DFAC-4653-84BE-5376398679D5}" autoFormatId="16" applyNumberFormats="0" applyBorderFormats="0" applyFontFormats="0" applyPatternFormats="0" applyAlignmentFormats="0" applyWidthHeightFormats="0">
  <queryTableRefresh nextId="55">
    <queryTableFields count="54">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Incident Type_1" tableColumnId="10"/>
      <queryTableField id="11" name="ALL_INCIDENTS"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FD5A8721-E972-4F85-872B-DA4ECEB54831}" autoFormatId="16" applyNumberFormats="0" applyBorderFormats="0" applyFontFormats="0" applyPatternFormats="0" applyAlignmentFormats="0" applyWidthHeightFormats="0">
  <queryTableRefresh nextId="3">
    <queryTableFields count="2">
      <queryTableField id="1" name="StartDate" tableColumnId="1"/>
      <queryTableField id="2" name="EndD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3" xr16:uid="{74830E6E-ABFA-4E4E-B931-BC54342FCB46}" autoFormatId="16" applyNumberFormats="0" applyBorderFormats="0" applyFontFormats="0" applyPatternFormats="0" applyAlignmentFormats="0" applyWidthHeightFormats="0">
  <queryTableRefresh nextId="55">
    <queryTableFields count="54">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Incident Type_1" tableColumnId="10"/>
      <queryTableField id="11" name="ALL_INCIDENTS"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6</v>
    <v>5</v>
  </rv>
</rvData>
</file>

<file path=xl/richData/rdrichvaluestructure.xml><?xml version="1.0" encoding="utf-8"?>
<rvStructures xmlns="http://schemas.microsoft.com/office/spreadsheetml/2017/richdata" count="1">
  <s t="_error">
    <k n="colOffset" t="i"/>
    <k n="errorType" t="i"/>
    <k n="rwOffset"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0C15879-63A3-486B-9F88-495BA882061B}" name="BurglaryAuto" displayName="BurglaryAuto" ref="A1:BC11" tableType="queryTable" totalsRowShown="0">
  <autoFilter ref="A1:BC11" xr:uid="{A0C15879-63A3-486B-9F88-495BA882061B}"/>
  <tableColumns count="55">
    <tableColumn id="1" xr3:uid="{129DA7BD-9B74-49A1-BBCE-96FEA69BCEAF}" uniqueName="1" name="Case Number" queryTableFieldId="1" dataDxfId="236"/>
    <tableColumn id="2" xr3:uid="{1CD16FB5-2AC5-4AD8-BCD1-563609C6E9FB}" uniqueName="2" name="INC_DATE" queryTableFieldId="2" dataDxfId="206"/>
    <tableColumn id="3" xr3:uid="{F8BEEDE9-0A0E-4F44-86FD-87ABB81248B3}" uniqueName="3" name="TOD" queryTableFieldId="3"/>
    <tableColumn id="4" xr3:uid="{6168D80C-3D34-4D85-B1B7-2EDAEA41E419}" uniqueName="4" name="Start of Hour" queryTableFieldId="4" dataDxfId="208"/>
    <tableColumn id="5" xr3:uid="{45CCE10C-A27B-4E3F-BB33-BA1BFA898E0B}" uniqueName="5" name="INC_TIME" queryTableFieldId="5" dataDxfId="207"/>
    <tableColumn id="6" xr3:uid="{8F41F2E6-96BA-4182-B25A-AEA4B7E49B5F}" uniqueName="6" name="Day Name" queryTableFieldId="6" dataDxfId="235"/>
    <tableColumn id="7" xr3:uid="{A5B432D9-9170-4BCA-AAB4-9002E2ED5871}" uniqueName="7" name="Month Name" queryTableFieldId="7" dataDxfId="234"/>
    <tableColumn id="8" xr3:uid="{32DE70DC-7B73-42B4-963C-E0797A59DBD6}" uniqueName="8" name="BLOCK" queryTableFieldId="8"/>
    <tableColumn id="9" xr3:uid="{4BFD0951-BD10-471F-94AC-4EAB2B070F92}" uniqueName="9" name="Location" queryTableFieldId="9"/>
    <tableColumn id="10" xr3:uid="{EFDC2D9C-166D-412C-A6CD-23E5D10BF401}" uniqueName="10" name="ALL_INCIDENTS" queryTableFieldId="10"/>
    <tableColumn id="11" xr3:uid="{310F1047-621F-4A23-B867-6DA6E07DBBC8}" uniqueName="11" name="Incident Type_1" queryTableFieldId="11" dataDxfId="233"/>
    <tableColumn id="12" xr3:uid="{510961DC-868B-4517-9BDC-ADD47FA92645}" uniqueName="12" name="Incident Type_2" queryTableFieldId="12" dataDxfId="232"/>
    <tableColumn id="13" xr3:uid="{43AA4960-018A-4746-A062-B08A5C50143A}" uniqueName="13" name="Incident Type_3" queryTableFieldId="13" dataDxfId="231"/>
    <tableColumn id="14" xr3:uid="{F00CC982-A2D1-4DF1-B0D5-252F345D4CC1}" uniqueName="14" name="FullAddress" queryTableFieldId="14" dataDxfId="230"/>
    <tableColumn id="15" xr3:uid="{4B7844A4-3773-4528-82C2-0C6F9A01F9B0}" uniqueName="15" name="Grid" queryTableFieldId="15" dataDxfId="229"/>
    <tableColumn id="16" xr3:uid="{E64F72C5-4C27-4BAC-8E94-0BFB90F08FD0}" uniqueName="16" name="Zone" queryTableFieldId="16"/>
    <tableColumn id="17" xr3:uid="{0BD5C150-5529-44A4-BDBF-25D5B63EBB73}" uniqueName="17" name="Narrative" queryTableFieldId="17" dataDxfId="228"/>
    <tableColumn id="18" xr3:uid="{6BFF9E3B-9C16-47EB-AD5B-B17331FF2B97}" uniqueName="18" name="Total Value Stolen" queryTableFieldId="18"/>
    <tableColumn id="19" xr3:uid="{EEA55B91-CB1E-4B52-9EA0-E20E854D9E6D}" uniqueName="19" name="Total Value Recover" queryTableFieldId="19"/>
    <tableColumn id="20" xr3:uid="{29C6A52B-BDEE-4DE4-A26C-D5237AF09311}" uniqueName="20" name="Registration 1" queryTableFieldId="20" dataDxfId="227"/>
    <tableColumn id="21" xr3:uid="{7D5B27CE-ABBB-4127-B975-7F9F6F753F01}" uniqueName="21" name="Make1" queryTableFieldId="21" dataDxfId="226"/>
    <tableColumn id="22" xr3:uid="{53438B89-159E-4601-99DE-0CE61F162D14}" uniqueName="22" name="Model1" queryTableFieldId="22" dataDxfId="225"/>
    <tableColumn id="23" xr3:uid="{7EDEC493-3F32-4BDE-86CD-F168D3D36FA1}" uniqueName="23" name="Reg State 1" queryTableFieldId="23" dataDxfId="224"/>
    <tableColumn id="24" xr3:uid="{203239C0-26D3-470C-9860-39665BC100B4}" uniqueName="24" name="Registration 2" queryTableFieldId="24"/>
    <tableColumn id="25" xr3:uid="{F50E203A-5567-457D-BAE0-B70D7DB9660E}" uniqueName="25" name="Reg State 2" queryTableFieldId="25"/>
    <tableColumn id="26" xr3:uid="{7AB2BFBD-067B-4301-9C34-8500BE962219}" uniqueName="26" name="Make2" queryTableFieldId="26"/>
    <tableColumn id="27" xr3:uid="{92E6F553-11D0-4AFD-B38B-49E122DC9C35}" uniqueName="27" name="Model2" queryTableFieldId="27"/>
    <tableColumn id="28" xr3:uid="{EB26BD9F-B6DB-4B2E-8E6D-942D912AE317}" uniqueName="28" name="Reviewed By" queryTableFieldId="28" dataDxfId="223"/>
    <tableColumn id="29" xr3:uid="{70C1552F-7AF4-4B1E-8A14-0471122A95E2}" uniqueName="29" name="CompleteCalc" queryTableFieldId="29" dataDxfId="222"/>
    <tableColumn id="30" xr3:uid="{FD11CAFD-3081-4E34-829F-E9693A8F5DA2}" uniqueName="30" name="Officer of Record" queryTableFieldId="30" dataDxfId="221"/>
    <tableColumn id="31" xr3:uid="{C3BB04F9-E8CF-4C2F-AA8C-E41F907A1E2A}" uniqueName="31" name="Squad" queryTableFieldId="31" dataDxfId="220"/>
    <tableColumn id="32" xr3:uid="{1F685FE7-34D3-49B4-A30D-03F9DAC905AE}" uniqueName="32" name="Det_Assigned" queryTableFieldId="32" dataDxfId="219"/>
    <tableColumn id="33" xr3:uid="{999485DB-E24C-479C-8517-BCB758D18EBE}" uniqueName="33" name="Case_Status" queryTableFieldId="33" dataDxfId="218"/>
    <tableColumn id="34" xr3:uid="{92B016E7-5140-4CD4-A505-2FFCCF23F08E}" uniqueName="34" name="NIBRS Classification" queryTableFieldId="34" dataDxfId="217"/>
    <tableColumn id="35" xr3:uid="{96404AAC-7888-47C2-8966-8EAEA28A4EE6}" uniqueName="35" name="CASE_NUMBER_LENGTH" queryTableFieldId="35"/>
    <tableColumn id="36" xr3:uid="{61AF50CD-632F-4F19-8F91-76B5D17AEF1C}" uniqueName="36" name="Incident Date" queryTableFieldId="36" dataDxfId="216"/>
    <tableColumn id="37" xr3:uid="{BA3A1482-4ABC-4D94-9D6B-444E059B8D68}" uniqueName="37" name="Incident Time" queryTableFieldId="37" dataDxfId="215"/>
    <tableColumn id="38" xr3:uid="{B3CAA0D8-1C2A-41EF-B3DA-CF418EB49369}" uniqueName="38" name="Incident Date_Between" queryTableFieldId="38" dataDxfId="214"/>
    <tableColumn id="39" xr3:uid="{D6BAD186-B715-4E96-BA51-8DE49C9D5BE1}" uniqueName="39" name="Incident Time_Between" queryTableFieldId="39" dataDxfId="213"/>
    <tableColumn id="40" xr3:uid="{431AD5CD-7A52-4F29-BEDF-7FB2E0CD6CDB}" uniqueName="40" name="Report Date" queryTableFieldId="40" dataDxfId="212"/>
    <tableColumn id="41" xr3:uid="{80CCB9FA-BEFC-437C-97C9-F9B95EC0D367}" uniqueName="41" name="Report Time" queryTableFieldId="41" dataDxfId="211"/>
    <tableColumn id="42" xr3:uid="{1C647A07-5990-4A21-AE75-DEBD9DCE4AB4}" uniqueName="42" name="Year" queryTableFieldId="42"/>
    <tableColumn id="43" xr3:uid="{2AD2E394-B68C-472B-A102-38B43F8C1295}" uniqueName="43" name="Week of Year" queryTableFieldId="43"/>
    <tableColumn id="44" xr3:uid="{D1C5CEE6-D90F-4D44-8D5C-E189286711FE}" uniqueName="44" name="Week of Month" queryTableFieldId="44"/>
    <tableColumn id="45" xr3:uid="{7969FCE2-4B15-4F9F-AFEA-00F6384D0085}" uniqueName="45" name="Day" queryTableFieldId="45"/>
    <tableColumn id="46" xr3:uid="{7223083B-9B21-47AB-A308-CDCC2BA1ADD4}" uniqueName="46" name="Day of Year" queryTableFieldId="46"/>
    <tableColumn id="47" xr3:uid="{BFB4324C-8D18-418A-8F67-FE2BF12250B8}" uniqueName="47" name="INC_DATE_AND_TIME" queryTableFieldId="47" dataDxfId="210"/>
    <tableColumn id="48" xr3:uid="{C15BD115-DDA8-434F-BE60-929A4EB3D8C1}" uniqueName="48" name="St#" queryTableFieldId="48"/>
    <tableColumn id="49" xr3:uid="{FE3FA705-AF66-4FB8-B4FF-52D1B6EAB0B3}" uniqueName="49" name="Notes" queryTableFieldId="49"/>
    <tableColumn id="50" xr3:uid="{E219EFA1-4E55-4561-A7BE-1564A8F653FE}" uniqueName="50" name="VEHICLE" queryTableFieldId="50"/>
    <tableColumn id="51" xr3:uid="{97DE3A38-07AE-45EC-9A17-EF42014A42D6}" uniqueName="51" name="Suspect" queryTableFieldId="51"/>
    <tableColumn id="52" xr3:uid="{60C51694-CCFA-4AA0-8FF5-0746A1E870F1}" uniqueName="52" name="TOTAL_STOLEN_AMOUNT" queryTableFieldId="52"/>
    <tableColumn id="53" xr3:uid="{C1AD44E0-FA11-4634-979A-5B8BE55BD53F}" uniqueName="53" name="REPORT_CYCLE" queryTableFieldId="53"/>
    <tableColumn id="54" xr3:uid="{060674CD-D98A-4642-8755-5F2614C8A6B6}" uniqueName="54" name="TIME_OF_DAY" queryTableFieldId="54"/>
    <tableColumn id="55" xr3:uid="{44935FD8-280E-4652-B55C-A5DDC3A00C7D}" uniqueName="55" name="ALL_INCIDENTS - Copy" queryTableFieldId="55" dataDxfId="2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F2BF77F-662D-48A5-89EC-293F2867C0F9}" name="Table71049" displayName="Table71049" ref="BH19:BO23" totalsRowShown="0" headerRowDxfId="186" dataDxfId="185">
  <autoFilter ref="BH19:BO23" xr:uid="{6F2BF77F-662D-48A5-89EC-293F2867C0F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679D83E-EDC5-4EA1-ADA0-B8B031B5AAA3}" name="Time of Day" dataDxfId="184"/>
    <tableColumn id="2" xr3:uid="{1C19A106-3681-49BB-BA41-31A5FBD9C1B4}" name="Sun" dataDxfId="183"/>
    <tableColumn id="3" xr3:uid="{6F9C9727-6DB6-44EC-9BB8-6C62C725AB81}" name="Mon" dataDxfId="182"/>
    <tableColumn id="4" xr3:uid="{D75BD938-6433-4B3F-A030-2D4575A0590F}" name="Tue" dataDxfId="181"/>
    <tableColumn id="5" xr3:uid="{76FB8D41-85DA-4F66-A7CF-DCDA2BE3D7FE}" name="Wed" dataDxfId="180"/>
    <tableColumn id="6" xr3:uid="{6393E591-292F-43D5-BE59-4BF83226DD76}" name="Thu" dataDxfId="179"/>
    <tableColumn id="7" xr3:uid="{C50A9F90-690E-4CBD-8DD9-6ECF8932AE2B}" name="Fri" dataDxfId="178"/>
    <tableColumn id="8" xr3:uid="{8632BF87-11DC-4E3C-9763-D6853D1D4067}" name="Sat" dataDxfId="17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4BAE7329-6DEF-43A7-BF79-EB06E3BB9FBB}" name="Table791150" displayName="Table791150" ref="BH27:BO31" totalsRowShown="0" headerRowDxfId="176" dataDxfId="175">
  <autoFilter ref="BH27:BO31" xr:uid="{4BAE7329-6DEF-43A7-BF79-EB06E3BB9FB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83A5D74-EE03-4B9F-BC2E-E58FE8FB591F}" name="Time of Day" dataDxfId="174"/>
    <tableColumn id="2" xr3:uid="{8CEDC800-A145-4436-AE9E-6703E1518CF0}" name="Sun" dataDxfId="173"/>
    <tableColumn id="3" xr3:uid="{493BB8D0-1BE3-4097-ADDA-FBDFC293FCDB}" name="Mon" dataDxfId="172"/>
    <tableColumn id="4" xr3:uid="{1DA3A395-0CAE-4E31-9FBB-C69358C74A81}" name="Tue" dataDxfId="171"/>
    <tableColumn id="5" xr3:uid="{C94C55DA-26FC-4048-8EEB-473BA82D3476}" name="Wed" dataDxfId="170"/>
    <tableColumn id="6" xr3:uid="{2D9E94AA-1F9F-4C97-A60C-6E6D41A90A01}" name="Thu" dataDxfId="169"/>
    <tableColumn id="7" xr3:uid="{6D0096EC-8F3B-4E1F-85CA-7B8BD81754A9}" name="Fri" dataDxfId="168"/>
    <tableColumn id="8" xr3:uid="{6B59DE0A-B031-4051-9D90-10EAC22D1BF7}" name="Sat" dataDxfId="16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3B4D5E-C410-487A-BBAF-F19B83C60366}" name="Bur_Auto" displayName="Bur_Auto" ref="A1:BB8" tableType="queryTable" totalsRowShown="0">
  <autoFilter ref="A1:BB8" xr:uid="{053B4D5E-C410-487A-BBAF-F19B83C60366}"/>
  <tableColumns count="54">
    <tableColumn id="1" xr3:uid="{FACFC861-1620-40BD-950E-E20853CEDE8D}" uniqueName="1" name="Case Number" queryTableFieldId="1" dataDxfId="910"/>
    <tableColumn id="6" xr3:uid="{FDAC213A-693D-47F2-A727-78E05BADFCE5}" uniqueName="6" name="INC_DATE" queryTableFieldId="6" dataDxfId="246"/>
    <tableColumn id="54" xr3:uid="{C289D260-D8AD-4BF1-950A-06208F22D638}" uniqueName="54" name="TOD" queryTableFieldId="57"/>
    <tableColumn id="2" xr3:uid="{9742BAFE-0E5B-4B5E-869A-22E19C40F353}" uniqueName="2" name="Start of Hour" queryTableFieldId="2" dataDxfId="245"/>
    <tableColumn id="3" xr3:uid="{63AAD30B-832D-4367-B05E-FBE90CBF7432}" uniqueName="3" name="INC_TIME" queryTableFieldId="3" dataDxfId="244"/>
    <tableColumn id="4" xr3:uid="{437D069E-5E44-4D48-8713-FEB12322B831}" uniqueName="4" name="Day Name" queryTableFieldId="4"/>
    <tableColumn id="5" xr3:uid="{F22A587A-1AC0-4ED2-BB61-A25EA201651D}" uniqueName="5" name="Month Name" queryTableFieldId="5"/>
    <tableColumn id="47" xr3:uid="{D2F99258-E6F4-45DE-8665-8F54BCC909AB}" uniqueName="47" name="BLOCK" queryTableFieldId="47"/>
    <tableColumn id="7" xr3:uid="{23412795-3C5C-4E2A-9919-B98C62A75D08}" uniqueName="7" name="Location" queryTableFieldId="7"/>
    <tableColumn id="8" xr3:uid="{887AEAD5-2EE6-4CE8-B63E-F34A4013598D}" uniqueName="8" name="Incident Type_1" queryTableFieldId="8" dataDxfId="909"/>
    <tableColumn id="9" xr3:uid="{C0F0C169-D837-4C9E-AB09-8C1D99D91596}" uniqueName="9" name="ALL_INCIDENTS" queryTableFieldId="9"/>
    <tableColumn id="10" xr3:uid="{7C706C07-C6A9-4B55-B12B-B1EC640BB510}" uniqueName="10" name="Incident Type_2" queryTableFieldId="10" dataDxfId="908"/>
    <tableColumn id="11" xr3:uid="{F3806DE8-88F3-43EF-B3ED-0B00EA0C5B06}" uniqueName="11" name="Incident Type_3" queryTableFieldId="11" dataDxfId="907"/>
    <tableColumn id="12" xr3:uid="{2D137194-07CE-44BF-B991-4DC064083B2F}" uniqueName="12" name="FullAddress" queryTableFieldId="12" dataDxfId="906"/>
    <tableColumn id="13" xr3:uid="{8A7A3242-2964-4403-A82F-2C0BBD0A6E23}" uniqueName="13" name="Grid" queryTableFieldId="13" dataDxfId="905"/>
    <tableColumn id="14" xr3:uid="{A362B5CB-0CC8-4CB4-BBC1-73B64D5C13F7}" uniqueName="14" name="Zone" queryTableFieldId="14"/>
    <tableColumn id="15" xr3:uid="{E1F30827-C2EA-441F-BD35-CB496B001448}" uniqueName="15" name="Narrative" queryTableFieldId="15" dataDxfId="904"/>
    <tableColumn id="16" xr3:uid="{975068BA-A059-498B-AF9A-9041339A5EB4}" uniqueName="16" name="Total Value Stolen" queryTableFieldId="16"/>
    <tableColumn id="17" xr3:uid="{F655ADE8-2EC8-4201-AF47-04D14250510D}" uniqueName="17" name="Total Value Recover" queryTableFieldId="17"/>
    <tableColumn id="18" xr3:uid="{C8696408-8459-49C0-A2B1-C77A7E8802CB}" uniqueName="18" name="Registration 1" queryTableFieldId="18" dataDxfId="903"/>
    <tableColumn id="19" xr3:uid="{2CF01599-CADC-43A5-9982-F679A114208D}" uniqueName="19" name="Make1" queryTableFieldId="19" dataDxfId="902"/>
    <tableColumn id="20" xr3:uid="{8BEE1F97-52E1-49A0-822D-71406A448AD5}" uniqueName="20" name="Model1" queryTableFieldId="20" dataDxfId="901"/>
    <tableColumn id="21" xr3:uid="{991E9F53-0B16-43C7-BC83-8C933A9EAF48}" uniqueName="21" name="Reg State 1" queryTableFieldId="21" dataDxfId="900"/>
    <tableColumn id="22" xr3:uid="{196A4EFA-8AE5-4359-A05A-E5856FD86ED3}" uniqueName="22" name="Registration 2" queryTableFieldId="22"/>
    <tableColumn id="23" xr3:uid="{09BFE387-258E-4028-912E-F42848FC1FB8}" uniqueName="23" name="Reg State 2" queryTableFieldId="23"/>
    <tableColumn id="24" xr3:uid="{999E3F07-7593-49A2-B8BA-CE172835F480}" uniqueName="24" name="Make2" queryTableFieldId="24"/>
    <tableColumn id="25" xr3:uid="{EC6C6216-F333-4EE1-8A1C-34E8C49FD1BF}" uniqueName="25" name="Model2" queryTableFieldId="25"/>
    <tableColumn id="26" xr3:uid="{E69827BB-9FFF-4842-AACE-96129A23C8F0}" uniqueName="26" name="Reviewed By" queryTableFieldId="26" dataDxfId="899"/>
    <tableColumn id="27" xr3:uid="{420263CF-29F0-4E22-B9B7-8D8359881CC9}" uniqueName="27" name="CompleteCalc" queryTableFieldId="27" dataDxfId="898"/>
    <tableColumn id="28" xr3:uid="{0A0186FF-651D-489A-A310-98C2FD6D65A1}" uniqueName="28" name="Officer of Record" queryTableFieldId="28" dataDxfId="897"/>
    <tableColumn id="29" xr3:uid="{96757894-775B-442E-809C-6B97BD573DC0}" uniqueName="29" name="Squad" queryTableFieldId="29" dataDxfId="896"/>
    <tableColumn id="30" xr3:uid="{6318B82C-473C-44D6-9464-C32015D30AF6}" uniqueName="30" name="Det_Assigned" queryTableFieldId="30" dataDxfId="895"/>
    <tableColumn id="31" xr3:uid="{254BA949-002B-4681-BF1C-D67BB17DCD44}" uniqueName="31" name="Case_Status" queryTableFieldId="31" dataDxfId="894"/>
    <tableColumn id="32" xr3:uid="{B2F06823-4098-42B9-947E-DB3B89C54414}" uniqueName="32" name="NIBRS Classification" queryTableFieldId="32" dataDxfId="893"/>
    <tableColumn id="33" xr3:uid="{6414E244-640F-482E-A12C-80735BC57F46}" uniqueName="33" name="CASE_NUMBER_LENGTH" queryTableFieldId="33"/>
    <tableColumn id="34" xr3:uid="{A1454815-E327-4863-B5FB-D230F8E1F366}" uniqueName="34" name="Incident Date" queryTableFieldId="34" dataDxfId="243"/>
    <tableColumn id="35" xr3:uid="{03A3739B-62F8-433E-A160-1062904FE2C1}" uniqueName="35" name="Incident Time" queryTableFieldId="35" dataDxfId="242"/>
    <tableColumn id="36" xr3:uid="{4532925B-8DE0-4B62-AE53-FE1DD5AEAEF0}" uniqueName="36" name="Incident Date_Between" queryTableFieldId="36" dataDxfId="241"/>
    <tableColumn id="37" xr3:uid="{D601CFF7-2AC6-4B91-84AC-5ADBE581B65A}" uniqueName="37" name="Incident Time_Between" queryTableFieldId="37" dataDxfId="240"/>
    <tableColumn id="38" xr3:uid="{9F3C9716-DE69-45D6-9049-BF68B837A140}" uniqueName="38" name="Report Date" queryTableFieldId="38" dataDxfId="239"/>
    <tableColumn id="39" xr3:uid="{6E0E3296-FEAA-4E96-BF7A-CBEA342B91CF}" uniqueName="39" name="Report Time" queryTableFieldId="39" dataDxfId="238"/>
    <tableColumn id="40" xr3:uid="{680BBDF2-B758-4577-BD0C-C162EFF9409E}" uniqueName="40" name="Year" queryTableFieldId="40"/>
    <tableColumn id="41" xr3:uid="{A837D56A-5CBE-499C-A4F2-CC38DA30A593}" uniqueName="41" name="Week of Year" queryTableFieldId="41"/>
    <tableColumn id="42" xr3:uid="{4D75D3C2-8786-40BF-B97B-D0EE0432B82D}" uniqueName="42" name="Week of Month" queryTableFieldId="42"/>
    <tableColumn id="43" xr3:uid="{1D4F9BBB-5892-474F-BE57-70EA5EEF1794}" uniqueName="43" name="Day" queryTableFieldId="43"/>
    <tableColumn id="44" xr3:uid="{90001A85-63F5-42C1-A0AA-B5EF7CEAC611}" uniqueName="44" name="Day of Year" queryTableFieldId="44"/>
    <tableColumn id="45" xr3:uid="{11B2CB0E-C8BB-41E3-8BD8-DB730FB6DFEB}" uniqueName="45" name="INC_DATE_AND_TIME" queryTableFieldId="45" dataDxfId="237"/>
    <tableColumn id="46" xr3:uid="{B8E6382D-A067-404B-86B9-4993AE799355}" uniqueName="46" name="St#" queryTableFieldId="46"/>
    <tableColumn id="49" xr3:uid="{48D4137F-198F-4529-92F8-BDA08563A6B7}" uniqueName="49" name="Notes" queryTableFieldId="108" dataDxfId="892"/>
    <tableColumn id="50" xr3:uid="{3049FA7E-2B3D-4825-BA0A-8C9537F88D77}" uniqueName="50" name="VEHICLE" queryTableFieldId="50"/>
    <tableColumn id="51" xr3:uid="{1227B6EC-3B2B-400B-B915-A91EFE2CC2D2}" uniqueName="51" name="Suspect" queryTableFieldId="51"/>
    <tableColumn id="52" xr3:uid="{883FCCCA-106B-4935-ACD4-2CDDB39CF55E}" uniqueName="52" name="TOTAL_STOLEN_AMOUNT" queryTableFieldId="52" dataDxfId="891"/>
    <tableColumn id="53" xr3:uid="{6456B8EA-5D36-4659-A4F9-64A6114BF6EE}" uniqueName="53" name="REPORT_CYCLE" queryTableFieldId="53"/>
    <tableColumn id="48" xr3:uid="{63862322-9A57-414B-82BE-92A0375CE84B}" uniqueName="48" name="TIME_OF_DAY" queryTableFieldId="4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17250F1-A6AE-4344-8FA4-95DF27273095}" name="M_BurglaryAuto" displayName="M_BurglaryAuto" ref="A1:AZ8" totalsRowShown="0">
  <autoFilter ref="A1:AZ8" xr:uid="{F17250F1-A6AE-4344-8FA4-95DF27273095}"/>
  <tableColumns count="52">
    <tableColumn id="1" xr3:uid="{C9411DB4-9F83-4283-A648-452C34DE1804}" name="Case Number" dataDxfId="890"/>
    <tableColumn id="2" xr3:uid="{AFE8B3E3-F975-46E5-9D32-1CC3E87B7B98}" name="INC_DATE" dataDxfId="889"/>
    <tableColumn id="3" xr3:uid="{07AF4E5B-EFF7-4B6E-811A-8FFE816806D7}" name="TOD"/>
    <tableColumn id="4" xr3:uid="{E31F703D-A9FC-4549-8AAE-2F465CE83C2D}" name="Start of Hour" dataDxfId="888"/>
    <tableColumn id="5" xr3:uid="{41AEAFA3-512B-4054-8405-7D8EE30AC7B9}" name="INC_TIME" dataDxfId="887"/>
    <tableColumn id="6" xr3:uid="{101E6A78-650A-4BEA-A030-3DD7B6B06B02}" name="Day Name"/>
    <tableColumn id="7" xr3:uid="{0D29E6CD-1219-4608-9D99-59D4F557A8BC}" name="Month Name"/>
    <tableColumn id="8" xr3:uid="{C24278D3-C086-40F9-BB9E-EF5351777DB3}" name="BLOCK"/>
    <tableColumn id="9" xr3:uid="{FE88E6CB-06D4-4669-BB37-6CCE110942AC}" name="Location"/>
    <tableColumn id="10" xr3:uid="{84CBA40B-3026-4611-9CD8-276DE2184929}" name="ALL_INCIDENTS"/>
    <tableColumn id="11" xr3:uid="{E7259169-7CC1-4A5B-94D5-2CF8334272B2}" name="FullAddress" dataDxfId="886"/>
    <tableColumn id="12" xr3:uid="{34F28353-5425-47F8-A712-03418AF377CF}" name="Grid" dataDxfId="885"/>
    <tableColumn id="13" xr3:uid="{1C43DBA7-B014-484C-86C9-40AD0F4824CB}" name="Zone"/>
    <tableColumn id="14" xr3:uid="{07C1954B-1DF3-48F6-8E78-36E55C9F9542}" name="Narrative" dataDxfId="884"/>
    <tableColumn id="15" xr3:uid="{1B69F89D-3730-4117-84FB-A00B8918DFD8}" name="VEHICLE" dataDxfId="883"/>
    <tableColumn id="16" xr3:uid="{8BA6A073-D1F7-4C61-A98B-94E28F19696D}" name="Registration 1" dataDxfId="882"/>
    <tableColumn id="17" xr3:uid="{6B2F2E3E-15EA-4DF6-988C-381FD10545CC}" name="Make1" dataDxfId="881"/>
    <tableColumn id="18" xr3:uid="{1994E8E6-E4E3-4B0E-B44B-D7E0B4706927}" name="Model1" dataDxfId="880"/>
    <tableColumn id="19" xr3:uid="{579E1602-486F-4C29-AF0B-8F5309A1FB6D}" name="Reg State 1" dataDxfId="879"/>
    <tableColumn id="20" xr3:uid="{81AAB8CD-FFE1-4B33-AE8A-53165525EC9C}" name="Registration 2"/>
    <tableColumn id="21" xr3:uid="{D391835C-5450-4902-9AC8-031D09AF4299}" name="Reg State 2"/>
    <tableColumn id="22" xr3:uid="{BD7DDD1F-47BD-4D38-8879-A1751B91801F}" name="Make2"/>
    <tableColumn id="23" xr3:uid="{EADE9F12-0174-4BB6-999D-9FA5E3FBE965}" name="Model2"/>
    <tableColumn id="24" xr3:uid="{901ECCF6-9C6A-4416-9899-D60AF0F90B21}" name="Reviewed By" dataDxfId="878"/>
    <tableColumn id="25" xr3:uid="{3663000F-8408-439B-A2D4-45294E644DFE}" name="CompleteCalc" dataDxfId="877"/>
    <tableColumn id="26" xr3:uid="{ADE1BCA2-A903-457A-8BE1-07151790847E}" name="Officer of Record" dataDxfId="876"/>
    <tableColumn id="27" xr3:uid="{84D79B0B-D16E-4B24-BF37-911EE81C9A03}" name="Squad" dataDxfId="875"/>
    <tableColumn id="28" xr3:uid="{1F133A2C-33F5-45BF-A16E-1C6D18A4ED43}" name="Det_Assigned" dataDxfId="874"/>
    <tableColumn id="29" xr3:uid="{E8CA322A-4FED-43A0-9DA3-D35F2222C370}" name="Case_Status" dataDxfId="873"/>
    <tableColumn id="30" xr3:uid="{7EDFF867-5794-4053-B1E3-F02614FCF248}" name="NIBRS Classification" dataDxfId="872"/>
    <tableColumn id="31" xr3:uid="{A53F2519-4204-4F7E-BCCB-7979CD23D101}" name="CASE_NUMBER_LENGTH"/>
    <tableColumn id="32" xr3:uid="{43D353B1-6563-43A8-A21A-88E1379132A2}" name="Year"/>
    <tableColumn id="33" xr3:uid="{889191C7-5AE1-4DA8-9282-467DCA7209A4}" name="Week of Year"/>
    <tableColumn id="34" xr3:uid="{AE718020-E60E-44EE-9E0E-C7E0EEC58F99}" name="Week of Month"/>
    <tableColumn id="35" xr3:uid="{967C24A2-3858-4DC8-8D67-698089C8B6F0}" name="Day"/>
    <tableColumn id="36" xr3:uid="{F49B5D72-5C16-4B84-9BF7-71BA774707FD}" name="Day of Year"/>
    <tableColumn id="37" xr3:uid="{22EE52BD-09C9-4BBC-B36F-4D04FB079781}" name="INC_DATE_AND_TIME" dataDxfId="871"/>
    <tableColumn id="38" xr3:uid="{81FC7DF9-1B0B-43D0-9CA4-EC05E37B0542}" name="St#"/>
    <tableColumn id="39" xr3:uid="{C95828E2-02A2-4352-BE97-FB53A6D8D188}" name="Notes" dataDxfId="870"/>
    <tableColumn id="40" xr3:uid="{F61DCD27-BE44-4C8F-873D-158BC87266D3}" name="Suspect"/>
    <tableColumn id="41" xr3:uid="{73EC850A-A469-4F7A-A1D6-C36082579753}" name="TOTAL_STOLEN_AMOUNT"/>
    <tableColumn id="42" xr3:uid="{2CA382B0-F75A-4909-900F-ECC364B1F2D5}" name="REPORT_CYCLE"/>
    <tableColumn id="43" xr3:uid="{352B44A3-4300-4213-A389-81FB4E899325}" name="TIME_OF_DAY"/>
    <tableColumn id="44" xr3:uid="{BD60D36B-019E-4E31-8DE9-254D712CC4B8}" name="BurglaryAutoNotes.Vehicle Was Parked" dataDxfId="869"/>
    <tableColumn id="45" xr3:uid="{EF98453E-7C27-4B89-AE65-E7589279F3F0}" name="BurglaryAutoNotes.Entry Method" dataDxfId="868"/>
    <tableColumn id="46" xr3:uid="{D4F3723D-6141-4201-BA5F-2E4F37FA88E6}" name="BurglaryAutoNotes.Damage to Vehicle" dataDxfId="867"/>
    <tableColumn id="47" xr3:uid="{85C070B4-D3CD-408D-BA56-775B549BFF12}" name="BurglaryAutoNotes.Suspect Description" dataDxfId="866"/>
    <tableColumn id="48" xr3:uid="{A5417E48-A5CC-4935-92FC-5B381AE741C4}" name="BurglaryAutoNotes.Suspect Vehicle Description" dataDxfId="865"/>
    <tableColumn id="49" xr3:uid="{FEF6AE3C-6BBD-4C6A-BC5A-A321ACB0A148}" name="BurglaryAutoNotes.Items Stolen" dataDxfId="864"/>
    <tableColumn id="50" xr3:uid="{AF9C36A0-E84D-44EF-B706-DF82438128A5}" name="BurglaryAutoNotes.Value of Stolen Property"/>
    <tableColumn id="51" xr3:uid="{2009EC11-21AE-4991-B1D2-7BCB426EBB0E}" name="BurglaryAutoNotes.Keys with Vehicle" dataDxfId="863"/>
    <tableColumn id="52" xr3:uid="{F18C5F60-5CD8-4688-A622-AE1BAF7F12ED}" name="BurglaryAutoNotes.Offense Completed" dataDxfId="8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F0C7E1C-EB1A-4877-B7EA-A2CE8F8E8956}" name="BurglaryAutoNotes_1" displayName="BurglaryAutoNotes_1" ref="A1:Q8" totalsRowShown="0">
  <autoFilter ref="A1:Q8" xr:uid="{FF0C7E1C-EB1A-4877-B7EA-A2CE8F8E8956}"/>
  <tableColumns count="17">
    <tableColumn id="1" xr3:uid="{20652EEA-7B66-4985-9D0F-4F88D55A22C4}" name="Case Number" dataDxfId="861"/>
    <tableColumn id="2" xr3:uid="{4CFEBF71-4CBC-4F19-89CD-4E47EA25D486}" name="Block Incident Occurred On" dataDxfId="860"/>
    <tableColumn id="3" xr3:uid="{37E795ED-7187-4865-B2E4-947717CF501D}" name="Incident Date" dataDxfId="859"/>
    <tableColumn id="4" xr3:uid="{6A899688-7E3E-4F9A-B134-7BB7672D46FC}" name="Month of Incident" dataDxfId="858"/>
    <tableColumn id="5" xr3:uid="{DB970455-9F92-40B6-BF64-C5AB188AD4EF}" name="Day of Week" dataDxfId="857"/>
    <tableColumn id="6" xr3:uid="{54B54DF5-9210-4470-9DE9-F94CECB695DA}" name="Time of Day Incident Occurred" dataDxfId="856"/>
    <tableColumn id="7" xr3:uid="{13657BF1-7A28-442B-B62C-34621FFEFFF2}" name="Victim's Vehicle Description" dataDxfId="855"/>
    <tableColumn id="8" xr3:uid="{1A07E548-FC88-4BA9-829E-B37E84586384}" name="Vehicle Was Parked" dataDxfId="854"/>
    <tableColumn id="9" xr3:uid="{65DC85BF-2BA2-4638-934F-4A8D97E7497A}" name="Entry Method" dataDxfId="853"/>
    <tableColumn id="10" xr3:uid="{FE0CFDC1-3920-413B-9965-FB95A6722456}" name="Damage to Vehicle" dataDxfId="852"/>
    <tableColumn id="11" xr3:uid="{10A4329C-398D-4120-A372-62C691CA91A7}" name="Suspect Description" dataDxfId="851"/>
    <tableColumn id="12" xr3:uid="{A3160B11-995B-4C5A-9375-BBDCAECA35E6}" name="Suspect Vehicle Description" dataDxfId="850"/>
    <tableColumn id="13" xr3:uid="{DF53918A-9967-4FF2-B099-4E125CB20998}" name="Items Stolen" dataDxfId="849"/>
    <tableColumn id="14" xr3:uid="{137F56BB-C189-47EF-8010-D1AE84F210D5}" name="Value of Stolen Property"/>
    <tableColumn id="15" xr3:uid="{16930732-6B5F-4CC5-B26A-5238F5875B4E}" name="Keys with Vehicle" dataDxfId="848"/>
    <tableColumn id="16" xr3:uid="{0F59B79D-287D-4222-B579-20F5AA32D6E4}" name="Offense Completed" dataDxfId="847"/>
    <tableColumn id="17" xr3:uid="{6F2E8078-EBF2-4393-90CA-284E1CF87D7A}" name="Notes" dataDxfId="84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B5A1C22-D830-4FED-AC6D-EE6F0E0B0D0E}" name="BurglaryAutoNotes" displayName="BurglaryAutoNotes" ref="C1:S9" totalsRowCount="1" headerRowDxfId="845" dataDxfId="844">
  <autoFilter ref="C1:S8" xr:uid="{7B5A1C22-D830-4FED-AC6D-EE6F0E0B0D0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D513F4B0-DCA3-4636-A13E-035D03B15F36}" name="Case Number" dataDxfId="843" totalsRowDxfId="842">
      <calculatedColumnFormula array="1">_xlfn._xlws.FILTER(Bur_Auto[Case Number], Bur_Auto[Case Number] &lt;&gt; "")</calculatedColumnFormula>
    </tableColumn>
    <tableColumn id="2" xr3:uid="{1FFC79DA-EACF-47C9-A431-7E5C04822579}" name="Block Incident Occurred On" dataDxfId="841" totalsRowDxfId="840"/>
    <tableColumn id="3" xr3:uid="{C721DB44-8E6C-4357-8031-4D6D7999C145}" name="Incident Date" dataDxfId="839" totalsRowDxfId="838"/>
    <tableColumn id="15" xr3:uid="{F542A316-F116-4D9C-882F-FFF9A13DAAE6}" name="Month of Incident" dataDxfId="837" totalsRowDxfId="836">
      <calculatedColumnFormula>MONTH(BurglaryAutoNotes[[#This Row],[Incident Date]])</calculatedColumnFormula>
    </tableColumn>
    <tableColumn id="14" xr3:uid="{4549CFE4-A828-4CF2-AD37-E8EE4F7F1F00}" name="Day of Week" dataDxfId="835" totalsRowDxfId="834">
      <calculatedColumnFormula>DAY(BurglaryAutoNotes[[#This Row],[Incident Date]])</calculatedColumnFormula>
    </tableColumn>
    <tableColumn id="4" xr3:uid="{074F4DCB-63AE-4018-B800-678834C67451}" name="Time of Day Incident Occurred" dataDxfId="833" totalsRowDxfId="832"/>
    <tableColumn id="13" xr3:uid="{1FCB20F0-4FCE-43BB-BF2C-AF2C5FAE4D45}" name="Victim's Vehicle Description" dataDxfId="831" totalsRowDxfId="830"/>
    <tableColumn id="5" xr3:uid="{A0231097-972C-4906-8FB9-035DFC308154}" name="Vehicle Was Parked" dataDxfId="829" totalsRowDxfId="828"/>
    <tableColumn id="6" xr3:uid="{ACF36A7D-6066-4243-AF38-C1AE68981A76}" name="Entry Method" dataDxfId="827" totalsRowDxfId="826"/>
    <tableColumn id="7" xr3:uid="{7E9295D9-A645-4894-B5FA-ACBE154F70FB}" name="Damage to Vehicle" dataDxfId="825" totalsRowDxfId="824"/>
    <tableColumn id="17" xr3:uid="{1DF7F28F-0C91-4EA9-9C03-BD03A392C8A3}" name="Suspect Description" dataDxfId="823" totalsRowDxfId="822"/>
    <tableColumn id="16" xr3:uid="{B90F33C7-2552-4265-A0CC-19CCCCBFF84F}" name="Suspect Vehicle Description" dataDxfId="821" totalsRowDxfId="820"/>
    <tableColumn id="8" xr3:uid="{39314116-9C08-46D2-B474-6CD686587BAE}" name="Items Stolen" dataDxfId="819" totalsRowDxfId="818"/>
    <tableColumn id="9" xr3:uid="{03A64374-7BE4-4693-AB23-85EFB5396C35}" name="Value of Stolen Property" dataDxfId="817" totalsRowDxfId="816" dataCellStyle="Currency" totalsRowCellStyle="Currency"/>
    <tableColumn id="10" xr3:uid="{3F7FBCB3-4691-49D0-939A-A0FCE318EFDC}" name="Keys with Vehicle" dataDxfId="815" totalsRowDxfId="814"/>
    <tableColumn id="11" xr3:uid="{B7E397E1-8A34-4B0C-B941-C6225212B24B}" name="Offense Completed" dataDxfId="813" totalsRowDxfId="812"/>
    <tableColumn id="12" xr3:uid="{8131E387-7D16-40B3-8AC6-34330F4557A3}" name="Notes" dataDxfId="811" totalsRowDxfId="810"/>
  </tableColumns>
  <tableStyleInfo name="TableStyleLight18 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0C73410-26F4-4336-940E-0CEAC3C03FDE}" name="Helper_BA" displayName="Helper_BA" ref="A1:Q3" totalsRowShown="0" headerRowDxfId="809" dataDxfId="808">
  <autoFilter ref="A1:Q3" xr:uid="{30C73410-26F4-4336-940E-0CEAC3C03F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A3D4D3D-1D4A-4255-A99B-BDB28FCEA9D6}" name="Case Number" dataDxfId="255"/>
    <tableColumn id="2" xr3:uid="{64184230-F4A2-452B-9429-B1AF960C0C8F}" name="Block Incident Occurred On" dataDxfId="807"/>
    <tableColumn id="3" xr3:uid="{F673F0D1-D35B-4D8F-9AD0-F611D5782CBD}" name="Incident Date" dataDxfId="806"/>
    <tableColumn id="4" xr3:uid="{7058187D-CAA4-42B1-A0AB-7C2EE8259F68}" name="Month of Incident" dataDxfId="805"/>
    <tableColumn id="5" xr3:uid="{4FFEB68A-A597-4788-973B-7C63FA9CE43E}" name="Day of Week" dataDxfId="804"/>
    <tableColumn id="6" xr3:uid="{2D31CFCA-999D-4058-ACF3-EC72E8FEB696}" name="Time of Day Incident Occurred" dataDxfId="803"/>
    <tableColumn id="7" xr3:uid="{7EF844D9-5A7E-4534-846E-E1858451D1AE}" name="Victim's Vehicle Description" dataDxfId="802"/>
    <tableColumn id="8" xr3:uid="{A80D0CAB-D244-4D22-A7E1-B3E5E4C24272}" name="Vehicle Was Parked" dataDxfId="801"/>
    <tableColumn id="9" xr3:uid="{4288F730-0192-44F1-8CE1-B3CE28B65DCE}" name="Entry Method" dataDxfId="800"/>
    <tableColumn id="10" xr3:uid="{F9FBF6F3-F54F-4849-9F11-297498260AA2}" name="Damage to Vehicle" dataDxfId="799"/>
    <tableColumn id="11" xr3:uid="{F3531454-C12B-4022-AEF2-07A8D7F79745}" name="Suspect Description" dataDxfId="798"/>
    <tableColumn id="12" xr3:uid="{5C0381A5-53DC-4752-A15A-6F62250D3DCC}" name="Suspect Vehicle Description" dataDxfId="797"/>
    <tableColumn id="13" xr3:uid="{CCEEAC1C-0B88-46EA-BFF2-B7ACAE612150}" name="Items Stolen" dataDxfId="796"/>
    <tableColumn id="14" xr3:uid="{FAFBAED6-E254-4DD9-A68F-441FAFC2A1EE}" name="Value of Stolen Property" dataDxfId="795" dataCellStyle="Currency"/>
    <tableColumn id="15" xr3:uid="{2C97DCE2-00DB-4B53-B73E-B9ED7643209E}" name="Keys with Vehicle" dataDxfId="794"/>
    <tableColumn id="16" xr3:uid="{352AA348-3244-45EC-AD29-A7EA2463FE48}" name="Offense Completed" dataDxfId="793"/>
    <tableColumn id="17" xr3:uid="{98D55BF0-BB09-4E1B-8966-A873F74F9961}" name="Notes" dataDxfId="792"/>
  </tableColumns>
  <tableStyleInfo name="TableStyleLight18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EA22E29-3BAA-4376-9434-CA6744957B5C}" name="Table710" displayName="Table710" ref="A15:H18" totalsRowShown="0" headerRowDxfId="766" dataDxfId="765">
  <autoFilter ref="A15:H18" xr:uid="{5EA22E29-3BAA-4376-9434-CA6744957B5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9DBBBCF-535E-4E0A-ADBC-BE129A82A231}" name="Time of Day" dataDxfId="764"/>
    <tableColumn id="2" xr3:uid="{2EA0E4B7-D3D6-4CF8-BD7D-38DC32410B38}" name="Sun" dataDxfId="763"/>
    <tableColumn id="3" xr3:uid="{C6CC8AF4-E240-4E42-B24B-BC6D1C9DFF73}" name="Mon" dataDxfId="762"/>
    <tableColumn id="4" xr3:uid="{CE8A70A5-A2EB-45BA-BB27-9076B40E6609}" name="Tue" dataDxfId="761"/>
    <tableColumn id="5" xr3:uid="{74BFFF27-E976-41B2-AD65-972E29E4E7F0}" name="Wed" dataDxfId="760"/>
    <tableColumn id="6" xr3:uid="{07DEDDEB-7474-4B6D-B8B6-468DDACBC6F2}" name="Thu" dataDxfId="254"/>
    <tableColumn id="7" xr3:uid="{AD7CFE06-7C5C-42D0-BDF8-B3CC715A8563}" name="Fri" dataDxfId="253"/>
    <tableColumn id="8" xr3:uid="{A5BCD7C5-9CAE-4D3E-B25D-B82B03041FA6}" name="Sat" dataDxfId="25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730B2-1C9D-46BC-A2DF-8FE52129A1E9}" name="Table7911" displayName="Table7911" ref="A23:H25" totalsRowShown="0" headerRowDxfId="759" dataDxfId="758">
  <autoFilter ref="A23:H25" xr:uid="{798730B2-1C9D-46BC-A2DF-8FE52129A1E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00BD6AC-D76E-487C-9609-3A79F57F73A3}" name="Time of Day" dataDxfId="757"/>
    <tableColumn id="2" xr3:uid="{66FE1E86-F936-42B7-8FBC-5071A2A8E9E4}" name="Sun" dataDxfId="756"/>
    <tableColumn id="3" xr3:uid="{98E737B9-59B0-4B4C-B995-CD1EF21DCD7E}" name="Mon" dataDxfId="755"/>
    <tableColumn id="4" xr3:uid="{AC28FD21-B6F7-4D2D-91E6-3C613A8FC100}" name="Tue" dataDxfId="251"/>
    <tableColumn id="5" xr3:uid="{FEE850E6-38F1-47B8-9854-ED54B3AD6BEE}" name="Wed" dataDxfId="250"/>
    <tableColumn id="6" xr3:uid="{7FF1A588-FF15-4A23-A129-0490D2F0C512}" name="Thu" dataDxfId="249"/>
    <tableColumn id="7" xr3:uid="{113B3822-46BD-4BE3-9189-A3271619D938}" name="Fri" dataDxfId="248"/>
    <tableColumn id="8" xr3:uid="{469AF63E-FB72-4B5D-9D53-3634BB53EE0C}" name="Sat" dataDxfId="24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C0B3206-D1A2-4C9E-85DE-28671FC3B80E}" name="Table26" displayName="Table26" ref="A29:C31" totalsRowShown="0">
  <autoFilter ref="A29:C31" xr:uid="{1C0B3206-D1A2-4C9E-85DE-28671FC3B80E}">
    <filterColumn colId="0" hiddenButton="1"/>
    <filterColumn colId="1" hiddenButton="1"/>
    <filterColumn colId="2" hiddenButton="1"/>
  </autoFilter>
  <tableColumns count="3">
    <tableColumn id="1" xr3:uid="{0D18FBD3-AB51-4844-BCCA-D595F211D7E9}" name="Time of Day" dataDxfId="754"/>
    <tableColumn id="2" xr3:uid="{AAF4C15B-DE99-44FC-B550-1608D2FD182A}" name="Sunday" dataDxfId="753"/>
    <tableColumn id="3" xr3:uid="{C1CE3506-F331-4A78-9CB3-6A6C2A6C0403}" name="Thursday" dataDxfId="752"/>
  </tableColumns>
  <tableStyleInfo name="TableStyleLight18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8FF4D6-6BA4-492D-A0B0-0BB53664764A}" name="Bur_C_R" displayName="Bur_C_R" ref="A1:BB13" tableType="queryTable" totalsRowShown="0" headerRowDxfId="751" dataDxfId="750">
  <autoFilter ref="A1:BB13" xr:uid="{EC8FF4D6-6BA4-492D-A0B0-0BB53664764A}"/>
  <tableColumns count="54">
    <tableColumn id="1" xr3:uid="{16E625DC-0955-49F1-AB69-650CF5856D1B}" uniqueName="1" name="Case Number" queryTableFieldId="1" dataDxfId="749"/>
    <tableColumn id="6" xr3:uid="{CF98D3C0-01E0-4FF8-A8D9-DCED1069D0B4}" uniqueName="6" name="INC_DATE" queryTableFieldId="6" dataDxfId="748"/>
    <tableColumn id="54" xr3:uid="{68D4522E-642C-4F9C-8B19-E8B91DB669E4}" uniqueName="54" name="TOD" queryTableFieldId="57" dataDxfId="747"/>
    <tableColumn id="2" xr3:uid="{8D9E0F70-1346-4113-8977-93A5E30EFC2D}" uniqueName="2" name="Start of Hour" queryTableFieldId="2" dataDxfId="746"/>
    <tableColumn id="3" xr3:uid="{B3FAB0AF-3E56-4961-AB13-7525264E4D7D}" uniqueName="3" name="INC_TIME" queryTableFieldId="3" dataDxfId="745"/>
    <tableColumn id="4" xr3:uid="{CA148942-3F6E-469F-B3BD-0A6F747BAC1B}" uniqueName="4" name="Day Name" queryTableFieldId="4" dataDxfId="744"/>
    <tableColumn id="5" xr3:uid="{E4EA3C2D-621C-447E-BAB8-2423CABD3B94}" uniqueName="5" name="Month Name" queryTableFieldId="5" dataDxfId="743"/>
    <tableColumn id="47" xr3:uid="{814D4605-8093-45F5-8D78-E60996FC14ED}" uniqueName="47" name="BLOCK" queryTableFieldId="47" dataDxfId="742"/>
    <tableColumn id="7" xr3:uid="{D09BB27C-B738-4903-A27E-68F458EB8E59}" uniqueName="7" name="Location" queryTableFieldId="7" dataDxfId="741"/>
    <tableColumn id="8" xr3:uid="{0BFC020F-BAFC-4DC0-9872-417BCDE3B939}" uniqueName="8" name="Incident Type_1" queryTableFieldId="8" dataDxfId="740"/>
    <tableColumn id="9" xr3:uid="{A17D7FA9-684E-426F-A7D0-8A0E15608037}" uniqueName="9" name="ALL_INCIDENTS" queryTableFieldId="9" dataDxfId="739"/>
    <tableColumn id="10" xr3:uid="{71C7C73E-8083-4B03-B225-95C21866A4ED}" uniqueName="10" name="Incident Type_2" queryTableFieldId="10" dataDxfId="738"/>
    <tableColumn id="11" xr3:uid="{21630D2C-C346-434C-AE15-2EEF69DBE8E0}" uniqueName="11" name="Incident Type_3" queryTableFieldId="11" dataDxfId="737"/>
    <tableColumn id="12" xr3:uid="{1949663D-3FB0-4810-98E3-CDDF6EE60B42}" uniqueName="12" name="FullAddress" queryTableFieldId="12" dataDxfId="736"/>
    <tableColumn id="13" xr3:uid="{1D46F593-A691-4E30-91FF-4D7F956CF5E9}" uniqueName="13" name="Grid" queryTableFieldId="13" dataDxfId="735"/>
    <tableColumn id="14" xr3:uid="{75B23C7E-D288-409D-B298-6C2AC71254A5}" uniqueName="14" name="Zone" queryTableFieldId="14" dataDxfId="734"/>
    <tableColumn id="15" xr3:uid="{7844AE2F-8BA2-4DAF-BA9F-0B962A4C2BC2}" uniqueName="15" name="Narrative" queryTableFieldId="15" dataDxfId="733"/>
    <tableColumn id="16" xr3:uid="{13DA8775-BB2E-4C3D-B04B-698ABCFD00E0}" uniqueName="16" name="Total Value Stolen" queryTableFieldId="16" dataDxfId="732"/>
    <tableColumn id="17" xr3:uid="{93A79F59-2887-4486-A6E7-A993B9B7BDCA}" uniqueName="17" name="Total Value Recover" queryTableFieldId="17" dataDxfId="731"/>
    <tableColumn id="18" xr3:uid="{0682A0B6-6670-4C4D-B552-6DCC6C617B20}" uniqueName="18" name="Registration 1" queryTableFieldId="18" dataDxfId="730"/>
    <tableColumn id="19" xr3:uid="{8AF4413B-2839-4D89-A31D-7483171CDAD4}" uniqueName="19" name="Make1" queryTableFieldId="19" dataDxfId="729"/>
    <tableColumn id="20" xr3:uid="{8AE8FAD6-2206-43F7-B5E7-CF64B91959B5}" uniqueName="20" name="Model1" queryTableFieldId="20" dataDxfId="728"/>
    <tableColumn id="21" xr3:uid="{74E1142C-03CF-4680-ADA7-D3F87741B5BA}" uniqueName="21" name="Reg State 1" queryTableFieldId="21" dataDxfId="727"/>
    <tableColumn id="22" xr3:uid="{AAF1BE72-2E81-428C-8F4C-E6BE6AA4C83E}" uniqueName="22" name="Registration 2" queryTableFieldId="22" dataDxfId="726"/>
    <tableColumn id="23" xr3:uid="{F9F84BC3-99EF-4096-9D38-212AC49B9CC1}" uniqueName="23" name="Reg State 2" queryTableFieldId="23" dataDxfId="725"/>
    <tableColumn id="24" xr3:uid="{F7A40287-2B8C-4DF2-9323-2985D8B34071}" uniqueName="24" name="Make2" queryTableFieldId="24" dataDxfId="724"/>
    <tableColumn id="25" xr3:uid="{1E6E5D55-3AF3-49D6-B6A9-2F70E9DE0CFC}" uniqueName="25" name="Model2" queryTableFieldId="25" dataDxfId="723"/>
    <tableColumn id="26" xr3:uid="{97DDD738-D060-4060-91A5-AB2F9782D22B}" uniqueName="26" name="Reviewed By" queryTableFieldId="26" dataDxfId="722"/>
    <tableColumn id="27" xr3:uid="{CE36F7A5-0CC2-4F6A-A48F-A026D612D269}" uniqueName="27" name="CompleteCalc" queryTableFieldId="27" dataDxfId="721"/>
    <tableColumn id="28" xr3:uid="{CC2AB227-D340-4144-908C-1A00C81596B4}" uniqueName="28" name="Officer of Record" queryTableFieldId="28" dataDxfId="720"/>
    <tableColumn id="29" xr3:uid="{469570DE-F497-4275-BD15-101564149F63}" uniqueName="29" name="Squad" queryTableFieldId="29" dataDxfId="719"/>
    <tableColumn id="30" xr3:uid="{AC035AE3-9F3F-4F92-98F2-B999DA9BB775}" uniqueName="30" name="Det_Assigned" queryTableFieldId="30" dataDxfId="718"/>
    <tableColumn id="31" xr3:uid="{8A8B2799-2A38-4C2B-BE09-B73546C116E2}" uniqueName="31" name="Case_Status" queryTableFieldId="31" dataDxfId="717"/>
    <tableColumn id="32" xr3:uid="{3AE7FA64-DB16-4A13-A58D-58EAE6C0FF79}" uniqueName="32" name="NIBRS Classification" queryTableFieldId="32" dataDxfId="716"/>
    <tableColumn id="33" xr3:uid="{D0AD3108-1B2A-44F3-BBB8-81B49ADFFABD}" uniqueName="33" name="CASE_NUMBER_LENGTH" queryTableFieldId="33" dataDxfId="715"/>
    <tableColumn id="34" xr3:uid="{513A4BBD-0CD1-463A-83F4-3E4C26270225}" uniqueName="34" name="Incident Date" queryTableFieldId="34" dataDxfId="714"/>
    <tableColumn id="35" xr3:uid="{4D282A22-8AE9-442D-A050-5E938438CE02}" uniqueName="35" name="Incident Time" queryTableFieldId="35" dataDxfId="713"/>
    <tableColumn id="36" xr3:uid="{6726503D-DAAF-497D-AB7F-7FAE89FC6086}" uniqueName="36" name="Incident Date_Between" queryTableFieldId="36" dataDxfId="712"/>
    <tableColumn id="37" xr3:uid="{130F4AB9-5B66-4C12-BECF-8247DFA16561}" uniqueName="37" name="Incident Time_Between" queryTableFieldId="37" dataDxfId="711"/>
    <tableColumn id="38" xr3:uid="{1FB19AB5-9847-4FAB-B848-DF0DAEF4711E}" uniqueName="38" name="Report Date" queryTableFieldId="38" dataDxfId="710"/>
    <tableColumn id="39" xr3:uid="{69D79C85-395C-40A6-A279-011931533C6B}" uniqueName="39" name="Report Time" queryTableFieldId="39" dataDxfId="709"/>
    <tableColumn id="40" xr3:uid="{BAD12639-B39C-4117-8AC2-4E14F7FD07C0}" uniqueName="40" name="Year" queryTableFieldId="40" dataDxfId="708"/>
    <tableColumn id="41" xr3:uid="{06AAF14B-6C83-4C19-A01F-EBD46C53E3B3}" uniqueName="41" name="Week of Year" queryTableFieldId="41" dataDxfId="707"/>
    <tableColumn id="42" xr3:uid="{B02DCF2B-6EC4-441D-86C6-567ACF4F1A4F}" uniqueName="42" name="Week of Month" queryTableFieldId="42" dataDxfId="706"/>
    <tableColumn id="43" xr3:uid="{37A6B7A3-6E86-478B-9F92-E62203FE1710}" uniqueName="43" name="Day" queryTableFieldId="43" dataDxfId="705"/>
    <tableColumn id="44" xr3:uid="{69F3F87E-5D9B-4D96-88A6-E2E1534540F9}" uniqueName="44" name="Day of Year" queryTableFieldId="44" dataDxfId="704"/>
    <tableColumn id="45" xr3:uid="{80523FFF-C072-4CA6-A30B-D040784BC180}" uniqueName="45" name="INC_DATE_AND_TIME" queryTableFieldId="45" dataDxfId="703"/>
    <tableColumn id="46" xr3:uid="{2D3BDBE5-8CDC-4CA8-B03F-C336A45AE83E}" uniqueName="46" name="St#" queryTableFieldId="46" dataDxfId="702"/>
    <tableColumn id="49" xr3:uid="{9EDA1613-3E7B-481B-A13B-6E018838065F}" uniqueName="49" name="Notes" queryTableFieldId="108"/>
    <tableColumn id="50" xr3:uid="{B68FDF78-77F7-4606-B378-226C255935B1}" uniqueName="50" name="VEHICLE" queryTableFieldId="50" dataDxfId="701"/>
    <tableColumn id="51" xr3:uid="{76F7FDF4-841B-4146-ACB6-029031989A1A}" uniqueName="51" name="Suspect" queryTableFieldId="51" dataDxfId="700"/>
    <tableColumn id="52" xr3:uid="{526549FB-A153-46C6-9BFA-2D93C7D20A48}" uniqueName="52" name="TOTAL_STOLEN_AMOUNT" queryTableFieldId="52" dataDxfId="699"/>
    <tableColumn id="53" xr3:uid="{D30FDD77-F23D-4CE7-A940-AAE90C28AAC3}" uniqueName="53" name="REPORT_CYCLE" queryTableFieldId="53" dataDxfId="698"/>
    <tableColumn id="48" xr3:uid="{98A2612F-0368-4891-BD1A-2BAB58A23118}" uniqueName="48" name="TIME_OF_DAY" queryTableFieldId="48" dataDxfId="697"/>
  </tableColumns>
  <tableStyleInfo name="TableStyleLight19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E924BAE-ACCF-4F0E-93BD-0384CB48034D}" name="Table7" displayName="Table7" ref="A12:H17" totalsRowShown="0" headerRowDxfId="678" dataDxfId="677">
  <autoFilter ref="A12:H17" xr:uid="{CE924BAE-ACCF-4F0E-93BD-0384CB48034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723E6B7-DFC9-4395-A107-ECF4858A1FFE}" name="Time of Day" dataDxfId="676"/>
    <tableColumn id="8" xr3:uid="{5588CFB1-E9E8-40D6-A010-9C50DA0B2D0D}" name="Sun" dataDxfId="147"/>
    <tableColumn id="2" xr3:uid="{C96C011E-70A3-4EFF-9205-B85CF449438C}" name="Mon" dataDxfId="675"/>
    <tableColumn id="3" xr3:uid="{61965200-FDAB-443C-9A36-D8DCFA644F9F}" name="Tue" dataDxfId="674"/>
    <tableColumn id="4" xr3:uid="{D1825E23-652F-48AE-81BD-9EF18786FA59}" name="Wed" dataDxfId="673"/>
    <tableColumn id="5" xr3:uid="{EF84158A-6DA6-40E2-89B6-6082053E0A19}" name="Thu" dataDxfId="672"/>
    <tableColumn id="6" xr3:uid="{23344CD6-EC37-4631-B811-BD153301449D}" name="Fri" dataDxfId="671"/>
    <tableColumn id="7" xr3:uid="{B510F60E-6A65-4C55-AC2D-C44D6BD3FE6C}" name="Sat" dataDxfId="67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6E7B7C-A1E3-47FD-998E-C4FAF66EC5C8}" name="Table79" displayName="Table79" ref="A20:H24" totalsRowShown="0" headerRowDxfId="264" dataDxfId="263">
  <autoFilter ref="A20:H24" xr:uid="{C36E7B7C-A1E3-47FD-998E-C4FAF66EC5C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1BB801D-55B5-4A13-BEB5-DF2023D2E0B0}" name="Time of Day" dataDxfId="262"/>
    <tableColumn id="8" xr3:uid="{6D1D3951-0F60-45DB-A9CF-827981E60BC3}" name="Sun" dataDxfId="146"/>
    <tableColumn id="2" xr3:uid="{C719D1EA-EBF1-4B11-AD46-C5837E9DAC1F}" name="Mon" dataDxfId="261"/>
    <tableColumn id="4" xr3:uid="{3EF6076D-A627-4129-9D58-1B5A6CB4B266}" name="Tue" dataDxfId="260"/>
    <tableColumn id="6" xr3:uid="{FF5D72D1-1AE5-41B8-BE65-7BC6B285AEE3}" name="Wed" dataDxfId="259"/>
    <tableColumn id="3" xr3:uid="{2769C657-36F3-49B2-9C16-BC5DC32A9A24}" name="Thu" dataDxfId="258"/>
    <tableColumn id="5" xr3:uid="{2F13AF20-B205-4B4D-8B02-1C019105997B}" name="Fri" dataDxfId="257"/>
    <tableColumn id="7" xr3:uid="{D6ED1AFE-5D66-4E95-AC39-C8EA9F239E6D}" name="Sat" dataDxfId="25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A4DEFE-484C-4C56-AB84-ECE24F676779}" name="Helper_BA38" displayName="Helper_BA38" ref="A1:P4" totalsRowShown="0" headerRowDxfId="669" dataDxfId="668">
  <autoFilter ref="A1:P4" xr:uid="{30C73410-26F4-4336-940E-0CEAC3C03F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9D7E736-0F01-4331-88E1-93E6FFF4AF99}" name="Case Number" dataDxfId="667"/>
    <tableColumn id="2" xr3:uid="{1A2A8C41-9733-47CD-90E3-8FC55A803F76}" name="Block Incident Occurred On" dataDxfId="666"/>
    <tableColumn id="3" xr3:uid="{57A2E41F-3B55-4942-981F-19F01064FEFB}" name="Incident Date" dataDxfId="665"/>
    <tableColumn id="4" xr3:uid="{21CD731C-98B8-42A9-93A1-B8F13731FEDC}" name="Month of Incident" dataDxfId="664"/>
    <tableColumn id="5" xr3:uid="{6B832BC3-9020-46E0-986C-AB65FD1C7C90}" name="Day of Week" dataDxfId="663"/>
    <tableColumn id="6" xr3:uid="{70D1EDFE-0E64-4961-A0C3-C142077FD461}" name="Time of Day Incident Occurred" dataDxfId="662"/>
    <tableColumn id="7" xr3:uid="{873898F8-F94A-4F9F-8CD1-9CFE6B776D4E}" name="Structure Type" dataDxfId="661"/>
    <tableColumn id="9" xr3:uid="{7366C394-649A-4A6F-971A-E967AD419390}" name="Entry Method" dataDxfId="660"/>
    <tableColumn id="18" xr3:uid="{73200F2E-115D-48E0-884E-475F4AD588FC}" name="Point of Entry" dataDxfId="659"/>
    <tableColumn id="10" xr3:uid="{1BEDBF39-3AC9-4C3C-B8DB-38E6F3DABA2A}" name="Signs of Forced Entry" dataDxfId="658"/>
    <tableColumn id="11" xr3:uid="{28400372-F26E-476E-B398-7007282CA5F8}" name="Suspect Description" dataDxfId="657"/>
    <tableColumn id="12" xr3:uid="{AEDCC74C-A292-40DF-B245-BDF8A385F9F2}" name="Suspect Vehicle Description" dataDxfId="656"/>
    <tableColumn id="13" xr3:uid="{0F10DA4C-EF2B-4AB0-8D63-7D6CFC875167}" name="Items Stolen" dataDxfId="655"/>
    <tableColumn id="14" xr3:uid="{CA76AB95-F42E-4C53-A8DF-A506C053CFF6}" name="Value of Stolen Property" dataDxfId="654" dataCellStyle="Currency"/>
    <tableColumn id="16" xr3:uid="{D2EADBF1-D0BC-43B2-BB78-96B03E01D10D}" name="Offense Completed" dataDxfId="653"/>
    <tableColumn id="17" xr3:uid="{B159DE08-619A-4BBE-8FE9-16ADD4998AD6}" name="Notes" dataDxfId="652"/>
  </tableColumns>
  <tableStyleInfo name="TableStyleLight18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E9D8F98-B6FF-4428-9271-BF9CE9D46951}" name="Table38" displayName="Table38" ref="R1:U16" totalsRowShown="0" headerRowBorderDxfId="265" tableBorderDxfId="266">
  <autoFilter ref="R1:U16" xr:uid="{EE9D8F98-B6FF-4428-9271-BF9CE9D46951}"/>
  <tableColumns count="4">
    <tableColumn id="1" xr3:uid="{E5A2EF3A-EDDA-4C14-A96B-50134F1B2DE8}" name="Column1" dataDxfId="3"/>
    <tableColumn id="2" xr3:uid="{FC85CCF5-1A35-4CAE-AF02-238CB468FB63}" name="Column2" dataDxfId="2"/>
    <tableColumn id="3" xr3:uid="{341311ED-0AC4-49BB-B032-79B5F037DB7C}" name="Column3" dataDxfId="1"/>
    <tableColumn id="4" xr3:uid="{4F25B2B9-A078-4152-850C-176B028DAC88}" name="Column4" dataDxfId="0"/>
  </tableColumns>
  <tableStyleInfo name="TableStyleLight18 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18F869A-197A-4B64-9E4D-EC0C13C5F163}" name="MV_Theft" displayName="MV_Theft" ref="A1:BB15" tableType="queryTable" totalsRowShown="0" headerRowDxfId="651" dataDxfId="650">
  <autoFilter ref="A1:BB15" xr:uid="{718F869A-197A-4B64-9E4D-EC0C13C5F163}"/>
  <tableColumns count="54">
    <tableColumn id="1" xr3:uid="{68F19ACD-8591-43B8-86C4-C1750AC92E5A}" uniqueName="1" name="Case Number" queryTableFieldId="1" dataDxfId="649"/>
    <tableColumn id="6" xr3:uid="{B9D07CAD-BB49-4E7F-BD6E-14F2BAC25C7A}" uniqueName="6" name="INC_DATE" queryTableFieldId="6" dataDxfId="648"/>
    <tableColumn id="54" xr3:uid="{FE985AB7-8798-4C12-93F6-ACAADF5DC6DE}" uniqueName="54" name="TOD" queryTableFieldId="57" dataDxfId="647"/>
    <tableColumn id="2" xr3:uid="{4E87DBA6-F157-42EC-A3AB-D5803DFFAF0A}" uniqueName="2" name="Start of Hour" queryTableFieldId="2" dataDxfId="646"/>
    <tableColumn id="3" xr3:uid="{36CE75EC-25A1-44E7-BF97-7FA63DF913C1}" uniqueName="3" name="INC_TIME" queryTableFieldId="3" dataDxfId="645"/>
    <tableColumn id="4" xr3:uid="{1AE878EB-84B7-464F-A299-399796BB92B6}" uniqueName="4" name="Day Name" queryTableFieldId="4" dataDxfId="644"/>
    <tableColumn id="5" xr3:uid="{AC360330-DB55-4C2C-8A52-06AC5226E556}" uniqueName="5" name="Month Name" queryTableFieldId="5" dataDxfId="643"/>
    <tableColumn id="47" xr3:uid="{750965E7-EEE6-484A-B193-C12F5C896E71}" uniqueName="47" name="BLOCK" queryTableFieldId="47" dataDxfId="642"/>
    <tableColumn id="7" xr3:uid="{83CE3D3B-BAA3-4FD3-BE57-E096F383789B}" uniqueName="7" name="Location" queryTableFieldId="7" dataDxfId="641"/>
    <tableColumn id="8" xr3:uid="{472008AF-A9FA-4AFD-A871-771A10F623A4}" uniqueName="8" name="Incident Type_1" queryTableFieldId="8" dataDxfId="640"/>
    <tableColumn id="9" xr3:uid="{340C6EAD-61C5-4A24-A4A5-44F546EAF403}" uniqueName="9" name="ALL_INCIDENTS" queryTableFieldId="9" dataDxfId="639"/>
    <tableColumn id="10" xr3:uid="{8063488B-57CB-4D58-A6E8-CBA2329E2355}" uniqueName="10" name="Incident Type_2" queryTableFieldId="10" dataDxfId="638"/>
    <tableColumn id="11" xr3:uid="{AD5A3834-6D79-4810-BFAD-6E1C0B607325}" uniqueName="11" name="Incident Type_3" queryTableFieldId="11" dataDxfId="637"/>
    <tableColumn id="12" xr3:uid="{04B9C486-97BA-4C82-BE3C-F807D2EEE0BE}" uniqueName="12" name="FullAddress" queryTableFieldId="12" dataDxfId="636"/>
    <tableColumn id="13" xr3:uid="{AF817964-DC6E-4957-9ADB-3E8AA9A64BE0}" uniqueName="13" name="Grid" queryTableFieldId="13" dataDxfId="635"/>
    <tableColumn id="14" xr3:uid="{73B897D9-09D6-4BE7-9A05-68DFFAB3014E}" uniqueName="14" name="Zone" queryTableFieldId="14" dataDxfId="634"/>
    <tableColumn id="15" xr3:uid="{A034AA57-73FD-41D9-AF57-F9DA1FF1F62D}" uniqueName="15" name="Narrative" queryTableFieldId="15" dataDxfId="633"/>
    <tableColumn id="16" xr3:uid="{4C296E01-9404-4292-A2CB-C49F13A59B78}" uniqueName="16" name="Total Value Stolen" queryTableFieldId="16" dataDxfId="632"/>
    <tableColumn id="17" xr3:uid="{CC394FAC-5582-4117-8693-95A9DFC01E81}" uniqueName="17" name="Total Value Recover" queryTableFieldId="17" dataDxfId="631"/>
    <tableColumn id="18" xr3:uid="{3BEEFE52-969B-4DEE-A9EB-62D22EBA6DB5}" uniqueName="18" name="Registration 1" queryTableFieldId="18" dataDxfId="630"/>
    <tableColumn id="19" xr3:uid="{E1508B58-E538-444B-BC20-487BC015CDA1}" uniqueName="19" name="Make1" queryTableFieldId="19" dataDxfId="629"/>
    <tableColumn id="20" xr3:uid="{524F554A-4C46-4EC6-A378-C497D5DF1A0A}" uniqueName="20" name="Model1" queryTableFieldId="20" dataDxfId="628"/>
    <tableColumn id="21" xr3:uid="{67F5E8BB-0319-4DA3-BE91-03A6FF527DB8}" uniqueName="21" name="Reg State 1" queryTableFieldId="21" dataDxfId="627"/>
    <tableColumn id="22" xr3:uid="{C22FCF13-98DC-4083-B129-4BCCE99EAD0A}" uniqueName="22" name="Registration 2" queryTableFieldId="22" dataDxfId="626"/>
    <tableColumn id="23" xr3:uid="{17277D70-AA2B-4F33-8877-A0553AC64313}" uniqueName="23" name="Reg State 2" queryTableFieldId="23" dataDxfId="625"/>
    <tableColumn id="24" xr3:uid="{650C50C8-D50E-44A3-BA85-FCC5C0E35C00}" uniqueName="24" name="Make2" queryTableFieldId="24" dataDxfId="624"/>
    <tableColumn id="25" xr3:uid="{67C3106F-1DFC-418F-A9FE-42564160C77D}" uniqueName="25" name="Model2" queryTableFieldId="25" dataDxfId="623"/>
    <tableColumn id="26" xr3:uid="{D3A075A8-F186-447E-8D7C-DFA109CA0D85}" uniqueName="26" name="Reviewed By" queryTableFieldId="26" dataDxfId="622"/>
    <tableColumn id="27" xr3:uid="{CCB6BE88-E62B-4428-ADDD-66C5BC7CC24B}" uniqueName="27" name="CompleteCalc" queryTableFieldId="27" dataDxfId="621"/>
    <tableColumn id="28" xr3:uid="{BD3D2995-8E9D-451B-BD84-99C30739F762}" uniqueName="28" name="Officer of Record" queryTableFieldId="28" dataDxfId="620"/>
    <tableColumn id="29" xr3:uid="{9134B2C3-FD73-4162-9487-543B92E8F94F}" uniqueName="29" name="Squad" queryTableFieldId="29" dataDxfId="619"/>
    <tableColumn id="30" xr3:uid="{9FC5793D-EA56-44D6-B1DE-A5CF4968D1FD}" uniqueName="30" name="Det_Assigned" queryTableFieldId="30" dataDxfId="618"/>
    <tableColumn id="31" xr3:uid="{320921C8-E54A-4532-A87C-CA0FE97DFC90}" uniqueName="31" name="Case_Status" queryTableFieldId="31" dataDxfId="617"/>
    <tableColumn id="32" xr3:uid="{FF8304FE-D456-4BCB-B892-252480C4B481}" uniqueName="32" name="NIBRS Classification" queryTableFieldId="32" dataDxfId="616"/>
    <tableColumn id="33" xr3:uid="{9FE9CE43-995A-44E0-98C0-9A2FA9ECCE09}" uniqueName="33" name="CASE_NUMBER_LENGTH" queryTableFieldId="33" dataDxfId="615"/>
    <tableColumn id="34" xr3:uid="{AC087898-A5D3-43DD-99FC-61DB4A4C4766}" uniqueName="34" name="Incident Date" queryTableFieldId="34" dataDxfId="614"/>
    <tableColumn id="35" xr3:uid="{25D7DA37-36B5-45DB-98ED-D6221AECFD26}" uniqueName="35" name="Incident Time" queryTableFieldId="35" dataDxfId="613"/>
    <tableColumn id="36" xr3:uid="{5840A410-83F8-4C54-A3DB-F7E50A1070C8}" uniqueName="36" name="Incident Date_Between" queryTableFieldId="36" dataDxfId="612"/>
    <tableColumn id="37" xr3:uid="{3BF704D2-B8FE-4E85-AA94-86239A9A9DCA}" uniqueName="37" name="Incident Time_Between" queryTableFieldId="37" dataDxfId="611"/>
    <tableColumn id="38" xr3:uid="{A8B124E7-D790-4422-87C8-CAA317EEEF5A}" uniqueName="38" name="Report Date" queryTableFieldId="38" dataDxfId="610"/>
    <tableColumn id="39" xr3:uid="{83D241A6-1759-44B4-AED7-FA87465B64B5}" uniqueName="39" name="Report Time" queryTableFieldId="39" dataDxfId="609"/>
    <tableColumn id="40" xr3:uid="{7766AE60-B84F-4DE4-BEC1-D8637C007F5A}" uniqueName="40" name="Year" queryTableFieldId="40" dataDxfId="608"/>
    <tableColumn id="41" xr3:uid="{399A1633-B3B8-4FD1-AF20-1D38A651864F}" uniqueName="41" name="Week of Year" queryTableFieldId="41" dataDxfId="607"/>
    <tableColumn id="42" xr3:uid="{AF887992-8877-4C34-ABFC-FB2FE5A12E6B}" uniqueName="42" name="Week of Month" queryTableFieldId="42" dataDxfId="606"/>
    <tableColumn id="43" xr3:uid="{DCFF5E3A-0776-4CDC-8D35-BE33A6AF7AA3}" uniqueName="43" name="Day" queryTableFieldId="43" dataDxfId="605"/>
    <tableColumn id="44" xr3:uid="{2E9ACF79-0F39-4034-B5BA-3EAD0BFC537A}" uniqueName="44" name="Day of Year" queryTableFieldId="44" dataDxfId="604"/>
    <tableColumn id="45" xr3:uid="{CF35EBCC-36DD-45D2-8462-19321498EA10}" uniqueName="45" name="INC_DATE_AND_TIME" queryTableFieldId="45" dataDxfId="603"/>
    <tableColumn id="46" xr3:uid="{21081BB2-5062-42B7-8CE5-FC135BC51223}" uniqueName="46" name="St#" queryTableFieldId="46" dataDxfId="602"/>
    <tableColumn id="49" xr3:uid="{BE854BD7-B465-4C48-859A-9BB58B3628BE}" uniqueName="49" name="Notes" queryTableFieldId="108"/>
    <tableColumn id="50" xr3:uid="{8EC3E711-DAFA-4CD0-B294-4AB79A7BD385}" uniqueName="50" name="VEHICLE" queryTableFieldId="50" dataDxfId="601"/>
    <tableColumn id="51" xr3:uid="{9ED69E8A-3CD0-4B04-8B9A-403A579EB338}" uniqueName="51" name="Suspect" queryTableFieldId="51" dataDxfId="600"/>
    <tableColumn id="52" xr3:uid="{F8D0F7BD-F6D5-4D67-A017-A9103EE66490}" uniqueName="52" name="TOTAL_STOLEN_AMOUNT" queryTableFieldId="52" dataDxfId="599"/>
    <tableColumn id="53" xr3:uid="{0B6D52A5-9862-451D-AB3C-0D9E6CDB24F5}" uniqueName="53" name="REPORT_CYCLE" queryTableFieldId="53" dataDxfId="598"/>
    <tableColumn id="48" xr3:uid="{AEA630BB-6CF2-4C1D-9E61-781260C5B6F3}" uniqueName="48" name="TIME_OF_DAY" queryTableFieldId="48" dataDxfId="597"/>
  </tableColumns>
  <tableStyleInfo name="TableStyleLight16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0787A76-BD54-40C0-8D86-487EA7461F53}" name="Helper_BA3840" displayName="Helper_BA3840" ref="A1:N4" totalsRowShown="0" headerRowDxfId="596" dataDxfId="595">
  <autoFilter ref="A1:N4" xr:uid="{30C73410-26F4-4336-940E-0CEAC3C03F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664D13B6-E825-4F33-9648-B1CB54C7F44E}" name="Case Number" dataDxfId="594"/>
    <tableColumn id="2" xr3:uid="{5B78C046-7129-4EC7-80A2-B7B75C9DBBFB}" name="Block Incident Occurred On" dataDxfId="593"/>
    <tableColumn id="3" xr3:uid="{5FD9C49F-0BFD-4007-9807-4B0A28555F10}" name="Incident Date" dataDxfId="592"/>
    <tableColumn id="4" xr3:uid="{92519B0B-53C9-4EA6-A7B5-2383154D5FB7}" name="Month of Incident" dataDxfId="591"/>
    <tableColumn id="5" xr3:uid="{E742C5EC-6424-4793-877F-A521A945018D}" name="Day of Week" dataDxfId="590"/>
    <tableColumn id="6" xr3:uid="{41C5CAA0-B475-4A7A-B411-EED0263ABB12}" name="Time of Day Incident Occurred" dataDxfId="589"/>
    <tableColumn id="7" xr3:uid="{C9C8ED05-0CF1-4875-AA95-9252BCBB1390}" name="Victim's Vehicle Description" dataDxfId="588"/>
    <tableColumn id="9" xr3:uid="{0DBA7892-A2E3-45FE-A13B-63C5C1AF608E}" name="Vehicle Was Parked" dataDxfId="587"/>
    <tableColumn id="18" xr3:uid="{BB5CB4DF-2A8B-4171-8C30-8851994F3139}" name="Entry Method" dataDxfId="586"/>
    <tableColumn id="11" xr3:uid="{37F27155-2513-44C2-A999-AF34FD64A9AF}" name="Suspect Description" dataDxfId="585"/>
    <tableColumn id="12" xr3:uid="{F9F0DA2F-0E58-4368-A5BD-8A3C4EBC61F6}" name="Suspect Vehicle Description" dataDxfId="584"/>
    <tableColumn id="16" xr3:uid="{CE2F88AC-DB7D-4734-821C-33CBD2C0E3FB}" name="Keys with Vehicle" dataDxfId="583"/>
    <tableColumn id="17" xr3:uid="{C09197A2-5AD4-4021-92DA-03FB86C4F278}" name="Offense Completed" dataDxfId="582"/>
    <tableColumn id="20" xr3:uid="{3E5DB057-3698-4973-AB94-951AD5E39798}" name="Notes" dataDxfId="581"/>
  </tableColumns>
  <tableStyleInfo name="TableStyleLight18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6EE4B5-0CBF-4DA4-88D9-2B5A55A2CB3C}" name="Table71012" displayName="Table71012" ref="A18:G24" totalsRowShown="0" headerRowDxfId="528" dataDxfId="527">
  <autoFilter ref="A18:G24" xr:uid="{6E6EE4B5-0CBF-4DA4-88D9-2B5A55A2CB3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307021C4-94E7-4A9D-A261-486A72BD57FD}" name="Time of Day" dataDxfId="526"/>
    <tableColumn id="6" xr3:uid="{7FB2704C-4CDF-4C1F-AB04-E167F85C1F24}" name="Sun" dataDxfId="145"/>
    <tableColumn id="2" xr3:uid="{B5B05774-819A-4FB0-B4F3-9C30DA0B60BF}" name="Mon" dataDxfId="525"/>
    <tableColumn id="3" xr3:uid="{C0A4F53F-82F2-4FA3-B9B1-A617ABC0DD67}" name="Tue" dataDxfId="524"/>
    <tableColumn id="4" xr3:uid="{C2CB1E91-4B49-4FE3-AD8F-BB8004B9E309}" name="Wed" dataDxfId="523"/>
    <tableColumn id="5" xr3:uid="{E6336E48-05DB-4BA1-A9BB-5FC3452CC0D8}" name="Fri" dataDxfId="522"/>
    <tableColumn id="8" xr3:uid="{71D7E347-2DA1-4DF4-A786-37FE7FF91235}" name="Sat" dataDxfId="52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CA96EE2-1B2A-4AA9-8E65-B61C38D1E493}" name="Table7914" displayName="Table7914" ref="A29:G31" totalsRowShown="0" headerRowDxfId="520" dataDxfId="519">
  <autoFilter ref="A29:G31" xr:uid="{BCA96EE2-1B2A-4AA9-8E65-B61C38D1E493}">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D1D6486-0B43-4200-B85F-B7D380A4D4CF}" name="Time of Day" dataDxfId="518"/>
    <tableColumn id="2" xr3:uid="{F0ACB9F4-A22F-48A3-AB33-19671339890D}" name="Sun" dataDxfId="517"/>
    <tableColumn id="4" xr3:uid="{1E817F86-9631-4460-8AA3-2968F7EEC8A0}" name="Mon" dataDxfId="516"/>
    <tableColumn id="6" xr3:uid="{623E2E43-BE7F-4D06-87C2-457E587D080C}" name="Tue" dataDxfId="515"/>
    <tableColumn id="8" xr3:uid="{09B9DC86-D45C-4822-9C4E-55E2CB86D58A}" name="Wed" dataDxfId="514"/>
    <tableColumn id="3" xr3:uid="{085CA758-6AC1-4590-98F4-DDAC00626F04}" name="Fri" dataDxfId="144"/>
    <tableColumn id="5" xr3:uid="{D5F4FA00-F303-43D2-A32E-380697E184DD}" name="Sat" dataDxfId="14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2B9355C-D562-4B56-A4C2-F3A62BCEA277}" name="Table14" displayName="Table14" ref="A34:B35" totalsRowShown="0" headerRowDxfId="513">
  <autoFilter ref="A34:B35" xr:uid="{62B9355C-D562-4B56-A4C2-F3A62BCEA277}">
    <filterColumn colId="0" hiddenButton="1"/>
    <filterColumn colId="1" hiddenButton="1"/>
  </autoFilter>
  <tableColumns count="2">
    <tableColumn id="1" xr3:uid="{CDB69890-15B4-42F6-87A0-EF5B0920AAE2}" name="Time of Day" dataDxfId="512"/>
    <tableColumn id="2" xr3:uid="{183BA95B-32DD-42CA-A447-B98FCFBDDC92}" name="Tue" dataDxfId="51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27B39F9-1B66-48FF-B86E-4C88F74744C7}" name="Table15" displayName="Table15" ref="T1:X2" totalsRowShown="0" headerRowDxfId="510">
  <autoFilter ref="T1:X2" xr:uid="{427B39F9-1B66-48FF-B86E-4C88F74744C7}">
    <filterColumn colId="0" hiddenButton="1"/>
    <filterColumn colId="1" hiddenButton="1"/>
    <filterColumn colId="2" hiddenButton="1"/>
    <filterColumn colId="3" hiddenButton="1"/>
    <filterColumn colId="4" hiddenButton="1"/>
  </autoFilter>
  <tableColumns count="5">
    <tableColumn id="1" xr3:uid="{EB65DDB8-DA05-4340-953D-A37B3977FFA4}" name="Date" dataDxfId="509">
      <calculatedColumnFormula>MV_Theft!B15</calculatedColumnFormula>
    </tableColumn>
    <tableColumn id="2" xr3:uid="{C296A185-1D74-4A47-9885-951FE38E18E4}" name="Time" dataDxfId="508">
      <calculatedColumnFormula>MV_Theft!D15</calculatedColumnFormula>
    </tableColumn>
    <tableColumn id="3" xr3:uid="{AB48EDBE-1416-4B40-B426-563A74B1CE3F}" name="Location" dataDxfId="507"/>
    <tableColumn id="4" xr3:uid="{3D852195-1F94-4356-9EB9-6F7FBBC2920C}" name="Vehicle" dataDxfId="506"/>
    <tableColumn id="5" xr3:uid="{DBF9E0B3-0621-43A4-8E58-9DAC40FED4EF}" name="Notes" dataDxfId="50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22851D3-9FC9-4633-BCB3-A82886BEFED9}" name="Robbery_" displayName="Robbery_" ref="A1:BC10" tableType="queryTable" totalsRowShown="0">
  <autoFilter ref="A1:BC10" xr:uid="{822851D3-9FC9-4633-BCB3-A82886BEFED9}"/>
  <tableColumns count="55">
    <tableColumn id="1" xr3:uid="{87E33258-5E98-4A7C-9D44-00A2BF348DF3}" uniqueName="1" name="Case Number" queryTableFieldId="1" dataDxfId="142"/>
    <tableColumn id="2" xr3:uid="{31A16163-2F55-40A2-982A-E1CB7733EF3B}" uniqueName="2" name="INC_DATE" queryTableFieldId="2" dataDxfId="120"/>
    <tableColumn id="3" xr3:uid="{994D6B54-3750-4838-96B4-22DD9CAFF754}" uniqueName="3" name="TOD" queryTableFieldId="3"/>
    <tableColumn id="4" xr3:uid="{339E4853-E1DD-4370-8397-EE81A4C44B6C}" uniqueName="4" name="Start of Hour" queryTableFieldId="4" dataDxfId="119"/>
    <tableColumn id="5" xr3:uid="{BE3E6058-14E2-4475-86E5-FF39294E49A7}" uniqueName="5" name="INC_TIME" queryTableFieldId="5" dataDxfId="118"/>
    <tableColumn id="6" xr3:uid="{DDB74C9D-16A0-44CB-BEF1-6B602BD0BCD2}" uniqueName="6" name="Day Name" queryTableFieldId="6" dataDxfId="141"/>
    <tableColumn id="7" xr3:uid="{5A8E910A-0EFA-44EB-9AD9-E807D7233905}" uniqueName="7" name="Month Name" queryTableFieldId="7" dataDxfId="140"/>
    <tableColumn id="8" xr3:uid="{436FE900-1D5F-4F23-A441-EFB42FC3F591}" uniqueName="8" name="BLOCK" queryTableFieldId="8"/>
    <tableColumn id="9" xr3:uid="{4929331E-7EF2-4D93-BE03-237B700A6AB9}" uniqueName="9" name="Location" queryTableFieldId="9"/>
    <tableColumn id="10" xr3:uid="{32222616-934C-44EC-9EA3-22E06B8F4014}" uniqueName="10" name="ALL_INCIDENTS" queryTableFieldId="10"/>
    <tableColumn id="11" xr3:uid="{5593464E-68EB-46A2-A4D0-025D1DCEACE3}" uniqueName="11" name="Incident Type_1" queryTableFieldId="11" dataDxfId="139"/>
    <tableColumn id="12" xr3:uid="{BBD802BD-FC03-45D8-9260-4751632168B0}" uniqueName="12" name="Incident Type_2" queryTableFieldId="12" dataDxfId="138"/>
    <tableColumn id="13" xr3:uid="{42B22DFA-FB10-45B5-9B41-A0A914E188EA}" uniqueName="13" name="Incident Type_3" queryTableFieldId="13" dataDxfId="137"/>
    <tableColumn id="14" xr3:uid="{4AD12C61-6E44-43CB-9B59-B945F511DE3B}" uniqueName="14" name="FullAddress" queryTableFieldId="14" dataDxfId="136"/>
    <tableColumn id="15" xr3:uid="{DAF7D445-8BAA-4F39-AE22-1FB526CDF630}" uniqueName="15" name="Grid" queryTableFieldId="15" dataDxfId="135"/>
    <tableColumn id="16" xr3:uid="{EA8D5C55-1978-4AC5-8401-DD42CFB8C0B1}" uniqueName="16" name="Zone" queryTableFieldId="16"/>
    <tableColumn id="17" xr3:uid="{58C82413-832C-4E78-AA21-4A00EC13AB69}" uniqueName="17" name="Narrative" queryTableFieldId="17" dataDxfId="134"/>
    <tableColumn id="18" xr3:uid="{DFFC9721-0CC2-4572-B38E-4523555EB97D}" uniqueName="18" name="Total Value Stolen" queryTableFieldId="18"/>
    <tableColumn id="19" xr3:uid="{1BAE893C-E019-4122-B4FC-590275B0F42C}" uniqueName="19" name="Total Value Recover" queryTableFieldId="19"/>
    <tableColumn id="20" xr3:uid="{B902FE01-C92B-429D-940D-879B36ED282F}" uniqueName="20" name="Registration 1" queryTableFieldId="20" dataDxfId="133"/>
    <tableColumn id="21" xr3:uid="{A7CB0954-FF70-48A0-B347-CD2F720DA08D}" uniqueName="21" name="Make1" queryTableFieldId="21" dataDxfId="132"/>
    <tableColumn id="22" xr3:uid="{D8C1702E-17D5-4484-AD00-BD706157E117}" uniqueName="22" name="Model1" queryTableFieldId="22" dataDxfId="131"/>
    <tableColumn id="23" xr3:uid="{F2F91EE8-C86A-4FC9-A948-39F76CC34F17}" uniqueName="23" name="Reg State 1" queryTableFieldId="23" dataDxfId="130"/>
    <tableColumn id="24" xr3:uid="{131D3F8F-B702-4142-9885-489E8018DB6D}" uniqueName="24" name="Registration 2" queryTableFieldId="24"/>
    <tableColumn id="25" xr3:uid="{A34D3CEB-E6F3-4E46-83CF-3209AE48B2A4}" uniqueName="25" name="Reg State 2" queryTableFieldId="25"/>
    <tableColumn id="26" xr3:uid="{50F21F6A-C6C8-44DF-B031-745F66DA8816}" uniqueName="26" name="Make2" queryTableFieldId="26"/>
    <tableColumn id="27" xr3:uid="{C9A4F3AE-3A47-41E7-BECE-844B63FFA54E}" uniqueName="27" name="Model2" queryTableFieldId="27"/>
    <tableColumn id="28" xr3:uid="{942AF10E-DCB5-4F4F-849F-62A6A1B94677}" uniqueName="28" name="Reviewed By" queryTableFieldId="28" dataDxfId="129"/>
    <tableColumn id="29" xr3:uid="{9CE4AE2A-F2E4-4F33-9CDA-F9FEFAB4C506}" uniqueName="29" name="CompleteCalc" queryTableFieldId="29" dataDxfId="128"/>
    <tableColumn id="30" xr3:uid="{EF8960EC-4BC0-478C-AEAA-EABD371ED6C9}" uniqueName="30" name="Officer of Record" queryTableFieldId="30" dataDxfId="127"/>
    <tableColumn id="31" xr3:uid="{BCAB8DCC-7DAF-4BC7-ABED-FD7058EB3BF5}" uniqueName="31" name="Squad" queryTableFieldId="31" dataDxfId="126"/>
    <tableColumn id="32" xr3:uid="{C20ADA53-0D8C-4E77-9E1E-B0423B3F9424}" uniqueName="32" name="Det_Assigned" queryTableFieldId="32" dataDxfId="125"/>
    <tableColumn id="33" xr3:uid="{84D1C3F6-377C-445D-9A83-C741E73CCBE6}" uniqueName="33" name="Case_Status" queryTableFieldId="33" dataDxfId="124"/>
    <tableColumn id="34" xr3:uid="{7084EE52-3CCB-4BD9-B685-C7E1FC7554E2}" uniqueName="34" name="NIBRS Classification" queryTableFieldId="34" dataDxfId="123"/>
    <tableColumn id="35" xr3:uid="{3D03DDD9-5C50-40A1-90E7-7B1B802D2845}" uniqueName="35" name="CASE_NUMBER_LENGTH" queryTableFieldId="35"/>
    <tableColumn id="36" xr3:uid="{8AF09B9C-5505-4483-B53A-818761E074CA}" uniqueName="36" name="Incident Date" queryTableFieldId="36" dataDxfId="117"/>
    <tableColumn id="37" xr3:uid="{D4B62CAC-2E90-4F48-A46B-5676CFF1E982}" uniqueName="37" name="Incident Time" queryTableFieldId="37" dataDxfId="114"/>
    <tableColumn id="38" xr3:uid="{AEEEC41F-EA13-4A53-A5F6-73028A35F34C}" uniqueName="38" name="Incident Date_Between" queryTableFieldId="38" dataDxfId="116"/>
    <tableColumn id="39" xr3:uid="{20ED64FD-CD5F-423A-9A87-3DB65F9EB3AE}" uniqueName="39" name="Incident Time_Between" queryTableFieldId="39" dataDxfId="113"/>
    <tableColumn id="40" xr3:uid="{921C08DD-AC72-4712-9638-22ECD72B5DFD}" uniqueName="40" name="Report Date" queryTableFieldId="40" dataDxfId="115"/>
    <tableColumn id="41" xr3:uid="{D8202544-FD2C-43E4-BE78-98E95EEB874B}" uniqueName="41" name="Report Time" queryTableFieldId="41" dataDxfId="112"/>
    <tableColumn id="42" xr3:uid="{BF282269-F325-47EE-BD40-6C93594310E8}" uniqueName="42" name="Year" queryTableFieldId="42"/>
    <tableColumn id="43" xr3:uid="{0C52EE2C-D7D0-48BC-B7F1-812DEB5FCFA8}" uniqueName="43" name="Week of Year" queryTableFieldId="43"/>
    <tableColumn id="44" xr3:uid="{95A2074D-D954-49A9-B50C-C219A78A4217}" uniqueName="44" name="Week of Month" queryTableFieldId="44"/>
    <tableColumn id="45" xr3:uid="{F782F796-E8BD-41D4-9B41-D855B3314DC1}" uniqueName="45" name="Day" queryTableFieldId="45"/>
    <tableColumn id="46" xr3:uid="{F3223D57-06EE-4637-ACBC-8328B2357B2E}" uniqueName="46" name="Day of Year" queryTableFieldId="46"/>
    <tableColumn id="47" xr3:uid="{B95DD4EE-11FD-4F1C-99C1-635F8215741B}" uniqueName="47" name="INC_DATE_AND_TIME" queryTableFieldId="47" dataDxfId="122"/>
    <tableColumn id="48" xr3:uid="{6C503334-46DF-49EC-BF5B-42C86F608856}" uniqueName="48" name="St#" queryTableFieldId="48"/>
    <tableColumn id="49" xr3:uid="{FC16C94E-B134-4B0B-93B4-EACE949CE345}" uniqueName="49" name="Notes" queryTableFieldId="49"/>
    <tableColumn id="50" xr3:uid="{15A37F70-E3F2-4705-AAE7-806FA05EB57C}" uniqueName="50" name="VEHICLE" queryTableFieldId="50"/>
    <tableColumn id="51" xr3:uid="{D8AC96F1-FBC1-4A00-A563-DC65508BFC3B}" uniqueName="51" name="Suspect" queryTableFieldId="51"/>
    <tableColumn id="52" xr3:uid="{A7ED0044-F1BA-4071-A68B-39054A771CDF}" uniqueName="52" name="TOTAL_STOLEN_AMOUNT" queryTableFieldId="52"/>
    <tableColumn id="53" xr3:uid="{D29394B8-817D-4F70-8D9E-5AD98BF390C4}" uniqueName="53" name="REPORT_CYCLE" queryTableFieldId="53"/>
    <tableColumn id="54" xr3:uid="{60A0F3D4-CE3F-48DC-B3B0-406B6CECC978}" uniqueName="54" name="TIME_OF_DAY" queryTableFieldId="54"/>
    <tableColumn id="55" xr3:uid="{CCB7CAC6-0AAC-4238-A1D4-4C7AE998239A}" uniqueName="55" name="ALL_INCIDENTS - Copy" queryTableFieldId="55" dataDxfId="12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B3823A3-7FEE-4DAA-898C-86CB8C588629}" name="Table710121754" displayName="Table710121754" ref="BI27:BP32" totalsRowShown="0" headerRowDxfId="111" dataDxfId="110">
  <autoFilter ref="BI27:BP32" xr:uid="{5B3823A3-7FEE-4DAA-898C-86CB8C58862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29D041E-F61C-4218-B556-9FF40D308DBE}" name="Time of Day" dataDxfId="109"/>
    <tableColumn id="2" xr3:uid="{81EB4DEB-4122-4E44-B5CA-ADC474A734AB}" name="Sun" dataDxfId="108"/>
    <tableColumn id="3" xr3:uid="{4DC5604C-A46F-4C1F-B2C8-844844BAA450}" name="Mon" dataDxfId="107"/>
    <tableColumn id="4" xr3:uid="{D9932911-1260-42C2-B6FA-565AF65A4F00}" name="Tue" dataDxfId="106"/>
    <tableColumn id="7" xr3:uid="{538309F6-62F5-4E1E-BDA0-0767C653DD94}" name="Wed" dataDxfId="105"/>
    <tableColumn id="8" xr3:uid="{9578F89F-8B09-404F-B993-31B6F1865841}" name="Thu" dataDxfId="92"/>
    <tableColumn id="6" xr3:uid="{0D4ABECE-3580-4DF6-9B11-9567A1436A11}" name="Fri" dataDxfId="104"/>
    <tableColumn id="5" xr3:uid="{6CFF084F-9970-4875-B3C5-2E2B75203FB0}" name="Sat" dataDxfId="103"/>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E53104C-00D0-48FA-A6A2-DF0E1711D43B}" name="Table71012171855" displayName="Table71012171855" ref="BI39:BP42" totalsRowShown="0" headerRowDxfId="102" dataDxfId="101">
  <autoFilter ref="BI39:BP42" xr:uid="{BE53104C-00D0-48FA-A6A2-DF0E1711D43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E7782F3-574D-4F69-84EF-BD3DEA2B8AD4}" name="Time of Day" dataDxfId="100"/>
    <tableColumn id="2" xr3:uid="{7CCFC6B0-87C1-426F-ADCD-7C54B0FAF286}" name="Sun" dataDxfId="99"/>
    <tableColumn id="3" xr3:uid="{2454DCB4-7833-4A78-9E32-7EC7D2341631}" name="Mon" dataDxfId="98"/>
    <tableColumn id="4" xr3:uid="{6A3D793B-1EE9-4A9A-8C48-71DE25E30CF6}" name="Tue" dataDxfId="97"/>
    <tableColumn id="5" xr3:uid="{AE3FF54E-B4A4-416A-9FA8-D428FD71E0F8}" name="Wed" dataDxfId="96"/>
    <tableColumn id="6" xr3:uid="{E33CFAC3-0654-4DAC-BF7D-27933AAB4C83}" name="Thu" dataDxfId="95"/>
    <tableColumn id="7" xr3:uid="{CD97682E-7CAB-46F5-8647-958DD96EADDB}" name="Fri" dataDxfId="94"/>
    <tableColumn id="8" xr3:uid="{3B21EC17-EA56-42AD-ADBC-B44E1671F3BB}" name="Sat" dataDxfId="93"/>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645FC64-9F2F-4B40-A279-EBC19AB8B7B2}" name="Helper_BA384057" displayName="Helper_BA384057" ref="CA1:CQ4" totalsRowShown="0" headerRowDxfId="91" dataDxfId="90">
  <autoFilter ref="CA1:CQ4" xr:uid="{1645FC64-9F2F-4B40-A279-EBC19AB8B7B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83E870C9-34B7-44D9-A2E1-83FC70986FAF}" name="Case Number" dataDxfId="89"/>
    <tableColumn id="2" xr3:uid="{DF06F784-F40F-44CD-9E4C-336595837A8F}" name="Block Incident Occurred On" dataDxfId="88"/>
    <tableColumn id="3" xr3:uid="{E32ED51A-84D5-468E-A9D2-B681339ECC0B}" name="Incident Date" dataDxfId="87"/>
    <tableColumn id="5" xr3:uid="{3482FEBB-D455-4A18-8ADC-E3B9631EFA9F}" name="Day of Week" dataDxfId="86"/>
    <tableColumn id="6" xr3:uid="{674A614A-8759-4857-B8F3-8997ABB03172}" name="Time of Day Incident Occurred" dataDxfId="85"/>
    <tableColumn id="7" xr3:uid="{53171BB1-5458-47F9-984C-167F31EDD969}" name="Location Type" dataDxfId="84"/>
    <tableColumn id="15" xr3:uid="{53A3F783-CA15-4723-B9DF-1B447578CF4F}" name="Suspect Description" dataDxfId="19"/>
    <tableColumn id="16" xr3:uid="{9C620DAF-D43C-4100-928C-9459630CA9D5}" name="Suspect Vehicle Description" dataDxfId="18"/>
    <tableColumn id="9" xr3:uid="{B6AC9AD3-2040-4C41-AEA3-C62FD8DE54D4}" name="Type Weapon" dataDxfId="83"/>
    <tableColumn id="18" xr3:uid="{370440EA-A3F5-40DA-8A7A-CBA6C4656635}" name="Type of Victim" dataDxfId="82"/>
    <tableColumn id="4" xr3:uid="{8AC51174-88CE-426A-9135-EFAAABD1E147}" name="Type Injury" dataDxfId="79"/>
    <tableColumn id="8" xr3:uid="{2F3C6A58-2432-4ADD-9AE6-EC9F2B833A0F}" name="Propert Stolen" dataDxfId="23"/>
    <tableColumn id="10" xr3:uid="{5E3B7689-801F-4243-AB97-7677B9AAEB3F}" name="Property Value" dataDxfId="22"/>
    <tableColumn id="13" xr3:uid="{ADBEF0C3-A0E6-426F-B63A-442F6D533DD8}" name="Offender Suspected of Using" dataDxfId="21"/>
    <tableColumn id="14" xr3:uid="{DA15032B-F7AE-4936-957B-0E65CEB198C2}" name="Relationship of Victim to Offender" dataDxfId="20"/>
    <tableColumn id="17" xr3:uid="{1E0AC525-9DFC-46F0-AB9B-7FDFD586DF14}" name="Offense Completed" dataDxfId="81"/>
    <tableColumn id="20" xr3:uid="{A845EED6-EC09-4760-9563-5E1C22CC6DCF}" name="Notes" dataDxfId="80"/>
  </tableColumns>
  <tableStyleInfo name="TableStyleLight18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BAD972-EAE6-4813-87B6-022CC258E60F}" name="Sexual_Offenses" displayName="Sexual_Offenses" ref="A1:BH5" tableType="queryTable" totalsRowShown="0" headerRowDxfId="504" dataDxfId="503">
  <autoFilter ref="A1:BH5" xr:uid="{BABAD972-EAE6-4813-87B6-022CC258E60F}"/>
  <tableColumns count="60">
    <tableColumn id="1" xr3:uid="{828FAC3C-454B-4867-A3DC-1E5C6BF35DD9}" uniqueName="1" name="Case Number" queryTableFieldId="1" dataDxfId="502"/>
    <tableColumn id="6" xr3:uid="{2F8B2D60-678E-43F4-85F7-9B08B61CAE27}" uniqueName="6" name="INC_DATE" queryTableFieldId="6" dataDxfId="501"/>
    <tableColumn id="54" xr3:uid="{E23542B4-CBDC-4026-B47E-91C729080A11}" uniqueName="54" name="TOD" queryTableFieldId="57" dataDxfId="500"/>
    <tableColumn id="2" xr3:uid="{CE7E25EA-1D84-47E8-962F-BE2F98D97F97}" uniqueName="2" name="Start of Hour" queryTableFieldId="2" dataDxfId="499"/>
    <tableColumn id="3" xr3:uid="{DCC58FEF-5E40-4878-9C3E-DE18A2ED1806}" uniqueName="3" name="INC_TIME" queryTableFieldId="3" dataDxfId="498"/>
    <tableColumn id="4" xr3:uid="{9696AF7A-C11C-4348-92E1-E03FF1241885}" uniqueName="4" name="Day Name" queryTableFieldId="4" dataDxfId="497"/>
    <tableColumn id="5" xr3:uid="{3198D833-F74E-4382-9604-B5249BF999AF}" uniqueName="5" name="Month Name" queryTableFieldId="5" dataDxfId="496"/>
    <tableColumn id="47" xr3:uid="{C7BA5A82-71EE-40D3-A7DC-9F5CBA2C0F33}" uniqueName="47" name="BLOCK" queryTableFieldId="47" dataDxfId="495"/>
    <tableColumn id="7" xr3:uid="{55C00C56-5396-48D1-BA8B-6A965BA44FDD}" uniqueName="7" name="Location" queryTableFieldId="7" dataDxfId="494"/>
    <tableColumn id="8" xr3:uid="{214928D9-1F12-4F32-8874-12E118212AD6}" uniqueName="8" name="Incident Type_1" queryTableFieldId="8" dataDxfId="493"/>
    <tableColumn id="9" xr3:uid="{57E3FA00-A958-4D1F-B440-DC70C06D2C5D}" uniqueName="9" name="ALL_INCIDENTS" queryTableFieldId="9" dataDxfId="492"/>
    <tableColumn id="10" xr3:uid="{60988C8F-123F-47FC-99C3-EFEE1A8B5E0A}" uniqueName="10" name="Incident Type_2" queryTableFieldId="10" dataDxfId="491"/>
    <tableColumn id="11" xr3:uid="{E9156A06-4CFE-4E19-828E-53E171F20AA0}" uniqueName="11" name="Incident Type_3" queryTableFieldId="11" dataDxfId="490"/>
    <tableColumn id="12" xr3:uid="{EEAD8174-D5EA-4D73-8D1C-59506B25461D}" uniqueName="12" name="FullAddress" queryTableFieldId="12" dataDxfId="489"/>
    <tableColumn id="13" xr3:uid="{7BCB2E40-7BB9-4A81-80CF-4E6876375E02}" uniqueName="13" name="Grid" queryTableFieldId="13" dataDxfId="488"/>
    <tableColumn id="14" xr3:uid="{1614033D-473A-463A-9CBE-D0C482696EFC}" uniqueName="14" name="Zone" queryTableFieldId="14" dataDxfId="487"/>
    <tableColumn id="15" xr3:uid="{5093BFA3-1273-4460-BEAD-0A440985D8B5}" uniqueName="15" name="Narrative" queryTableFieldId="15" dataDxfId="486"/>
    <tableColumn id="16" xr3:uid="{CD5D9C7C-5AD5-4EB6-A4AD-AA3AE8CE123C}" uniqueName="16" name="Total Value Stolen" queryTableFieldId="16" dataDxfId="485"/>
    <tableColumn id="17" xr3:uid="{92C09011-0119-4667-BAB7-DC35C84323F3}" uniqueName="17" name="Total Value Recover" queryTableFieldId="17" dataDxfId="484"/>
    <tableColumn id="18" xr3:uid="{37314363-1B92-4D9C-8EC8-F3B54905DA76}" uniqueName="18" name="Registration 1" queryTableFieldId="18" dataDxfId="483"/>
    <tableColumn id="19" xr3:uid="{ADFAEB2E-F032-4451-9985-80BDDB2387AF}" uniqueName="19" name="Make1" queryTableFieldId="19" dataDxfId="482"/>
    <tableColumn id="20" xr3:uid="{BBE1358C-9650-4BA2-816F-A0F485D12B5D}" uniqueName="20" name="Model1" queryTableFieldId="20" dataDxfId="481"/>
    <tableColumn id="21" xr3:uid="{B8EA1582-4544-44F0-ACC0-C3A4254E1187}" uniqueName="21" name="Reg State 1" queryTableFieldId="21" dataDxfId="480"/>
    <tableColumn id="22" xr3:uid="{60626B22-84B3-4581-A1E6-328A47C238C0}" uniqueName="22" name="Registration 2" queryTableFieldId="22" dataDxfId="479"/>
    <tableColumn id="23" xr3:uid="{50F54256-BC58-4084-8B74-A37BBB1ABFAC}" uniqueName="23" name="Reg State 2" queryTableFieldId="23" dataDxfId="478"/>
    <tableColumn id="24" xr3:uid="{CC671173-D7D6-468E-879A-67743CEB308C}" uniqueName="24" name="Make2" queryTableFieldId="24" dataDxfId="477"/>
    <tableColumn id="25" xr3:uid="{CB50913C-1698-4040-AB96-4AB67C5D506B}" uniqueName="25" name="Model2" queryTableFieldId="25" dataDxfId="476"/>
    <tableColumn id="26" xr3:uid="{D5B8F8B7-6C5A-4FCA-94CA-BB79942B43FA}" uniqueName="26" name="Reviewed By" queryTableFieldId="26" dataDxfId="475"/>
    <tableColumn id="27" xr3:uid="{397DFC85-E7D9-4AC3-A392-470EBD59ADDC}" uniqueName="27" name="CompleteCalc" queryTableFieldId="27" dataDxfId="474"/>
    <tableColumn id="28" xr3:uid="{6398B9BA-D786-4D37-8456-4989F08FFE13}" uniqueName="28" name="Officer of Record" queryTableFieldId="28" dataDxfId="473"/>
    <tableColumn id="29" xr3:uid="{C79915D4-CAC4-4428-9459-333C333CC7CC}" uniqueName="29" name="Squad" queryTableFieldId="29" dataDxfId="472"/>
    <tableColumn id="30" xr3:uid="{7D335CF8-A65B-47E1-8C2B-09B23E3EBB26}" uniqueName="30" name="Det_Assigned" queryTableFieldId="30" dataDxfId="471"/>
    <tableColumn id="31" xr3:uid="{138A5348-A97B-4075-89AA-DE75446ED7B0}" uniqueName="31" name="Case_Status" queryTableFieldId="31" dataDxfId="470"/>
    <tableColumn id="32" xr3:uid="{ED4BC83F-2C6C-471C-BD42-820A47F5DB38}" uniqueName="32" name="NIBRS Classification" queryTableFieldId="32" dataDxfId="469"/>
    <tableColumn id="33" xr3:uid="{1A7B8231-5DE9-4B60-AE2E-E5DD1A93ACFB}" uniqueName="33" name="CASE_NUMBER_LENGTH" queryTableFieldId="33" dataDxfId="468"/>
    <tableColumn id="34" xr3:uid="{1E951FEA-8A03-416D-991A-739972E90E50}" uniqueName="34" name="Incident Date" queryTableFieldId="34" dataDxfId="467"/>
    <tableColumn id="35" xr3:uid="{F5D6FE3C-855B-4968-A6D8-530D0099E6A7}" uniqueName="35" name="Incident Time" queryTableFieldId="35" dataDxfId="466"/>
    <tableColumn id="36" xr3:uid="{422F4B77-C6E4-4AF6-B230-60BAFCA168F6}" uniqueName="36" name="Incident Date_Between" queryTableFieldId="36" dataDxfId="465"/>
    <tableColumn id="37" xr3:uid="{A269ABB3-EA8B-4246-8CA1-5739789AEA4A}" uniqueName="37" name="Incident Time_Between" queryTableFieldId="37" dataDxfId="464"/>
    <tableColumn id="38" xr3:uid="{ED7D542B-9121-461C-8C4C-37BC34622310}" uniqueName="38" name="Report Date" queryTableFieldId="38" dataDxfId="463"/>
    <tableColumn id="39" xr3:uid="{9411CF40-5E43-4C0A-B407-1CA08CA231FC}" uniqueName="39" name="Report Time" queryTableFieldId="39" dataDxfId="462"/>
    <tableColumn id="40" xr3:uid="{6908A8E6-DABE-47C0-BF2B-7E554846CBFA}" uniqueName="40" name="Year" queryTableFieldId="40" dataDxfId="461"/>
    <tableColumn id="41" xr3:uid="{7FFEA673-85EB-4487-8263-9FED808FD47B}" uniqueName="41" name="Week of Year" queryTableFieldId="41" dataDxfId="460"/>
    <tableColumn id="42" xr3:uid="{2B455EAA-349B-46EF-8BA1-1159A0E3B466}" uniqueName="42" name="Week of Month" queryTableFieldId="42" dataDxfId="459"/>
    <tableColumn id="43" xr3:uid="{4A0161CA-AAD8-49D0-B710-16322512E0E0}" uniqueName="43" name="Day" queryTableFieldId="43" dataDxfId="458"/>
    <tableColumn id="44" xr3:uid="{861F7B9B-2B79-44E6-A0D9-EC4BF3C2FBB0}" uniqueName="44" name="Day of Year" queryTableFieldId="44" dataDxfId="457"/>
    <tableColumn id="45" xr3:uid="{354C645C-DC94-4AFE-8030-5BB7261A3CE4}" uniqueName="45" name="INC_DATE_AND_TIME" queryTableFieldId="45" dataDxfId="456"/>
    <tableColumn id="46" xr3:uid="{BA40A361-8E8B-45B2-929F-BB81575255CC}" uniqueName="46" name="St#" queryTableFieldId="46" dataDxfId="455"/>
    <tableColumn id="49" xr3:uid="{C2F27E9D-41B0-4B90-B3A5-BF64896F104C}" uniqueName="49" name="Notes" queryTableFieldId="108"/>
    <tableColumn id="50" xr3:uid="{54F414B7-4DF3-4A76-98E5-DC7ABF2A3219}" uniqueName="50" name="VEHICLE" queryTableFieldId="50" dataDxfId="454"/>
    <tableColumn id="51" xr3:uid="{2F66C72F-E323-47C1-8F19-E0EA8E48568E}" uniqueName="51" name="Suspect" queryTableFieldId="51" dataDxfId="453"/>
    <tableColumn id="52" xr3:uid="{441B4C60-5216-44D7-9024-94C0C88854FE}" uniqueName="52" name="TOTAL_STOLEN_AMOUNT" queryTableFieldId="52" dataDxfId="452"/>
    <tableColumn id="53" xr3:uid="{16930ECB-AF0C-4A03-8BD5-C1D7464E3E4E}" uniqueName="53" name="REPORT_CYCLE" queryTableFieldId="53" dataDxfId="451"/>
    <tableColumn id="48" xr3:uid="{2CE119B8-6F22-4E73-BE49-BA6E7E271EE8}" uniqueName="48" name="TIME_OF_DAY" queryTableFieldId="48" dataDxfId="450"/>
    <tableColumn id="55" xr3:uid="{485D29FA-322D-4997-88B5-66EB0809D8B6}" uniqueName="55" name="SA_TypeOfAssault" queryTableFieldId="110" dataDxfId="449"/>
    <tableColumn id="56" xr3:uid="{E59327E8-4CA0-4563-9165-C71E5C51B00D}" uniqueName="56" name="SA_VictimIncapacitated" queryTableFieldId="111" dataDxfId="448"/>
    <tableColumn id="57" xr3:uid="{D0D9FF10-8791-4000-90A6-DABB8AC19AE4}" uniqueName="57" name="SA_ForceOrThreatUsed" queryTableFieldId="112" dataDxfId="447"/>
    <tableColumn id="58" xr3:uid="{6C4C708B-A85D-460C-914D-32B072CC6069}" uniqueName="58" name="SA_LocationType" queryTableFieldId="113" dataDxfId="446"/>
    <tableColumn id="59" xr3:uid="{881C9C56-61C6-4569-A70F-DCFAA73A95C3}" uniqueName="59" name="SA_KnownVsStranger" queryTableFieldId="114" dataDxfId="445"/>
    <tableColumn id="60" xr3:uid="{1D8B23BC-DCAA-4544-84BA-3978780EC49B}" uniqueName="60" name="SA_NumberOfOffenders" queryTableFieldId="115"/>
  </tableColumns>
  <tableStyleInfo name="TableStyleLight18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E7C1580-61F2-467A-ABDA-BA863197C904}" name="Table710121719" displayName="Table710121719" ref="A16:H18" totalsRowShown="0" headerRowDxfId="16" dataDxfId="17">
  <autoFilter ref="A16:H18" xr:uid="{EE7C1580-61F2-467A-ABDA-BA863197C90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2FBC756-3BCA-4594-A6D6-C081C748BDEB}" name="Time of Day" dataDxfId="390"/>
    <tableColumn id="3" xr3:uid="{DD7D1F04-B2C6-4033-AE4F-F8AC57982A52}" name="Sun" dataDxfId="389"/>
    <tableColumn id="4" xr3:uid="{F4B3617B-8C53-47C0-89DE-C1390295C85D}" name="Mon" dataDxfId="388"/>
    <tableColumn id="5" xr3:uid="{B66089DA-AF9D-489D-A515-42C16FA2C6AB}" name="Tue" dataDxfId="387"/>
    <tableColumn id="2" xr3:uid="{7EB552B8-50D1-4EEC-A3AF-A6A857EC19D9}" name="Wed" dataDxfId="8"/>
    <tableColumn id="6" xr3:uid="{06BB9779-99D4-49EA-AAFF-4E750CA01308}" name="Thu" dataDxfId="7"/>
    <tableColumn id="7" xr3:uid="{D316BA0C-A0CD-4606-9C27-EDEC32DB780A}" name="Fri" dataDxfId="6"/>
    <tableColumn id="8" xr3:uid="{163E74B0-785D-4902-9D5B-AD59D80EF6FE}" name="Sat" dataDxfId="5"/>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A43DB1B-8DF8-41B2-9290-D16E5CD42347}" name="Table71012171820" displayName="Table71012171820" ref="A22:H23" totalsRowShown="0" headerRowDxfId="386" dataDxfId="385">
  <autoFilter ref="A22:H23" xr:uid="{1A43DB1B-8DF8-41B2-9290-D16E5CD4234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99A6DF25-6C87-4DAA-A2C6-82CED7399507}" name="Time of Day" dataDxfId="384"/>
    <tableColumn id="3" xr3:uid="{A70A45AB-DB7F-4742-9FE6-B96EACD08E0B}" name="Sun" dataDxfId="15"/>
    <tableColumn id="4" xr3:uid="{DDCE8370-F06A-4EE6-A488-1D99005ACF47}" name="Mon" dataDxfId="14"/>
    <tableColumn id="5" xr3:uid="{7DE15749-D11F-40C0-8715-CEAE78BA0332}" name="Tue" dataDxfId="13"/>
    <tableColumn id="6" xr3:uid="{E52519D8-0ED6-419A-AA52-A2FCD79B2C08}" name="Wed" dataDxfId="12"/>
    <tableColumn id="7" xr3:uid="{E227A7EA-CC52-4BE1-A194-E2A75B26FBC4}" name="Thu" dataDxfId="11"/>
    <tableColumn id="8" xr3:uid="{94103342-BB9D-4D42-9916-4ACE99E4A09F}" name="Fri" dataDxfId="10"/>
    <tableColumn id="9" xr3:uid="{AE907F35-34EB-4DA0-8CCB-1ED1ED56F9DD}" name="Sat" dataDxfId="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ED71838-1329-48C6-B672-98AE49F08A40}" name="Table7101217182021" displayName="Table7101217182021" ref="A27:B28" totalsRowShown="0" headerRowDxfId="383" dataDxfId="382">
  <autoFilter ref="A27:B28" xr:uid="{8ED71838-1329-48C6-B672-98AE49F08A40}">
    <filterColumn colId="0" hiddenButton="1"/>
    <filterColumn colId="1" hiddenButton="1"/>
  </autoFilter>
  <tableColumns count="2">
    <tableColumn id="1" xr3:uid="{E635080D-10C4-4450-87BD-A4BD5A277DA5}" name="Time of Day" dataDxfId="381"/>
    <tableColumn id="2" xr3:uid="{2F32629E-8F4D-4072-9B31-F1F4CD303F4E}" name="Tue" dataDxfId="380"/>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5381827-A5AC-431C-BEE5-9A3C8656C176}" name="SexualAssaultNotes" displayName="SexualAssaultNotes" ref="A1:G2" tableType="queryTable" insertRow="1" totalsRowShown="0">
  <autoFilter ref="A1:G2" xr:uid="{65381827-A5AC-431C-BEE5-9A3C8656C176}"/>
  <tableColumns count="7">
    <tableColumn id="1" xr3:uid="{ABB880DA-100E-4EE5-B0FC-F1316CC9F376}" uniqueName="1" name="Case Number" queryTableFieldId="1"/>
    <tableColumn id="2" xr3:uid="{FD0E57E5-E9A3-451B-B8F9-4149D50F1CCE}" uniqueName="2" name="SA_TypeOfAssault" queryTableFieldId="2"/>
    <tableColumn id="3" xr3:uid="{BEC3CBFC-FFAC-4D40-8227-5FC017985F9D}" uniqueName="3" name="SA_VictimIncapacitated" queryTableFieldId="3"/>
    <tableColumn id="4" xr3:uid="{CF02E332-F2E3-49B8-9663-78DAD7C5D895}" uniqueName="4" name="SA_ForceOrThreatUsed" queryTableFieldId="4"/>
    <tableColumn id="5" xr3:uid="{3AC9F85C-C8D0-4381-8306-D8B19FD97E32}" uniqueName="5" name="SA_LocationType" queryTableFieldId="5"/>
    <tableColumn id="6" xr3:uid="{58856A8D-1599-4463-9173-1C451C334EAA}" uniqueName="6" name="SA_KnownVsStranger" queryTableFieldId="6"/>
    <tableColumn id="7" xr3:uid="{7227FED7-76F8-4941-B7B8-58268CEFFE98}" uniqueName="7" name="SA_NumberOfOffenders" queryTableFieldId="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BC673F2-AA50-4149-ADBB-355626900F14}" name="Table12" displayName="Table12" ref="A1:G9" totalsRowShown="0" headerRowDxfId="379" dataDxfId="378">
  <autoFilter ref="A1:G9" xr:uid="{2BC673F2-AA50-4149-ADBB-355626900F14}"/>
  <tableColumns count="7">
    <tableColumn id="1" xr3:uid="{1BB39EC7-1C5A-4AEE-8D29-23107F50B7A9}" name="Case Number" dataDxfId="377"/>
    <tableColumn id="2" xr3:uid="{0DC3C732-62CF-4207-8A42-66F2A386101F}" name="SA_TypeOfAssault" dataDxfId="376"/>
    <tableColumn id="3" xr3:uid="{E7283AF7-B9E0-43B5-9291-845271DDB738}" name="SA_VictimIncapacitated" dataDxfId="375"/>
    <tableColumn id="4" xr3:uid="{BC6A0437-DCF7-4AF2-B6BE-93537EF6D6BC}" name="SA_ForceOrThreatUsed" dataDxfId="374"/>
    <tableColumn id="5" xr3:uid="{71B3ACDE-1178-4DB8-9E4B-78B35DE536E2}" name="SA_LocationType" dataDxfId="373"/>
    <tableColumn id="6" xr3:uid="{0AAD764A-3743-423A-9F69-7095D235724A}" name="SA_KnownVsStranger" dataDxfId="372"/>
    <tableColumn id="7" xr3:uid="{AA4BEDA8-8747-4729-BE9E-168D72E01355}" name="SA_NumberOfOffenders" dataDxfId="371"/>
  </tableColumns>
  <tableStyleInfo name="TableStyleLight18 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50CC6F-DCE6-452D-A909-6929E27084A0}" name="RMS" displayName="RMS" ref="A1:BC50" tableType="queryTable" totalsRowShown="0" headerRowDxfId="370" dataDxfId="369">
  <autoFilter ref="A1:BC50" xr:uid="{D550CC6F-DCE6-452D-A909-6929E27084A0}"/>
  <tableColumns count="55">
    <tableColumn id="2" xr3:uid="{44FCA4CC-88A9-477D-BDE5-12693C806E40}" uniqueName="2" name="Case Number" queryTableFieldId="2" dataDxfId="78"/>
    <tableColumn id="7" xr3:uid="{03BB4329-208C-43BB-9F71-11AFA4528CE6}" uniqueName="7" name="INC_DATE" queryTableFieldId="7" dataDxfId="77"/>
    <tableColumn id="54" xr3:uid="{165C8692-9BB8-4D28-8F08-09AA303A976B}" uniqueName="54" name="TOD" queryTableFieldId="58" dataDxfId="76"/>
    <tableColumn id="3" xr3:uid="{F2137223-DEDB-4658-A927-EB8ED2FDA935}" uniqueName="3" name="Start of Hour" queryTableFieldId="3" dataDxfId="75"/>
    <tableColumn id="4" xr3:uid="{3A5902F8-646F-4C79-9832-504A95FEDA11}" uniqueName="4" name="INC_TIME" queryTableFieldId="4" dataDxfId="74"/>
    <tableColumn id="5" xr3:uid="{211AE67A-F3D7-472A-A2CE-D2EF8D421D9B}" uniqueName="5" name="Day Name" queryTableFieldId="5" dataDxfId="73"/>
    <tableColumn id="6" xr3:uid="{5B78E475-7973-4083-A139-2A1985C77DCE}" uniqueName="6" name="Month Name" queryTableFieldId="6" dataDxfId="72"/>
    <tableColumn id="48" xr3:uid="{A02B67F4-B89C-4213-B0E7-358561BEA86F}" uniqueName="48" name="BLOCK" queryTableFieldId="48" dataDxfId="71"/>
    <tableColumn id="8" xr3:uid="{05BF2A86-4391-4220-83EF-73B9FCF08990}" uniqueName="8" name="Location" queryTableFieldId="8" dataDxfId="70"/>
    <tableColumn id="10" xr3:uid="{DB7AE489-1745-4C44-B015-1D4D27FDB808}" uniqueName="10" name="ALL_INCIDENTS" queryTableFieldId="10" dataDxfId="69"/>
    <tableColumn id="9" xr3:uid="{97CE1EDD-9A1C-495F-87B9-52301EC1582D}" uniqueName="9" name="Incident Type_1" queryTableFieldId="9" dataDxfId="68"/>
    <tableColumn id="11" xr3:uid="{27E213E9-EBF1-4296-B80A-C7461277703A}" uniqueName="11" name="Incident Type_2" queryTableFieldId="11" dataDxfId="67"/>
    <tableColumn id="12" xr3:uid="{3F5E6AA4-9407-49FC-BD3F-26FC0BBF51A9}" uniqueName="12" name="Incident Type_3" queryTableFieldId="12" dataDxfId="66"/>
    <tableColumn id="13" xr3:uid="{89D83CC3-B580-4909-B9D3-377B730265A9}" uniqueName="13" name="FullAddress" queryTableFieldId="13" dataDxfId="65"/>
    <tableColumn id="14" xr3:uid="{4AB717ED-DB53-4035-9A1B-38621BE8BBEC}" uniqueName="14" name="Grid" queryTableFieldId="14" dataDxfId="64"/>
    <tableColumn id="15" xr3:uid="{79A4F1BD-2F75-411A-8606-201C023AC518}" uniqueName="15" name="Zone" queryTableFieldId="15" dataDxfId="63"/>
    <tableColumn id="16" xr3:uid="{7BDB45EE-B890-42AE-A626-BEC72DD55809}" uniqueName="16" name="Narrative" queryTableFieldId="16" dataDxfId="62"/>
    <tableColumn id="17" xr3:uid="{6E46094B-C238-4E4B-8CF0-33B1C949D155}" uniqueName="17" name="Total Value Stolen" queryTableFieldId="17" dataDxfId="61"/>
    <tableColumn id="18" xr3:uid="{F1AAFA53-1000-4DA6-96F2-3B8D3F453DE4}" uniqueName="18" name="Total Value Recover" queryTableFieldId="18" dataDxfId="60"/>
    <tableColumn id="19" xr3:uid="{A7668209-656A-4DE3-A4DB-C90E35DE19B7}" uniqueName="19" name="Registration 1" queryTableFieldId="19" dataDxfId="59"/>
    <tableColumn id="20" xr3:uid="{E93B6F92-83EA-49B6-868F-A4361EB8F6A5}" uniqueName="20" name="Make1" queryTableFieldId="20" dataDxfId="58"/>
    <tableColumn id="21" xr3:uid="{0A46FEDE-287F-4CF8-9994-5FAE8F2B93F3}" uniqueName="21" name="Model1" queryTableFieldId="21" dataDxfId="57"/>
    <tableColumn id="22" xr3:uid="{248C17A7-2152-4ACF-AA7E-00C193710E30}" uniqueName="22" name="Reg State 1" queryTableFieldId="22" dataDxfId="56"/>
    <tableColumn id="23" xr3:uid="{1736ECF6-A1AB-4267-97F9-E2C763C811A3}" uniqueName="23" name="Registration 2" queryTableFieldId="23" dataDxfId="55"/>
    <tableColumn id="24" xr3:uid="{D1FF29AA-CA84-43CA-B3C7-6A124C741C22}" uniqueName="24" name="Reg State 2" queryTableFieldId="24" dataDxfId="54"/>
    <tableColumn id="25" xr3:uid="{B44423E7-0441-4F08-81E9-561BD22194B4}" uniqueName="25" name="Make2" queryTableFieldId="25" dataDxfId="53"/>
    <tableColumn id="26" xr3:uid="{E5B1AD77-5FC3-48E1-BE22-A37742734CE4}" uniqueName="26" name="Model2" queryTableFieldId="26" dataDxfId="52"/>
    <tableColumn id="27" xr3:uid="{04570661-C8A1-4CB7-BC81-CD0CC7AA6C2C}" uniqueName="27" name="Reviewed By" queryTableFieldId="27" dataDxfId="51"/>
    <tableColumn id="28" xr3:uid="{2402CC72-D7CD-4291-9308-37FCDFD47235}" uniqueName="28" name="CompleteCalc" queryTableFieldId="28" dataDxfId="50"/>
    <tableColumn id="29" xr3:uid="{97C93936-0888-4B87-AEE7-5FB42E889DBB}" uniqueName="29" name="Officer of Record" queryTableFieldId="29" dataDxfId="49"/>
    <tableColumn id="30" xr3:uid="{5F987847-35CD-4ADD-8169-84EEE704FB72}" uniqueName="30" name="Squad" queryTableFieldId="30" dataDxfId="48"/>
    <tableColumn id="31" xr3:uid="{18F1D4D9-3B69-45C7-8C1B-ED08B53ADE36}" uniqueName="31" name="Det_Assigned" queryTableFieldId="31" dataDxfId="47"/>
    <tableColumn id="32" xr3:uid="{37CE981E-0410-4C00-9CC9-6DB14BE71E52}" uniqueName="32" name="Case_Status" queryTableFieldId="32" dataDxfId="46"/>
    <tableColumn id="33" xr3:uid="{A296ED98-C924-4CEE-9D8D-2E0B0F170F4F}" uniqueName="33" name="NIBRS Classification" queryTableFieldId="33" dataDxfId="45"/>
    <tableColumn id="34" xr3:uid="{B2E0D652-6E51-455C-98FF-78513E71D3F3}" uniqueName="34" name="CASE_NUMBER_LENGTH" queryTableFieldId="34" dataDxfId="44"/>
    <tableColumn id="35" xr3:uid="{F76FD9DB-C0B6-4358-BB0D-6F30009DBDC9}" uniqueName="35" name="Incident Date" queryTableFieldId="35" dataDxfId="43"/>
    <tableColumn id="36" xr3:uid="{6DB80E98-21A1-4613-8B00-0CA94C245A6E}" uniqueName="36" name="Incident Time" queryTableFieldId="36" dataDxfId="42"/>
    <tableColumn id="37" xr3:uid="{18C5F72D-0250-481A-8C66-AC58BFC515B6}" uniqueName="37" name="Incident Date_Between" queryTableFieldId="37" dataDxfId="41"/>
    <tableColumn id="38" xr3:uid="{7DDE8351-1C6F-4B6C-B5AF-CE654188B56D}" uniqueName="38" name="Incident Time_Between" queryTableFieldId="38" dataDxfId="40"/>
    <tableColumn id="39" xr3:uid="{B889D510-0178-4515-B6DF-D74842365A11}" uniqueName="39" name="Report Date" queryTableFieldId="39" dataDxfId="39"/>
    <tableColumn id="40" xr3:uid="{904B52E1-4948-4DC1-8369-6F5F74CA9FEE}" uniqueName="40" name="Report Time" queryTableFieldId="40" dataDxfId="38"/>
    <tableColumn id="41" xr3:uid="{ECCAEC12-29F6-4496-B9DA-1F79B28933A0}" uniqueName="41" name="Year" queryTableFieldId="41" dataDxfId="37"/>
    <tableColumn id="42" xr3:uid="{8D188BA5-9D2C-4EA6-B3C7-6F7B5D893259}" uniqueName="42" name="Week of Year" queryTableFieldId="42" dataDxfId="36"/>
    <tableColumn id="43" xr3:uid="{573882D3-19EF-4C3A-831F-3BCA8C0B7EE7}" uniqueName="43" name="Week of Month" queryTableFieldId="43" dataDxfId="35"/>
    <tableColumn id="44" xr3:uid="{4DAA9272-1173-4452-908F-FBDD139C09FE}" uniqueName="44" name="Day" queryTableFieldId="44" dataDxfId="34"/>
    <tableColumn id="45" xr3:uid="{1C45F28A-7AE7-44D7-95AF-7AFC1B34894C}" uniqueName="45" name="Day of Year" queryTableFieldId="45" dataDxfId="33"/>
    <tableColumn id="46" xr3:uid="{8183F443-A230-44BF-AF2D-5B02C666974D}" uniqueName="46" name="INC_DATE_AND_TIME" queryTableFieldId="46" dataDxfId="32"/>
    <tableColumn id="47" xr3:uid="{CAB89C0D-09F2-4E1F-B615-D08C211E827D}" uniqueName="47" name="St#" queryTableFieldId="47" dataDxfId="31"/>
    <tableColumn id="50" xr3:uid="{1E85E18C-90BE-495B-9307-D2F92A9FEBC0}" uniqueName="50" name="Notes" queryTableFieldId="109" dataDxfId="30"/>
    <tableColumn id="51" xr3:uid="{3E625E7E-2F91-49AA-87A0-F81329A82682}" uniqueName="51" name="VEHICLE" queryTableFieldId="51" dataDxfId="29"/>
    <tableColumn id="52" xr3:uid="{68DEB93E-19FB-4A3B-A0BE-2035844F2AFF}" uniqueName="52" name="Suspect" queryTableFieldId="52" dataDxfId="28"/>
    <tableColumn id="53" xr3:uid="{4BA995B7-ED04-474D-B011-54A71CC743BB}" uniqueName="53" name="TOTAL_STOLEN_AMOUNT" queryTableFieldId="53" dataDxfId="27"/>
    <tableColumn id="1" xr3:uid="{6482645D-3FB7-4065-AAC6-2C2B65059DD4}" uniqueName="1" name="REPORT_CYCLE" queryTableFieldId="54" dataDxfId="26"/>
    <tableColumn id="49" xr3:uid="{A5C6798E-126A-447D-8DF6-D8268BE7006F}" uniqueName="49" name="TIME_OF_DAY" queryTableFieldId="49" dataDxfId="25"/>
    <tableColumn id="55" xr3:uid="{78E6B3A1-6D62-4AF4-94FE-62BAF9DD3933}" uniqueName="55" name="ALL_INCIDENTS - Copy" queryTableFieldId="111" dataDxfId="24"/>
  </tableColumns>
  <tableStyleInfo name="TableStyleLight18 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6AC8192-04DA-4015-BC74-9FC827D2E56E}" name="_7DAY_CYCLE_" displayName="_7DAY_CYCLE_" ref="A1:C55" totalsRowShown="0">
  <autoFilter ref="A1:C55" xr:uid="{D6AC8192-04DA-4015-BC74-9FC827D2E56E}"/>
  <tableColumns count="3">
    <tableColumn id="1" xr3:uid="{CA737244-1E11-4D23-A0F6-E40C00289D50}" name="CompStat_x000a_ Week" dataDxfId="368"/>
    <tableColumn id="2" xr3:uid="{6B2D15B4-BC57-44A8-8D32-62567AEEE837}" name="Week Start" dataDxfId="367"/>
    <tableColumn id="3" xr3:uid="{81AAC2A1-9834-438C-9078-B125A221E075}" name="Week End" dataDxfId="366"/>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140E969-7576-473D-A9CE-26048DD88CE3}" name="PAST_WEEK" displayName="PAST_WEEK" ref="A1:BB50" tableType="queryTable" totalsRowShown="0">
  <autoFilter ref="A1:BB50" xr:uid="{C140E969-7576-473D-A9CE-26048DD88CE3}"/>
  <tableColumns count="54">
    <tableColumn id="1" xr3:uid="{8F370ED4-5A40-4DE8-ADFE-D23E4CD759AC}" uniqueName="1" name="Case Number" queryTableFieldId="1" dataDxfId="365"/>
    <tableColumn id="2" xr3:uid="{0C5D8106-3A2F-40D7-9F8B-4424EE910274}" uniqueName="2" name="INC_DATE" queryTableFieldId="2" dataDxfId="364"/>
    <tableColumn id="3" xr3:uid="{3A209283-71AB-4FC3-BD5E-41F7A3B492E3}" uniqueName="3" name="TOD" queryTableFieldId="3"/>
    <tableColumn id="4" xr3:uid="{0E4D9C11-445E-4913-B3B8-966EE01D5726}" uniqueName="4" name="Start of Hour" queryTableFieldId="4" dataDxfId="363"/>
    <tableColumn id="5" xr3:uid="{FD00A9F2-A2B6-4E58-9FBD-049C788D6632}" uniqueName="5" name="INC_TIME" queryTableFieldId="5" dataDxfId="362"/>
    <tableColumn id="6" xr3:uid="{674840FD-F4BF-4D29-B2AA-2DA7FE5F6F8C}" uniqueName="6" name="Day Name" queryTableFieldId="6"/>
    <tableColumn id="7" xr3:uid="{B5DED6DE-253A-454A-8BA4-8263FE900AA9}" uniqueName="7" name="Month Name" queryTableFieldId="7"/>
    <tableColumn id="8" xr3:uid="{50939F2D-69B7-493B-A927-6F94D00517C0}" uniqueName="8" name="BLOCK" queryTableFieldId="8"/>
    <tableColumn id="9" xr3:uid="{40E69EFC-2864-4D0A-865E-0A1C98847592}" uniqueName="9" name="Location" queryTableFieldId="9"/>
    <tableColumn id="10" xr3:uid="{3994C04D-003E-4AF0-945E-19DF8A04C6A5}" uniqueName="10" name="Incident Type_1" queryTableFieldId="10" dataDxfId="361"/>
    <tableColumn id="11" xr3:uid="{62F72387-9A56-431D-990D-4A3FE31240CB}" uniqueName="11" name="ALL_INCIDENTS" queryTableFieldId="11"/>
    <tableColumn id="12" xr3:uid="{5B878BCF-957D-4ED7-81A3-61720FE40AD2}" uniqueName="12" name="Incident Type_2" queryTableFieldId="12" dataDxfId="360"/>
    <tableColumn id="13" xr3:uid="{5D87AD05-2993-40A8-A1D1-D0603237E0CF}" uniqueName="13" name="Incident Type_3" queryTableFieldId="13" dataDxfId="359"/>
    <tableColumn id="14" xr3:uid="{1CDC6EC4-7E1C-4679-A5A7-AD98B78C2E63}" uniqueName="14" name="FullAddress" queryTableFieldId="14" dataDxfId="358"/>
    <tableColumn id="15" xr3:uid="{0DB77127-1902-4817-B8AC-FD572BE9CA71}" uniqueName="15" name="Grid" queryTableFieldId="15" dataDxfId="357"/>
    <tableColumn id="16" xr3:uid="{7B3E4B02-8E67-48B7-96DC-D9368284CE0F}" uniqueName="16" name="Zone" queryTableFieldId="16"/>
    <tableColumn id="17" xr3:uid="{CBCF3EAB-923D-4A5E-9E22-5BE902099042}" uniqueName="17" name="Narrative" queryTableFieldId="17" dataDxfId="356"/>
    <tableColumn id="18" xr3:uid="{E9117548-7FDC-4E2F-B93F-149CE0775CFB}" uniqueName="18" name="Total Value Stolen" queryTableFieldId="18"/>
    <tableColumn id="19" xr3:uid="{56C053DE-20A3-45BF-9CFC-2CAF4C4B85E9}" uniqueName="19" name="Total Value Recover" queryTableFieldId="19"/>
    <tableColumn id="20" xr3:uid="{287A8637-F56C-4CF2-BFEC-6454F1010216}" uniqueName="20" name="Registration 1" queryTableFieldId="20" dataDxfId="355"/>
    <tableColumn id="21" xr3:uid="{22DD8042-31E5-4F9D-98BB-8DAC885C1B9F}" uniqueName="21" name="Make1" queryTableFieldId="21" dataDxfId="354"/>
    <tableColumn id="22" xr3:uid="{824EEE47-22C6-498B-BB3C-1FF3604D55DE}" uniqueName="22" name="Model1" queryTableFieldId="22" dataDxfId="353"/>
    <tableColumn id="23" xr3:uid="{61A036E7-5321-472E-BBDF-D4B1B997BB0C}" uniqueName="23" name="Reg State 1" queryTableFieldId="23" dataDxfId="352"/>
    <tableColumn id="24" xr3:uid="{9F1F5A49-272C-4F73-9994-FAD109F7BB78}" uniqueName="24" name="Registration 2" queryTableFieldId="24"/>
    <tableColumn id="25" xr3:uid="{04A322C8-C50C-4D36-AECD-53F494F792D5}" uniqueName="25" name="Reg State 2" queryTableFieldId="25"/>
    <tableColumn id="26" xr3:uid="{175BA957-1483-4259-BC98-9A275986A6A4}" uniqueName="26" name="Make2" queryTableFieldId="26"/>
    <tableColumn id="27" xr3:uid="{F4ED8564-A78B-49E9-B953-24593B491AB5}" uniqueName="27" name="Model2" queryTableFieldId="27"/>
    <tableColumn id="28" xr3:uid="{CC31D9E8-FCEC-4F70-A0B3-E0D606C4F7CC}" uniqueName="28" name="Reviewed By" queryTableFieldId="28" dataDxfId="351"/>
    <tableColumn id="29" xr3:uid="{2BDDD395-514B-446D-AC98-30B6C6095368}" uniqueName="29" name="CompleteCalc" queryTableFieldId="29" dataDxfId="350"/>
    <tableColumn id="30" xr3:uid="{CA0A83D7-1463-4E9F-89A8-187C3916C7D0}" uniqueName="30" name="Officer of Record" queryTableFieldId="30" dataDxfId="349"/>
    <tableColumn id="31" xr3:uid="{0B45FB89-79DF-4EEF-A96A-87D605D3C368}" uniqueName="31" name="Squad" queryTableFieldId="31" dataDxfId="348"/>
    <tableColumn id="32" xr3:uid="{3830E8EC-0C71-4BBF-919A-8E914ACD2912}" uniqueName="32" name="Det_Assigned" queryTableFieldId="32" dataDxfId="347"/>
    <tableColumn id="33" xr3:uid="{69A5DE9E-12E3-45EE-87A4-756CB3896F0C}" uniqueName="33" name="Case_Status" queryTableFieldId="33" dataDxfId="346"/>
    <tableColumn id="34" xr3:uid="{D49AEA20-9AEB-481B-A483-FDEA294E7793}" uniqueName="34" name="NIBRS Classification" queryTableFieldId="34" dataDxfId="345"/>
    <tableColumn id="35" xr3:uid="{78153EEE-8B5C-4C15-9142-E6A0E89AAD35}" uniqueName="35" name="CASE_NUMBER_LENGTH" queryTableFieldId="35"/>
    <tableColumn id="36" xr3:uid="{C454A061-C8A9-4BA4-A03E-63E10B2BB1C0}" uniqueName="36" name="Incident Date" queryTableFieldId="36" dataDxfId="344"/>
    <tableColumn id="37" xr3:uid="{977A57C9-5ABC-480B-8001-862DB102BB09}" uniqueName="37" name="Incident Time" queryTableFieldId="37" dataDxfId="343"/>
    <tableColumn id="38" xr3:uid="{65A56095-A002-4389-B70A-8D12258DE87E}" uniqueName="38" name="Incident Date_Between" queryTableFieldId="38" dataDxfId="342"/>
    <tableColumn id="39" xr3:uid="{436AE175-E937-4AD3-9C6B-E69666FBC2E9}" uniqueName="39" name="Incident Time_Between" queryTableFieldId="39" dataDxfId="341"/>
    <tableColumn id="40" xr3:uid="{46C9AABE-ACC7-4D5B-AA18-B63CA52C64F4}" uniqueName="40" name="Report Date" queryTableFieldId="40" dataDxfId="340"/>
    <tableColumn id="41" xr3:uid="{E4BB0588-205B-4AB6-93A2-21A261FFD5F1}" uniqueName="41" name="Report Time" queryTableFieldId="41" dataDxfId="339"/>
    <tableColumn id="42" xr3:uid="{F02B20E2-564A-4FC7-8128-1077834D123A}" uniqueName="42" name="Year" queryTableFieldId="42"/>
    <tableColumn id="43" xr3:uid="{88DCAC04-6CC4-44F7-B039-583A8AB14A95}" uniqueName="43" name="Week of Year" queryTableFieldId="43"/>
    <tableColumn id="44" xr3:uid="{C3AA213E-D86E-4970-A0BA-3185C76C8FEE}" uniqueName="44" name="Week of Month" queryTableFieldId="44"/>
    <tableColumn id="45" xr3:uid="{CB1524DE-8887-42C4-A4DC-6C3A9B4249B4}" uniqueName="45" name="Day" queryTableFieldId="45"/>
    <tableColumn id="46" xr3:uid="{9B9BF9BF-50A3-464E-AE5F-CD1131CD7C55}" uniqueName="46" name="Day of Year" queryTableFieldId="46"/>
    <tableColumn id="47" xr3:uid="{3CCEB60F-1936-4D06-9637-87E5F57CB05A}" uniqueName="47" name="INC_DATE_AND_TIME" queryTableFieldId="47" dataDxfId="338"/>
    <tableColumn id="48" xr3:uid="{71124439-AB08-4D14-A7B7-BFC2250F1884}" uniqueName="48" name="St#" queryTableFieldId="48"/>
    <tableColumn id="49" xr3:uid="{BBB45DBE-B87C-440F-93FE-3CB7A76CA435}" uniqueName="49" name="Notes" queryTableFieldId="49"/>
    <tableColumn id="50" xr3:uid="{F2DD3753-23DB-4926-978C-B3494E520A4A}" uniqueName="50" name="VEHICLE" queryTableFieldId="50"/>
    <tableColumn id="51" xr3:uid="{B9E90218-1AAD-40AC-A4C8-A18DCBF8EF6E}" uniqueName="51" name="Suspect" queryTableFieldId="51"/>
    <tableColumn id="52" xr3:uid="{DD140531-9DA1-4C9D-BDAB-082CF7277BE7}" uniqueName="52" name="TOTAL_STOLEN_AMOUNT" queryTableFieldId="52"/>
    <tableColumn id="53" xr3:uid="{AD471E15-BC8B-4F35-A7F5-A43963A22950}" uniqueName="53" name="REPORT_CYCLE" queryTableFieldId="53"/>
    <tableColumn id="54" xr3:uid="{42CF9BAD-C2C1-41C7-B389-3C1332E8DE67}" uniqueName="54" name="TIME_OF_DAY" queryTableFieldId="5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4537F20-D115-42D8-B597-27B8E7A9FD7E}" name="EXPORT_RMS__2" displayName="EXPORT_RMS__2" ref="A1:BB50" totalsRowShown="0">
  <autoFilter ref="A1:BB50" xr:uid="{D4537F20-D115-42D8-B597-27B8E7A9FD7E}">
    <filterColumn colId="52">
      <filters>
        <filter val="C03W10"/>
      </filters>
    </filterColumn>
  </autoFilter>
  <tableColumns count="54">
    <tableColumn id="1" xr3:uid="{83CEC41B-46DD-4594-9619-F5BD514D0F23}" name="Case Number" dataDxfId="337"/>
    <tableColumn id="2" xr3:uid="{D4CC594D-761B-410E-83E0-857559D641D4}" name="INC_DATE" dataDxfId="336"/>
    <tableColumn id="3" xr3:uid="{A050F6CE-EE72-48EA-9408-C1A65B7F144A}" name="TOD"/>
    <tableColumn id="4" xr3:uid="{C929134D-BA45-48E3-B331-FDFD87D52B2E}" name="Start of Hour" dataDxfId="335"/>
    <tableColumn id="5" xr3:uid="{46527FF6-4126-413D-88A9-5A428D3880C0}" name="INC_TIME" dataDxfId="334"/>
    <tableColumn id="6" xr3:uid="{D005E63F-B49B-4B5A-9253-8D372F420164}" name="Day Name"/>
    <tableColumn id="7" xr3:uid="{C993A72F-8CC6-476B-8083-A6FAE8A6E205}" name="Month Name"/>
    <tableColumn id="8" xr3:uid="{6A45F16D-A139-4006-AD8C-A84A9443E73B}" name="BLOCK"/>
    <tableColumn id="9" xr3:uid="{7F53EF15-889C-4E42-8EAA-8E52610FC331}" name="Location"/>
    <tableColumn id="10" xr3:uid="{4BC8C861-5E1A-4A33-BEED-F7C95951C3D5}" name="Incident Type_1" dataDxfId="333"/>
    <tableColumn id="11" xr3:uid="{57637723-5BA9-49D9-BEDD-B61E27D9DD15}" name="ALL_INCIDENTS"/>
    <tableColumn id="12" xr3:uid="{A8281922-E5A8-48E7-B6C6-FBB337121859}" name="Incident Type_2" dataDxfId="332"/>
    <tableColumn id="13" xr3:uid="{CA5DB044-E9D2-42D6-A240-5C3F5C0DB978}" name="Incident Type_3" dataDxfId="331"/>
    <tableColumn id="14" xr3:uid="{FB27F177-8F66-48D4-9A26-E9E695A4AB22}" name="FullAddress" dataDxfId="330"/>
    <tableColumn id="15" xr3:uid="{831D5E56-A7BF-43B2-A380-F695A31A6208}" name="Grid" dataDxfId="329"/>
    <tableColumn id="16" xr3:uid="{59DC2A84-F9CF-4990-9FD9-EAB409AC05CA}" name="Zone"/>
    <tableColumn id="17" xr3:uid="{4C442D0D-1EBC-488D-8AE4-F3155106D9E7}" name="Narrative" dataDxfId="328"/>
    <tableColumn id="18" xr3:uid="{139C12C6-D019-4A19-B11A-C2799AB21E80}" name="Total Value Stolen"/>
    <tableColumn id="19" xr3:uid="{468AB96A-BD34-4ABA-880C-5222DB34C645}" name="Total Value Recover"/>
    <tableColumn id="20" xr3:uid="{9FF9186D-CCB4-4029-A34F-58819ED2EAE4}" name="Registration 1" dataDxfId="327"/>
    <tableColumn id="21" xr3:uid="{A78621E0-AC36-4545-99FB-AD4998C8F080}" name="Make1" dataDxfId="326"/>
    <tableColumn id="22" xr3:uid="{7172DF93-2B4B-4C0F-A891-2AD24FCA851D}" name="Model1" dataDxfId="325"/>
    <tableColumn id="23" xr3:uid="{06F4D34F-158D-4070-9BA5-1439F3D09BE1}" name="Reg State 1" dataDxfId="324"/>
    <tableColumn id="24" xr3:uid="{354284FD-7208-4643-9E9B-BFE9DF6674CA}" name="Registration 2"/>
    <tableColumn id="25" xr3:uid="{90503B70-9203-4DA2-846A-06CCE831B283}" name="Reg State 2"/>
    <tableColumn id="26" xr3:uid="{97949AF4-2418-40BB-88A5-57350E712C7D}" name="Make2"/>
    <tableColumn id="27" xr3:uid="{430BF7F1-10F4-4DF3-9348-BE44FE71A819}" name="Model2"/>
    <tableColumn id="28" xr3:uid="{02F76918-1385-4B98-A983-4A86D74E3CAC}" name="Reviewed By" dataDxfId="323"/>
    <tableColumn id="29" xr3:uid="{B2FE6BBF-8B9C-4531-B32D-6D22D598D735}" name="CompleteCalc" dataDxfId="322"/>
    <tableColumn id="30" xr3:uid="{70D4EE0F-F9D4-4D64-B2D4-685B629A8419}" name="Officer of Record" dataDxfId="321"/>
    <tableColumn id="31" xr3:uid="{62CEFA4B-1AC6-4602-B543-2DFAD3A12DD6}" name="Squad" dataDxfId="320"/>
    <tableColumn id="32" xr3:uid="{FDF6F3A9-6A3F-4290-B88D-4150A8A5358E}" name="Det_Assigned" dataDxfId="319"/>
    <tableColumn id="33" xr3:uid="{E7CEA214-190C-4562-B295-2EF3E60D49A7}" name="Case_Status" dataDxfId="318"/>
    <tableColumn id="34" xr3:uid="{26EF85B1-9323-4514-AB35-451E53E0AC24}" name="NIBRS Classification" dataDxfId="317"/>
    <tableColumn id="35" xr3:uid="{0F96F396-F55B-4421-AF70-C497295ABFF2}" name="CASE_NUMBER_LENGTH"/>
    <tableColumn id="36" xr3:uid="{283A3931-693C-4DF0-9C63-CDDD12D44A74}" name="Incident Date" dataDxfId="316"/>
    <tableColumn id="37" xr3:uid="{4E8F400F-7174-43EF-93B4-27DC754E26BE}" name="Incident Time" dataDxfId="315"/>
    <tableColumn id="38" xr3:uid="{6A4B9007-CF15-47DA-AB41-126CB159F270}" name="Incident Date_Between" dataDxfId="314"/>
    <tableColumn id="39" xr3:uid="{7C238077-3081-4C6C-BF1E-079079C70B7D}" name="Incident Time_Between" dataDxfId="313"/>
    <tableColumn id="40" xr3:uid="{DA75B8D5-E55B-4D87-8840-19B068609E90}" name="Report Date" dataDxfId="312"/>
    <tableColumn id="41" xr3:uid="{6E849377-BA80-4192-A2EA-B509CECE92B1}" name="Report Time" dataDxfId="311"/>
    <tableColumn id="42" xr3:uid="{F31DE44D-BA64-49D5-8536-A39C321E5915}" name="Year"/>
    <tableColumn id="43" xr3:uid="{B4199E6A-EA54-4BFD-9732-E03BCC5C920F}" name="Week of Year"/>
    <tableColumn id="44" xr3:uid="{39B142BA-471A-4255-99E1-90503BB527A8}" name="Week of Month"/>
    <tableColumn id="45" xr3:uid="{72F2B90B-1DB5-4FAC-8001-AE5346B4DB97}" name="Day"/>
    <tableColumn id="46" xr3:uid="{A68DE540-F9E4-4050-845B-99CC13A7C10A}" name="Day of Year"/>
    <tableColumn id="47" xr3:uid="{B0E9148E-2EA5-4E3C-A429-759D3CC7AC93}" name="INC_DATE_AND_TIME" dataDxfId="310"/>
    <tableColumn id="48" xr3:uid="{6BC5C1B2-717C-4C02-9868-D217AB53228A}" name="St#"/>
    <tableColumn id="49" xr3:uid="{42416CD8-3750-41B2-83D4-1B0B9AC07095}" name="Notes"/>
    <tableColumn id="50" xr3:uid="{32C10C8C-1B4D-40D4-B1E8-BEFEC5B8B128}" name="VEHICLE"/>
    <tableColumn id="51" xr3:uid="{B2A4C7B7-DEE6-40EA-85FA-35839FCA0C2D}" name="Suspect"/>
    <tableColumn id="52" xr3:uid="{AA18FC63-02F1-4691-A4EC-74A9542ACF18}" name="TOTAL_STOLEN_AMOUNT"/>
    <tableColumn id="53" xr3:uid="{C7C77B93-D69D-4327-8D67-3BB26D4087A0}" name="REPORT_CYCLE" dataDxfId="309"/>
    <tableColumn id="54" xr3:uid="{43C290A9-1258-4C59-8163-56FD97E28971}" name="TIME_OF_DAY"/>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D9FA680-EBF5-4F73-80D3-E63B16479241}" name="_28Day" displayName="_28Day" ref="A1:B2" tableType="queryTable" totalsRowShown="0">
  <autoFilter ref="A1:B2" xr:uid="{8D9FA680-EBF5-4F73-80D3-E63B16479241}"/>
  <tableColumns count="2">
    <tableColumn id="1" xr3:uid="{D7B42164-FB4C-434C-8872-48C74D919D24}" uniqueName="1" name="StartDate" queryTableFieldId="1" dataDxfId="308"/>
    <tableColumn id="2" xr3:uid="{24F61ABB-1A3E-4302-98BC-E78FAF6AB33A}" uniqueName="2" name="EndDate" queryTableFieldId="2" dataDxfId="30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6A0AB779-2E90-41FD-B4DB-E7A86E358AAC}" name="PAST_WEEK__2" displayName="PAST_WEEK__2" ref="A1:BB8" tableType="queryTable" totalsRowShown="0">
  <autoFilter ref="A1:BB8" xr:uid="{6A0AB779-2E90-41FD-B4DB-E7A86E358AAC}"/>
  <tableColumns count="54">
    <tableColumn id="1" xr3:uid="{94165A6E-5CE9-41BF-A42A-2EB59205AA01}" uniqueName="1" name="Case Number" queryTableFieldId="1" dataDxfId="306"/>
    <tableColumn id="2" xr3:uid="{985C7904-AF40-4F57-9D06-FAF48C726D4C}" uniqueName="2" name="INC_DATE" queryTableFieldId="2" dataDxfId="305"/>
    <tableColumn id="3" xr3:uid="{B0F02569-8C9E-4340-89BA-CD82656962FA}" uniqueName="3" name="TOD" queryTableFieldId="3"/>
    <tableColumn id="4" xr3:uid="{0D9EDDEA-6090-45F8-A9BA-7BD4B21F85FF}" uniqueName="4" name="Start of Hour" queryTableFieldId="4" dataDxfId="304"/>
    <tableColumn id="5" xr3:uid="{39ED25F6-AD84-4BE3-AF11-8B98ED08FC6E}" uniqueName="5" name="INC_TIME" queryTableFieldId="5" dataDxfId="303"/>
    <tableColumn id="6" xr3:uid="{4C8F51BB-1527-4C72-AF37-B76EB44A4DBD}" uniqueName="6" name="Day Name" queryTableFieldId="6"/>
    <tableColumn id="7" xr3:uid="{2BD8724F-84CF-4499-957E-C3118C7B5E96}" uniqueName="7" name="Month Name" queryTableFieldId="7"/>
    <tableColumn id="8" xr3:uid="{020D89D4-2C09-4358-B0A4-6DAF07021FC5}" uniqueName="8" name="BLOCK" queryTableFieldId="8"/>
    <tableColumn id="9" xr3:uid="{059DF042-4900-490E-A038-78CFB39DC9EC}" uniqueName="9" name="Location" queryTableFieldId="9"/>
    <tableColumn id="10" xr3:uid="{433D1DD6-45BF-449C-B905-6350A66DA370}" uniqueName="10" name="Incident Type_1" queryTableFieldId="10" dataDxfId="302"/>
    <tableColumn id="11" xr3:uid="{07B5F495-178F-4040-B25D-AB39921EB703}" uniqueName="11" name="ALL_INCIDENTS" queryTableFieldId="11"/>
    <tableColumn id="12" xr3:uid="{4ACCC8F2-584C-4254-B684-FFE9057359D0}" uniqueName="12" name="Incident Type_2" queryTableFieldId="12" dataDxfId="301"/>
    <tableColumn id="13" xr3:uid="{4224A75F-85CA-425C-B7CD-E8D88C2FAD37}" uniqueName="13" name="Incident Type_3" queryTableFieldId="13" dataDxfId="300"/>
    <tableColumn id="14" xr3:uid="{01DE489B-75C1-4406-9F2D-FD8310175D44}" uniqueName="14" name="FullAddress" queryTableFieldId="14" dataDxfId="299"/>
    <tableColumn id="15" xr3:uid="{973CF26F-227A-49E3-B8F5-53C29B3DB32B}" uniqueName="15" name="Grid" queryTableFieldId="15" dataDxfId="298"/>
    <tableColumn id="16" xr3:uid="{09DFC6B5-F893-446F-9A1A-F350F0E98CFC}" uniqueName="16" name="Zone" queryTableFieldId="16"/>
    <tableColumn id="17" xr3:uid="{305DD113-DE19-4D65-9C12-C77666C4BA2A}" uniqueName="17" name="Narrative" queryTableFieldId="17" dataDxfId="297"/>
    <tableColumn id="18" xr3:uid="{426FD324-2C45-40D1-81FA-489A5173BFA1}" uniqueName="18" name="Total Value Stolen" queryTableFieldId="18"/>
    <tableColumn id="19" xr3:uid="{C7AFD3D8-1B31-4DB7-8DC4-BFCCC78AE8A7}" uniqueName="19" name="Total Value Recover" queryTableFieldId="19"/>
    <tableColumn id="20" xr3:uid="{39C57D2F-DBEE-42FD-970D-3AB03BFEABE7}" uniqueName="20" name="Registration 1" queryTableFieldId="20" dataDxfId="296"/>
    <tableColumn id="21" xr3:uid="{5AE20F8A-2912-4F3B-852F-932D89EBEBB2}" uniqueName="21" name="Make1" queryTableFieldId="21" dataDxfId="295"/>
    <tableColumn id="22" xr3:uid="{AC61FB2B-CA65-4CA4-80B7-838DEB876B46}" uniqueName="22" name="Model1" queryTableFieldId="22" dataDxfId="294"/>
    <tableColumn id="23" xr3:uid="{508D1606-3EDE-4327-8C44-7F9A1ABC5288}" uniqueName="23" name="Reg State 1" queryTableFieldId="23" dataDxfId="293"/>
    <tableColumn id="24" xr3:uid="{3588E23E-0C95-4620-8E39-98362F5F4915}" uniqueName="24" name="Registration 2" queryTableFieldId="24"/>
    <tableColumn id="25" xr3:uid="{15034B57-2DE9-48F1-BE28-23FE7ECD2A23}" uniqueName="25" name="Reg State 2" queryTableFieldId="25"/>
    <tableColumn id="26" xr3:uid="{F0C914FF-E91D-4A87-8C5B-71F9CA3F6836}" uniqueName="26" name="Make2" queryTableFieldId="26"/>
    <tableColumn id="27" xr3:uid="{A6D66418-70CF-4893-B8FA-CB810B71A544}" uniqueName="27" name="Model2" queryTableFieldId="27"/>
    <tableColumn id="28" xr3:uid="{AE9F6824-76BE-43FE-8874-575553264A83}" uniqueName="28" name="Reviewed By" queryTableFieldId="28" dataDxfId="292"/>
    <tableColumn id="29" xr3:uid="{53E6EED2-DC41-469A-8E80-57B621E2E2D5}" uniqueName="29" name="CompleteCalc" queryTableFieldId="29" dataDxfId="291"/>
    <tableColumn id="30" xr3:uid="{23B45414-ECD4-4C03-949E-446B2142AFCA}" uniqueName="30" name="Officer of Record" queryTableFieldId="30" dataDxfId="290"/>
    <tableColumn id="31" xr3:uid="{14D3688B-A751-4FC8-8091-3908890CE30B}" uniqueName="31" name="Squad" queryTableFieldId="31" dataDxfId="289"/>
    <tableColumn id="32" xr3:uid="{F2B9F319-A472-488F-A224-809FEFB320C9}" uniqueName="32" name="Det_Assigned" queryTableFieldId="32" dataDxfId="288"/>
    <tableColumn id="33" xr3:uid="{C11C1505-8720-466C-B3E3-34D80D8C221D}" uniqueName="33" name="Case_Status" queryTableFieldId="33" dataDxfId="287"/>
    <tableColumn id="34" xr3:uid="{20D849DD-4E6C-4E8B-B915-2E4AC37D87D4}" uniqueName="34" name="NIBRS Classification" queryTableFieldId="34" dataDxfId="286"/>
    <tableColumn id="35" xr3:uid="{56B81B79-EDDD-48EF-9233-0EEA775DA503}" uniqueName="35" name="CASE_NUMBER_LENGTH" queryTableFieldId="35"/>
    <tableColumn id="36" xr3:uid="{BE90596E-301E-40A2-B4BF-0D47F82DE468}" uniqueName="36" name="Incident Date" queryTableFieldId="36" dataDxfId="285"/>
    <tableColumn id="37" xr3:uid="{AAE17935-709D-4C8E-A77B-CF4398ABA6CC}" uniqueName="37" name="Incident Time" queryTableFieldId="37" dataDxfId="284"/>
    <tableColumn id="38" xr3:uid="{9223DE77-F3AC-4710-9EAE-5AD1C9C7BB3D}" uniqueName="38" name="Incident Date_Between" queryTableFieldId="38" dataDxfId="283"/>
    <tableColumn id="39" xr3:uid="{B406116F-43C0-4F57-8064-721A51CCDF90}" uniqueName="39" name="Incident Time_Between" queryTableFieldId="39" dataDxfId="282"/>
    <tableColumn id="40" xr3:uid="{A8BD103D-48B3-4801-9966-14826186A48A}" uniqueName="40" name="Report Date" queryTableFieldId="40" dataDxfId="281"/>
    <tableColumn id="41" xr3:uid="{449299F5-30FC-4209-85F8-D6A2428DCD83}" uniqueName="41" name="Report Time" queryTableFieldId="41" dataDxfId="280"/>
    <tableColumn id="42" xr3:uid="{3317CE7F-A529-43CC-A6F6-93C764D0E55A}" uniqueName="42" name="Year" queryTableFieldId="42"/>
    <tableColumn id="43" xr3:uid="{DDADF773-3DC1-4DBD-93BA-0FC6FE7DFE5F}" uniqueName="43" name="Week of Year" queryTableFieldId="43"/>
    <tableColumn id="44" xr3:uid="{C427393F-A242-42BC-BF5F-DE8F28CFC341}" uniqueName="44" name="Week of Month" queryTableFieldId="44"/>
    <tableColumn id="45" xr3:uid="{C8E624AE-527B-42C6-AEC1-3820CF9D81C4}" uniqueName="45" name="Day" queryTableFieldId="45"/>
    <tableColumn id="46" xr3:uid="{8AE56750-C2F5-4076-AB65-794609569149}" uniqueName="46" name="Day of Year" queryTableFieldId="46"/>
    <tableColumn id="47" xr3:uid="{49DADEB8-F062-4DB2-8F12-30573EEA473F}" uniqueName="47" name="INC_DATE_AND_TIME" queryTableFieldId="47" dataDxfId="279"/>
    <tableColumn id="48" xr3:uid="{9427E611-0422-44A8-81CF-C57C33E1D8C2}" uniqueName="48" name="St#" queryTableFieldId="48"/>
    <tableColumn id="49" xr3:uid="{C2EEC833-FEA6-48F9-B71D-F5F1A4735CED}" uniqueName="49" name="Notes" queryTableFieldId="49"/>
    <tableColumn id="50" xr3:uid="{2C6F629C-7C0A-4201-A0BA-F128DA6C9DFF}" uniqueName="50" name="VEHICLE" queryTableFieldId="50"/>
    <tableColumn id="51" xr3:uid="{7A445C2C-F6AF-465E-9A13-76554D9FD495}" uniqueName="51" name="Suspect" queryTableFieldId="51"/>
    <tableColumn id="52" xr3:uid="{C31E4295-2E69-475F-9C04-B03F60507A61}" uniqueName="52" name="TOTAL_STOLEN_AMOUNT" queryTableFieldId="52"/>
    <tableColumn id="53" xr3:uid="{23807915-DDE5-49E1-958E-C3E4D31260CF}" uniqueName="53" name="REPORT_CYCLE" queryTableFieldId="53"/>
    <tableColumn id="54" xr3:uid="{76051F91-1672-4060-983B-3263EB4359B9}" uniqueName="54" name="TIME_OF_DAY" queryTableFieldId="5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E9FF983-E681-4DBC-8D1D-C5A9B149C292}" name="Report_Cycle" displayName="Report_Cycle" ref="A1:F105" totalsRowShown="0" headerRowDxfId="278" dataDxfId="277">
  <autoFilter ref="A1:F105" xr:uid="{8E9FF983-E681-4DBC-8D1D-C5A9B149C292}"/>
  <tableColumns count="6">
    <tableColumn id="1" xr3:uid="{3FE4C1DC-9031-4715-AA03-BBAAEA53FA77}" name="SCRPA Due Date" dataDxfId="276"/>
    <tableColumn id="2" xr3:uid="{19267239-1E8C-4DB4-93E6-D11E398DE734}" name="7-Day Start" dataDxfId="275"/>
    <tableColumn id="3" xr3:uid="{963B8BDF-CD0A-4F83-A7C1-EE551F6797F6}" name="7-Day End" dataDxfId="274"/>
    <tableColumn id="4" xr3:uid="{2608293B-23EA-4CBB-A0C3-6BD1B4A5F9F9}" name="28-Day Start" dataDxfId="273"/>
    <tableColumn id="5" xr3:uid="{DE8D9756-EE5F-4646-B7C7-3AD248651FBC}" name="28-Day End" dataDxfId="272"/>
    <tableColumn id="6" xr3:uid="{5E012F5D-F004-435B-9DE9-E9BDCB0CC898}" name="Active Cycle" dataDxfId="271">
      <calculatedColumnFormula>IF(AND($H$2 &gt;= Report_Cycle[[#This Row],[28-Day Start]], $H$2 &lt;= Report_Cycle[[#This Row],[28-Day End]], MATCH($H$2, Report_Cycle[28-Day End], 0) = ROW()-1), "CURRENT", IF(AND($H$2 &gt;= Report_Cycle[[#This Row],[7-Day Start]], $H$2 &lt;= Report_Cycle[[#This Row],[7-Day End]], MATCH($H$2, Report_Cycle[7-Day End], 0) = ROW()-1), "CURRENT", ""))</calculatedColumnFormula>
    </tableColumn>
  </tableColumns>
  <tableStyleInfo name="TableStyleLight18 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C67483D-8C14-48E4-AE1A-4464B392E340}" name="Table31" displayName="Table31" ref="H1:H2" totalsRowShown="0" headerRowDxfId="270" dataDxfId="268" headerRowBorderDxfId="269">
  <autoFilter ref="H1:H2" xr:uid="{1C67483D-8C14-48E4-AE1A-4464B392E340}"/>
  <tableColumns count="1">
    <tableColumn id="1" xr3:uid="{0ECC588F-AB77-4705-806B-676E1986CDCD}" name="Today" dataDxfId="267"/>
  </tableColumns>
  <tableStyleInfo name="TableStyleLight18 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table" Target="../tables/table1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1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pivotTable" Target="../pivotTables/pivotTable10.xml"/><Relationship Id="rId7" Type="http://schemas.openxmlformats.org/officeDocument/2006/relationships/table" Target="../tables/table21.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printerSettings" Target="../printerSettings/printerSettings12.bin"/><Relationship Id="rId7" Type="http://schemas.openxmlformats.org/officeDocument/2006/relationships/table" Target="../tables/table25.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table" Target="../tables/table24.xml"/><Relationship Id="rId5" Type="http://schemas.openxmlformats.org/officeDocument/2006/relationships/table" Target="../tables/table23.xml"/><Relationship Id="rId4"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openxmlformats.org/officeDocument/2006/relationships/table" Target="../tables/table3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table" Target="../tables/table29.xml"/><Relationship Id="rId5" Type="http://schemas.openxmlformats.org/officeDocument/2006/relationships/table" Target="../tables/table28.xml"/><Relationship Id="rId4"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BB272-AD7B-4415-8D60-3AB3AFBC6EDF}">
  <dimension ref="A1:BV31"/>
  <sheetViews>
    <sheetView topLeftCell="AP1" workbookViewId="0">
      <selection activeCell="BJ1" sqref="BJ1:BJ1048576"/>
    </sheetView>
  </sheetViews>
  <sheetFormatPr defaultRowHeight="15" x14ac:dyDescent="0.25"/>
  <cols>
    <col min="1" max="1" width="15.140625" bestFit="1" customWidth="1"/>
    <col min="2" max="2" width="12" style="169" bestFit="1" customWidth="1"/>
    <col min="3" max="3" width="23.42578125" bestFit="1" customWidth="1"/>
    <col min="4" max="4" width="14.42578125" style="168" bestFit="1" customWidth="1"/>
    <col min="5" max="5" width="11.85546875" style="168" bestFit="1" customWidth="1"/>
    <col min="6" max="6" width="12.28515625" bestFit="1" customWidth="1"/>
    <col min="7" max="7" width="15" style="167" bestFit="1" customWidth="1"/>
    <col min="8" max="9" width="37.140625" bestFit="1" customWidth="1"/>
    <col min="10" max="10" width="39.85546875" bestFit="1" customWidth="1"/>
    <col min="11" max="11" width="18.28515625" bestFit="1" customWidth="1"/>
    <col min="12" max="12" width="25.140625" bestFit="1" customWidth="1"/>
    <col min="13" max="13" width="17.42578125" bestFit="1" customWidth="1"/>
    <col min="14" max="14" width="58.140625" bestFit="1" customWidth="1"/>
    <col min="15" max="15" width="7.140625" bestFit="1" customWidth="1"/>
    <col min="16" max="16" width="7.7109375" bestFit="1" customWidth="1"/>
    <col min="17" max="17" width="81.140625" bestFit="1" customWidth="1"/>
    <col min="18" max="18" width="19.7109375" bestFit="1" customWidth="1"/>
    <col min="19" max="19" width="21.140625" bestFit="1" customWidth="1"/>
    <col min="20" max="20" width="15.5703125" bestFit="1" customWidth="1"/>
    <col min="21" max="21" width="9.28515625" bestFit="1" customWidth="1"/>
    <col min="22" max="22" width="10.140625" bestFit="1" customWidth="1"/>
    <col min="23" max="23" width="13" bestFit="1" customWidth="1"/>
    <col min="24" max="24" width="15.5703125" bestFit="1" customWidth="1"/>
    <col min="25" max="25" width="13" bestFit="1" customWidth="1"/>
    <col min="26" max="26" width="9.28515625" bestFit="1" customWidth="1"/>
    <col min="27" max="27" width="10.140625" bestFit="1" customWidth="1"/>
    <col min="28" max="28" width="15.140625" bestFit="1" customWidth="1"/>
    <col min="29" max="29" width="15.7109375" bestFit="1" customWidth="1"/>
    <col min="30" max="30" width="26.140625" bestFit="1" customWidth="1"/>
    <col min="31" max="31" width="8.7109375" bestFit="1" customWidth="1"/>
    <col min="32" max="32" width="26.85546875" bestFit="1" customWidth="1"/>
    <col min="33" max="34" width="29.140625" bestFit="1" customWidth="1"/>
    <col min="35" max="35" width="25.140625" bestFit="1" customWidth="1"/>
    <col min="36" max="36" width="15.140625" bestFit="1" customWidth="1"/>
    <col min="37" max="37" width="15.5703125" bestFit="1" customWidth="1"/>
    <col min="38" max="38" width="24.5703125" bestFit="1" customWidth="1"/>
    <col min="39" max="39" width="24.85546875" bestFit="1" customWidth="1"/>
    <col min="40" max="40" width="13.85546875" bestFit="1" customWidth="1"/>
    <col min="41" max="41" width="14.140625" bestFit="1" customWidth="1"/>
    <col min="42" max="42" width="7.28515625" bestFit="1" customWidth="1"/>
    <col min="43" max="43" width="15.42578125" bestFit="1" customWidth="1"/>
    <col min="44" max="44" width="17.42578125" bestFit="1" customWidth="1"/>
    <col min="45" max="45" width="6.5703125" bestFit="1" customWidth="1"/>
    <col min="46" max="46" width="13.28515625" bestFit="1" customWidth="1"/>
    <col min="47" max="47" width="22.7109375" bestFit="1" customWidth="1"/>
    <col min="48" max="48" width="6" bestFit="1" customWidth="1"/>
    <col min="49" max="49" width="81.140625" bestFit="1" customWidth="1"/>
    <col min="50" max="50" width="34" bestFit="1" customWidth="1"/>
    <col min="51" max="52" width="81.140625" bestFit="1" customWidth="1"/>
    <col min="53" max="53" width="16.5703125" bestFit="1" customWidth="1"/>
    <col min="54" max="54" width="24.85546875" bestFit="1" customWidth="1"/>
    <col min="55" max="55" width="43.42578125" bestFit="1" customWidth="1"/>
    <col min="60" max="60" width="27.7109375" style="160" bestFit="1" customWidth="1"/>
    <col min="61" max="61" width="10.5703125" style="160" bestFit="1" customWidth="1"/>
    <col min="62" max="62" width="11.28515625" style="160" bestFit="1" customWidth="1"/>
    <col min="63" max="63" width="10.42578125" style="160" bestFit="1" customWidth="1"/>
    <col min="64" max="64" width="11.5703125" style="160" bestFit="1" customWidth="1"/>
    <col min="65" max="65" width="10.42578125" style="160" bestFit="1" customWidth="1"/>
    <col min="66" max="66" width="9" style="160" bestFit="1" customWidth="1"/>
    <col min="67" max="67" width="9.85546875" style="160" bestFit="1" customWidth="1"/>
    <col min="68" max="68" width="9.140625" style="160"/>
    <col min="69" max="69" width="23.140625" bestFit="1" customWidth="1"/>
    <col min="70" max="70" width="17.28515625" bestFit="1" customWidth="1"/>
    <col min="71" max="71" width="6.140625" bestFit="1" customWidth="1"/>
    <col min="72" max="72" width="5.42578125" bestFit="1" customWidth="1"/>
    <col min="73" max="73" width="6.28515625" bestFit="1" customWidth="1"/>
    <col min="74" max="74" width="4.85546875" bestFit="1" customWidth="1"/>
  </cols>
  <sheetData>
    <row r="1" spans="1:74" x14ac:dyDescent="0.25">
      <c r="A1" t="s">
        <v>0</v>
      </c>
      <c r="B1" s="169" t="s">
        <v>1</v>
      </c>
      <c r="C1" t="s">
        <v>2</v>
      </c>
      <c r="D1" s="168" t="s">
        <v>3</v>
      </c>
      <c r="E1" s="168" t="s">
        <v>4</v>
      </c>
      <c r="F1" t="s">
        <v>5</v>
      </c>
      <c r="G1" s="167" t="s">
        <v>6</v>
      </c>
      <c r="H1" t="s">
        <v>7</v>
      </c>
      <c r="I1" t="s">
        <v>8</v>
      </c>
      <c r="J1" t="s">
        <v>10</v>
      </c>
      <c r="K1" t="s">
        <v>9</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c r="BC1" t="s">
        <v>815</v>
      </c>
    </row>
    <row r="2" spans="1:74" x14ac:dyDescent="0.25">
      <c r="A2" s="114" t="s">
        <v>54</v>
      </c>
      <c r="B2" s="169">
        <v>45663</v>
      </c>
      <c r="C2" t="s">
        <v>55</v>
      </c>
      <c r="D2" s="168">
        <v>0.625</v>
      </c>
      <c r="E2" s="168">
        <v>0.64583333333333337</v>
      </c>
      <c r="F2" s="114" t="s">
        <v>459</v>
      </c>
      <c r="G2" s="114" t="s">
        <v>817</v>
      </c>
      <c r="H2" t="s">
        <v>58</v>
      </c>
      <c r="I2" t="s">
        <v>59</v>
      </c>
      <c r="J2" t="s">
        <v>60</v>
      </c>
      <c r="K2" s="114" t="s">
        <v>60</v>
      </c>
      <c r="L2" s="114" t="s">
        <v>61</v>
      </c>
      <c r="M2" s="114" t="s">
        <v>61</v>
      </c>
      <c r="N2" s="114" t="s">
        <v>62</v>
      </c>
      <c r="O2" s="114"/>
      <c r="P2">
        <v>7</v>
      </c>
      <c r="Q2" s="114" t="s">
        <v>63</v>
      </c>
      <c r="T2" s="114" t="s">
        <v>64</v>
      </c>
      <c r="U2" s="114" t="s">
        <v>65</v>
      </c>
      <c r="V2" s="114" t="s">
        <v>66</v>
      </c>
      <c r="W2" s="114" t="s">
        <v>67</v>
      </c>
      <c r="AB2" s="114" t="s">
        <v>68</v>
      </c>
      <c r="AC2" s="114" t="s">
        <v>69</v>
      </c>
      <c r="AD2" s="114" t="s">
        <v>70</v>
      </c>
      <c r="AE2" s="114" t="s">
        <v>71</v>
      </c>
      <c r="AF2" s="114" t="s">
        <v>72</v>
      </c>
      <c r="AG2" s="114" t="s">
        <v>73</v>
      </c>
      <c r="AH2" s="114" t="s">
        <v>74</v>
      </c>
      <c r="AI2">
        <v>9</v>
      </c>
      <c r="AJ2" s="1">
        <v>45663</v>
      </c>
      <c r="AK2" s="50">
        <v>0.64583333333333337</v>
      </c>
      <c r="AL2" s="1">
        <v>45667</v>
      </c>
      <c r="AM2" s="50"/>
      <c r="AN2" s="1">
        <v>45667</v>
      </c>
      <c r="AO2" s="50">
        <v>0.82629629629629631</v>
      </c>
      <c r="AP2">
        <v>2025</v>
      </c>
      <c r="AQ2">
        <v>2</v>
      </c>
      <c r="AR2">
        <v>2</v>
      </c>
      <c r="AS2">
        <v>6</v>
      </c>
      <c r="AT2">
        <v>6</v>
      </c>
      <c r="AU2" s="2">
        <v>45663.645833333336</v>
      </c>
      <c r="AV2">
        <v>90</v>
      </c>
      <c r="AW2" t="s">
        <v>63</v>
      </c>
      <c r="AX2" t="s">
        <v>75</v>
      </c>
      <c r="AY2" t="s">
        <v>76</v>
      </c>
      <c r="AZ2" t="s">
        <v>77</v>
      </c>
      <c r="BA2" t="s">
        <v>587</v>
      </c>
      <c r="BB2" t="s">
        <v>78</v>
      </c>
      <c r="BC2" s="114" t="s">
        <v>60</v>
      </c>
      <c r="BH2" s="159" t="s">
        <v>1</v>
      </c>
      <c r="BI2" s="160" t="s">
        <v>132</v>
      </c>
      <c r="BQ2" s="159" t="s">
        <v>1</v>
      </c>
      <c r="BR2" s="160" t="s">
        <v>217</v>
      </c>
      <c r="BS2" s="160"/>
      <c r="BT2" s="160"/>
      <c r="BU2" s="160"/>
      <c r="BV2" s="160"/>
    </row>
    <row r="3" spans="1:74" x14ac:dyDescent="0.25">
      <c r="A3" s="114" t="s">
        <v>79</v>
      </c>
      <c r="B3" s="169">
        <v>45682</v>
      </c>
      <c r="C3" t="s">
        <v>80</v>
      </c>
      <c r="D3" s="168">
        <v>0.75</v>
      </c>
      <c r="E3" s="168">
        <v>0.76875000000000004</v>
      </c>
      <c r="F3" s="114" t="s">
        <v>464</v>
      </c>
      <c r="G3" s="114" t="s">
        <v>817</v>
      </c>
      <c r="H3" t="s">
        <v>82</v>
      </c>
      <c r="I3" t="s">
        <v>83</v>
      </c>
      <c r="J3" t="s">
        <v>84</v>
      </c>
      <c r="K3" s="114" t="s">
        <v>60</v>
      </c>
      <c r="L3" s="114" t="s">
        <v>85</v>
      </c>
      <c r="M3" s="114" t="s">
        <v>61</v>
      </c>
      <c r="N3" s="114" t="s">
        <v>86</v>
      </c>
      <c r="O3" s="114" t="s">
        <v>87</v>
      </c>
      <c r="P3">
        <v>8</v>
      </c>
      <c r="Q3" s="114" t="s">
        <v>88</v>
      </c>
      <c r="T3" s="114" t="s">
        <v>89</v>
      </c>
      <c r="U3" s="114" t="s">
        <v>65</v>
      </c>
      <c r="V3" s="114" t="s">
        <v>90</v>
      </c>
      <c r="W3" s="114" t="s">
        <v>67</v>
      </c>
      <c r="AB3" s="114" t="s">
        <v>91</v>
      </c>
      <c r="AC3" s="114" t="s">
        <v>69</v>
      </c>
      <c r="AD3" s="114" t="s">
        <v>92</v>
      </c>
      <c r="AE3" s="114" t="s">
        <v>93</v>
      </c>
      <c r="AF3" s="114" t="s">
        <v>94</v>
      </c>
      <c r="AG3" s="114" t="s">
        <v>95</v>
      </c>
      <c r="AH3" s="114" t="s">
        <v>74</v>
      </c>
      <c r="AI3">
        <v>9</v>
      </c>
      <c r="AJ3" s="1">
        <v>45682</v>
      </c>
      <c r="AK3" s="50">
        <v>0.76875000000000004</v>
      </c>
      <c r="AL3" s="1"/>
      <c r="AM3" s="50"/>
      <c r="AN3" s="1">
        <v>45683</v>
      </c>
      <c r="AO3" s="50">
        <v>0.44056712962962963</v>
      </c>
      <c r="AP3">
        <v>2025</v>
      </c>
      <c r="AQ3">
        <v>4</v>
      </c>
      <c r="AR3">
        <v>4</v>
      </c>
      <c r="AS3">
        <v>25</v>
      </c>
      <c r="AT3">
        <v>25</v>
      </c>
      <c r="AU3" s="2">
        <v>45682.768750000003</v>
      </c>
      <c r="AV3">
        <v>206</v>
      </c>
      <c r="AW3" t="s">
        <v>88</v>
      </c>
      <c r="AX3" t="s">
        <v>96</v>
      </c>
      <c r="AY3" t="s">
        <v>97</v>
      </c>
      <c r="AZ3" t="s">
        <v>61</v>
      </c>
      <c r="BA3" t="s">
        <v>584</v>
      </c>
      <c r="BB3" t="s">
        <v>98</v>
      </c>
      <c r="BC3" s="114" t="s">
        <v>84</v>
      </c>
      <c r="BH3" s="159" t="s">
        <v>815</v>
      </c>
      <c r="BI3" s="160" t="s">
        <v>132</v>
      </c>
      <c r="BQ3" s="159" t="s">
        <v>815</v>
      </c>
      <c r="BR3" s="160" t="s">
        <v>132</v>
      </c>
      <c r="BS3" s="160"/>
      <c r="BT3" s="160"/>
      <c r="BU3" s="160"/>
      <c r="BV3" s="160"/>
    </row>
    <row r="4" spans="1:74" x14ac:dyDescent="0.25">
      <c r="A4" s="114" t="s">
        <v>99</v>
      </c>
      <c r="B4" s="169">
        <v>45683</v>
      </c>
      <c r="C4" t="s">
        <v>100</v>
      </c>
      <c r="D4" s="168">
        <v>0.83333333333333337</v>
      </c>
      <c r="E4" s="168">
        <v>0.84027777777777779</v>
      </c>
      <c r="F4" s="114" t="s">
        <v>467</v>
      </c>
      <c r="G4" s="114" t="s">
        <v>817</v>
      </c>
      <c r="H4" t="s">
        <v>102</v>
      </c>
      <c r="I4" t="s">
        <v>103</v>
      </c>
      <c r="J4" t="s">
        <v>84</v>
      </c>
      <c r="K4" s="114" t="s">
        <v>60</v>
      </c>
      <c r="L4" s="114" t="s">
        <v>85</v>
      </c>
      <c r="M4" s="114" t="s">
        <v>61</v>
      </c>
      <c r="N4" s="114" t="s">
        <v>104</v>
      </c>
      <c r="O4" s="114" t="s">
        <v>105</v>
      </c>
      <c r="P4">
        <v>9</v>
      </c>
      <c r="Q4" s="114" t="s">
        <v>106</v>
      </c>
      <c r="T4" s="114" t="s">
        <v>107</v>
      </c>
      <c r="U4" s="114" t="s">
        <v>65</v>
      </c>
      <c r="V4" s="114" t="s">
        <v>108</v>
      </c>
      <c r="W4" s="114" t="s">
        <v>67</v>
      </c>
      <c r="AB4" s="114" t="s">
        <v>68</v>
      </c>
      <c r="AC4" s="114" t="s">
        <v>69</v>
      </c>
      <c r="AD4" s="114" t="s">
        <v>109</v>
      </c>
      <c r="AE4" s="114" t="s">
        <v>71</v>
      </c>
      <c r="AF4" s="114" t="s">
        <v>110</v>
      </c>
      <c r="AG4" s="114" t="s">
        <v>73</v>
      </c>
      <c r="AH4" s="114" t="s">
        <v>74</v>
      </c>
      <c r="AI4">
        <v>9</v>
      </c>
      <c r="AJ4" s="1">
        <v>45683</v>
      </c>
      <c r="AK4" s="50">
        <v>0.84027777777777779</v>
      </c>
      <c r="AL4" s="1">
        <v>45683</v>
      </c>
      <c r="AM4" s="50">
        <v>0.84652777777777777</v>
      </c>
      <c r="AN4" s="1">
        <v>45683</v>
      </c>
      <c r="AO4" s="50">
        <v>0.85009259259259262</v>
      </c>
      <c r="AP4">
        <v>2025</v>
      </c>
      <c r="AQ4">
        <v>5</v>
      </c>
      <c r="AR4">
        <v>5</v>
      </c>
      <c r="AS4">
        <v>26</v>
      </c>
      <c r="AT4">
        <v>26</v>
      </c>
      <c r="AU4" s="2">
        <v>45683.840277777781</v>
      </c>
      <c r="AV4">
        <v>5</v>
      </c>
      <c r="AW4" t="s">
        <v>106</v>
      </c>
      <c r="AX4" t="s">
        <v>111</v>
      </c>
      <c r="AY4" t="s">
        <v>61</v>
      </c>
      <c r="AZ4" t="s">
        <v>112</v>
      </c>
      <c r="BA4" t="s">
        <v>584</v>
      </c>
      <c r="BB4" t="s">
        <v>113</v>
      </c>
      <c r="BC4" s="114" t="s">
        <v>84</v>
      </c>
      <c r="BQ4" s="160"/>
      <c r="BR4" s="160"/>
      <c r="BS4" s="160"/>
      <c r="BT4" s="160"/>
      <c r="BU4" s="160"/>
      <c r="BV4" s="160"/>
    </row>
    <row r="5" spans="1:74" ht="23.25" x14ac:dyDescent="0.25">
      <c r="A5" s="114" t="s">
        <v>114</v>
      </c>
      <c r="B5" s="169">
        <v>45701</v>
      </c>
      <c r="C5" t="s">
        <v>80</v>
      </c>
      <c r="D5" s="168">
        <v>0.66666666666666663</v>
      </c>
      <c r="E5" s="168">
        <v>0.66666666666666663</v>
      </c>
      <c r="F5" s="114" t="s">
        <v>818</v>
      </c>
      <c r="G5" s="114" t="s">
        <v>735</v>
      </c>
      <c r="H5" t="s">
        <v>117</v>
      </c>
      <c r="I5" t="s">
        <v>117</v>
      </c>
      <c r="J5" t="s">
        <v>60</v>
      </c>
      <c r="K5" s="114" t="s">
        <v>60</v>
      </c>
      <c r="L5" s="114" t="s">
        <v>61</v>
      </c>
      <c r="M5" s="114" t="s">
        <v>61</v>
      </c>
      <c r="N5" s="114" t="s">
        <v>118</v>
      </c>
      <c r="O5" s="114" t="s">
        <v>119</v>
      </c>
      <c r="P5">
        <v>6</v>
      </c>
      <c r="Q5" s="114" t="s">
        <v>120</v>
      </c>
      <c r="T5" s="114" t="s">
        <v>121</v>
      </c>
      <c r="U5" s="114" t="s">
        <v>122</v>
      </c>
      <c r="V5" s="114" t="s">
        <v>123</v>
      </c>
      <c r="W5" s="114" t="s">
        <v>67</v>
      </c>
      <c r="AB5" s="114" t="s">
        <v>124</v>
      </c>
      <c r="AC5" s="114" t="s">
        <v>69</v>
      </c>
      <c r="AD5" s="114" t="s">
        <v>125</v>
      </c>
      <c r="AE5" s="114" t="s">
        <v>126</v>
      </c>
      <c r="AF5" s="114" t="s">
        <v>127</v>
      </c>
      <c r="AG5" s="114" t="s">
        <v>128</v>
      </c>
      <c r="AH5" s="114" t="s">
        <v>74</v>
      </c>
      <c r="AI5">
        <v>9</v>
      </c>
      <c r="AJ5" s="1">
        <v>45701</v>
      </c>
      <c r="AK5" s="50">
        <v>0.66666666666666663</v>
      </c>
      <c r="AL5" s="1"/>
      <c r="AM5" s="50"/>
      <c r="AN5" s="1">
        <v>45702</v>
      </c>
      <c r="AO5" s="50">
        <v>0.29906250000000001</v>
      </c>
      <c r="AP5">
        <v>2025</v>
      </c>
      <c r="AQ5">
        <v>7</v>
      </c>
      <c r="AR5">
        <v>3</v>
      </c>
      <c r="AS5">
        <v>13</v>
      </c>
      <c r="AT5">
        <v>44</v>
      </c>
      <c r="AU5" s="2">
        <v>45701.666666666664</v>
      </c>
      <c r="AW5" t="s">
        <v>120</v>
      </c>
      <c r="AX5" t="s">
        <v>129</v>
      </c>
      <c r="AY5" t="s">
        <v>130</v>
      </c>
      <c r="AZ5" t="s">
        <v>131</v>
      </c>
      <c r="BA5" t="s">
        <v>581</v>
      </c>
      <c r="BB5" t="s">
        <v>98</v>
      </c>
      <c r="BC5" s="114" t="s">
        <v>60</v>
      </c>
      <c r="BH5" s="159" t="s">
        <v>133</v>
      </c>
      <c r="BI5" s="170" t="s">
        <v>402</v>
      </c>
      <c r="BN5"/>
      <c r="BQ5" s="159" t="s">
        <v>133</v>
      </c>
      <c r="BR5" s="170" t="s">
        <v>402</v>
      </c>
      <c r="BS5" s="160"/>
      <c r="BT5" s="160"/>
      <c r="BU5" s="160"/>
      <c r="BV5" s="160"/>
    </row>
    <row r="6" spans="1:74" ht="18.75" x14ac:dyDescent="0.3">
      <c r="A6" s="114" t="s">
        <v>476</v>
      </c>
      <c r="B6" s="169">
        <v>45722</v>
      </c>
      <c r="C6" t="s">
        <v>100</v>
      </c>
      <c r="D6" s="168">
        <v>0.91666666666666663</v>
      </c>
      <c r="E6" s="168">
        <v>0.94149305555555551</v>
      </c>
      <c r="F6" s="114" t="s">
        <v>818</v>
      </c>
      <c r="G6" s="114" t="s">
        <v>736</v>
      </c>
      <c r="H6" t="s">
        <v>478</v>
      </c>
      <c r="I6" t="s">
        <v>479</v>
      </c>
      <c r="J6" t="s">
        <v>60</v>
      </c>
      <c r="K6" s="114" t="s">
        <v>60</v>
      </c>
      <c r="L6" s="114" t="s">
        <v>61</v>
      </c>
      <c r="M6" s="114" t="s">
        <v>61</v>
      </c>
      <c r="N6" s="114" t="s">
        <v>480</v>
      </c>
      <c r="O6" s="114" t="s">
        <v>87</v>
      </c>
      <c r="P6">
        <v>8</v>
      </c>
      <c r="Q6" s="114" t="s">
        <v>481</v>
      </c>
      <c r="T6" s="114" t="s">
        <v>482</v>
      </c>
      <c r="U6" s="114" t="s">
        <v>122</v>
      </c>
      <c r="V6" s="114" t="s">
        <v>483</v>
      </c>
      <c r="W6" s="114" t="s">
        <v>67</v>
      </c>
      <c r="AB6" s="114" t="s">
        <v>484</v>
      </c>
      <c r="AC6" s="114" t="s">
        <v>69</v>
      </c>
      <c r="AD6" s="114" t="s">
        <v>70</v>
      </c>
      <c r="AE6" s="114" t="s">
        <v>71</v>
      </c>
      <c r="AF6" s="114" t="s">
        <v>166</v>
      </c>
      <c r="AG6" s="114" t="s">
        <v>128</v>
      </c>
      <c r="AH6" s="114"/>
      <c r="AI6">
        <v>9</v>
      </c>
      <c r="AJ6" s="1">
        <v>45722</v>
      </c>
      <c r="AK6" s="50">
        <v>0.94149305555555551</v>
      </c>
      <c r="AL6" s="1"/>
      <c r="AM6" s="50"/>
      <c r="AN6" s="1">
        <v>45722</v>
      </c>
      <c r="AO6" s="50">
        <v>0.94149305555555551</v>
      </c>
      <c r="AP6">
        <v>2025</v>
      </c>
      <c r="AQ6">
        <v>10</v>
      </c>
      <c r="AR6">
        <v>2</v>
      </c>
      <c r="AS6">
        <v>6</v>
      </c>
      <c r="AT6">
        <v>65</v>
      </c>
      <c r="AU6" s="2">
        <v>45722.940972222219</v>
      </c>
      <c r="AV6">
        <v>216</v>
      </c>
      <c r="AW6" t="s">
        <v>481</v>
      </c>
      <c r="AX6" t="s">
        <v>485</v>
      </c>
      <c r="AY6" t="s">
        <v>486</v>
      </c>
      <c r="AZ6" t="s">
        <v>487</v>
      </c>
      <c r="BA6" t="s">
        <v>578</v>
      </c>
      <c r="BB6" t="s">
        <v>113</v>
      </c>
      <c r="BC6" s="114" t="s">
        <v>60</v>
      </c>
      <c r="BH6" s="171" t="s">
        <v>403</v>
      </c>
      <c r="BI6" s="27" t="s">
        <v>467</v>
      </c>
      <c r="BJ6" s="27" t="s">
        <v>459</v>
      </c>
      <c r="BK6" s="27" t="s">
        <v>460</v>
      </c>
      <c r="BL6" s="27" t="s">
        <v>818</v>
      </c>
      <c r="BM6" s="27" t="s">
        <v>464</v>
      </c>
      <c r="BN6"/>
      <c r="BQ6" s="171" t="s">
        <v>403</v>
      </c>
      <c r="BR6" s="27" t="s">
        <v>467</v>
      </c>
      <c r="BS6" s="27" t="s">
        <v>459</v>
      </c>
      <c r="BT6" s="27" t="s">
        <v>460</v>
      </c>
      <c r="BU6" s="27" t="s">
        <v>818</v>
      </c>
      <c r="BV6" s="27" t="s">
        <v>464</v>
      </c>
    </row>
    <row r="7" spans="1:74" x14ac:dyDescent="0.25">
      <c r="A7" s="114" t="s">
        <v>488</v>
      </c>
      <c r="B7" s="169">
        <v>45725</v>
      </c>
      <c r="C7" t="s">
        <v>80</v>
      </c>
      <c r="D7" s="168">
        <v>0.79166666666666663</v>
      </c>
      <c r="E7" s="168">
        <v>0.8125</v>
      </c>
      <c r="F7" s="114" t="s">
        <v>467</v>
      </c>
      <c r="G7" s="114" t="s">
        <v>736</v>
      </c>
      <c r="H7" t="s">
        <v>489</v>
      </c>
      <c r="I7" t="s">
        <v>490</v>
      </c>
      <c r="J7" t="s">
        <v>60</v>
      </c>
      <c r="K7" s="114" t="s">
        <v>60</v>
      </c>
      <c r="L7" s="114" t="s">
        <v>61</v>
      </c>
      <c r="M7" s="114" t="s">
        <v>61</v>
      </c>
      <c r="N7" s="114" t="s">
        <v>491</v>
      </c>
      <c r="O7" s="114" t="s">
        <v>139</v>
      </c>
      <c r="P7">
        <v>7</v>
      </c>
      <c r="Q7" s="114" t="s">
        <v>492</v>
      </c>
      <c r="T7" s="114" t="s">
        <v>493</v>
      </c>
      <c r="U7" s="114" t="s">
        <v>494</v>
      </c>
      <c r="V7" s="114" t="s">
        <v>495</v>
      </c>
      <c r="W7" s="114" t="s">
        <v>67</v>
      </c>
      <c r="AB7" s="114" t="s">
        <v>163</v>
      </c>
      <c r="AC7" s="114" t="s">
        <v>69</v>
      </c>
      <c r="AD7" s="114" t="s">
        <v>496</v>
      </c>
      <c r="AE7" s="114" t="s">
        <v>359</v>
      </c>
      <c r="AF7" s="114"/>
      <c r="AG7" s="114"/>
      <c r="AH7" s="114"/>
      <c r="AI7">
        <v>9</v>
      </c>
      <c r="AJ7" s="1">
        <v>45725</v>
      </c>
      <c r="AK7" s="50">
        <v>0.8125</v>
      </c>
      <c r="AL7" s="1">
        <v>45726</v>
      </c>
      <c r="AM7" s="50">
        <v>0.35416666666666669</v>
      </c>
      <c r="AN7" s="1">
        <v>45726</v>
      </c>
      <c r="AO7" s="50">
        <v>0.37046296296296294</v>
      </c>
      <c r="AP7">
        <v>2025</v>
      </c>
      <c r="AQ7">
        <v>11</v>
      </c>
      <c r="AR7">
        <v>3</v>
      </c>
      <c r="AS7">
        <v>9</v>
      </c>
      <c r="AT7">
        <v>68</v>
      </c>
      <c r="AU7" s="2">
        <v>45725.8125</v>
      </c>
      <c r="AV7">
        <v>282</v>
      </c>
      <c r="AW7" t="s">
        <v>492</v>
      </c>
      <c r="AX7" t="s">
        <v>497</v>
      </c>
      <c r="AY7" t="s">
        <v>498</v>
      </c>
      <c r="AZ7" t="s">
        <v>499</v>
      </c>
      <c r="BA7" t="s">
        <v>578</v>
      </c>
      <c r="BB7" t="s">
        <v>98</v>
      </c>
      <c r="BC7" s="114" t="s">
        <v>60</v>
      </c>
      <c r="BH7" s="172" t="s">
        <v>301</v>
      </c>
      <c r="BI7" s="161">
        <v>1</v>
      </c>
      <c r="BJ7" s="161"/>
      <c r="BK7" s="161"/>
      <c r="BL7" s="161"/>
      <c r="BM7" s="161">
        <v>1</v>
      </c>
      <c r="BN7"/>
      <c r="BQ7" s="172" t="s">
        <v>301</v>
      </c>
      <c r="BR7" s="161">
        <v>1</v>
      </c>
      <c r="BS7" s="161"/>
      <c r="BT7" s="161"/>
      <c r="BU7" s="161"/>
      <c r="BV7" s="161">
        <v>1</v>
      </c>
    </row>
    <row r="8" spans="1:74" x14ac:dyDescent="0.25">
      <c r="A8" s="114" t="s">
        <v>592</v>
      </c>
      <c r="B8" s="169">
        <v>45727</v>
      </c>
      <c r="C8" t="s">
        <v>55</v>
      </c>
      <c r="D8" s="168">
        <v>0.58333333333333337</v>
      </c>
      <c r="E8" s="168">
        <v>0.60416666666666663</v>
      </c>
      <c r="F8" s="114" t="s">
        <v>460</v>
      </c>
      <c r="G8" s="114" t="s">
        <v>736</v>
      </c>
      <c r="H8" t="s">
        <v>593</v>
      </c>
      <c r="I8" t="s">
        <v>594</v>
      </c>
      <c r="J8" t="s">
        <v>60</v>
      </c>
      <c r="K8" s="114" t="s">
        <v>60</v>
      </c>
      <c r="L8" s="114" t="s">
        <v>61</v>
      </c>
      <c r="M8" s="114" t="s">
        <v>61</v>
      </c>
      <c r="N8" s="114" t="s">
        <v>595</v>
      </c>
      <c r="O8" s="114" t="s">
        <v>87</v>
      </c>
      <c r="P8">
        <v>8</v>
      </c>
      <c r="Q8" s="114" t="s">
        <v>596</v>
      </c>
      <c r="T8" s="114" t="s">
        <v>597</v>
      </c>
      <c r="U8" s="114" t="s">
        <v>598</v>
      </c>
      <c r="V8" s="114" t="s">
        <v>599</v>
      </c>
      <c r="W8" s="114" t="s">
        <v>67</v>
      </c>
      <c r="AB8" s="114" t="s">
        <v>425</v>
      </c>
      <c r="AC8" s="114" t="s">
        <v>69</v>
      </c>
      <c r="AD8" s="114" t="s">
        <v>164</v>
      </c>
      <c r="AE8" s="114" t="s">
        <v>165</v>
      </c>
      <c r="AF8" s="114" t="s">
        <v>600</v>
      </c>
      <c r="AG8" s="114" t="s">
        <v>128</v>
      </c>
      <c r="AH8" s="114" t="s">
        <v>74</v>
      </c>
      <c r="AI8">
        <v>9</v>
      </c>
      <c r="AJ8" s="1">
        <v>45727</v>
      </c>
      <c r="AK8" s="50">
        <v>0.60416666666666663</v>
      </c>
      <c r="AL8" s="1"/>
      <c r="AM8" s="50"/>
      <c r="AN8" s="1">
        <v>45727</v>
      </c>
      <c r="AO8" s="50">
        <v>0.69039351851851849</v>
      </c>
      <c r="AP8">
        <v>2025</v>
      </c>
      <c r="AQ8">
        <v>11</v>
      </c>
      <c r="AR8">
        <v>3</v>
      </c>
      <c r="AS8">
        <v>11</v>
      </c>
      <c r="AT8">
        <v>70</v>
      </c>
      <c r="AU8" s="2">
        <v>45727.604166666664</v>
      </c>
      <c r="AV8">
        <v>123</v>
      </c>
      <c r="AW8" t="s">
        <v>596</v>
      </c>
      <c r="AX8" t="s">
        <v>601</v>
      </c>
      <c r="AY8" t="s">
        <v>602</v>
      </c>
      <c r="AZ8" t="s">
        <v>603</v>
      </c>
      <c r="BA8" t="s">
        <v>604</v>
      </c>
      <c r="BB8" t="s">
        <v>78</v>
      </c>
      <c r="BC8" s="114" t="s">
        <v>60</v>
      </c>
      <c r="BH8" s="172" t="s">
        <v>55</v>
      </c>
      <c r="BI8" s="161"/>
      <c r="BJ8" s="161">
        <v>1</v>
      </c>
      <c r="BK8" s="161">
        <v>1</v>
      </c>
      <c r="BL8" s="161"/>
      <c r="BM8" s="161"/>
      <c r="BN8"/>
      <c r="BQ8" s="172" t="s">
        <v>55</v>
      </c>
      <c r="BR8" s="161"/>
      <c r="BS8" s="161"/>
      <c r="BT8" s="161">
        <v>1</v>
      </c>
      <c r="BU8" s="161"/>
      <c r="BV8" s="161"/>
    </row>
    <row r="9" spans="1:74" x14ac:dyDescent="0.25">
      <c r="A9" s="114" t="s">
        <v>650</v>
      </c>
      <c r="B9" s="169">
        <v>45739</v>
      </c>
      <c r="C9" t="s">
        <v>301</v>
      </c>
      <c r="D9" s="168">
        <v>0.16666666666666666</v>
      </c>
      <c r="E9" s="168">
        <v>0.1736111111111111</v>
      </c>
      <c r="F9" s="114" t="s">
        <v>467</v>
      </c>
      <c r="G9" s="114" t="s">
        <v>736</v>
      </c>
      <c r="H9" t="s">
        <v>651</v>
      </c>
      <c r="I9" t="s">
        <v>652</v>
      </c>
      <c r="J9" t="s">
        <v>653</v>
      </c>
      <c r="K9" s="114" t="s">
        <v>60</v>
      </c>
      <c r="L9" s="114" t="s">
        <v>654</v>
      </c>
      <c r="M9" s="114" t="s">
        <v>61</v>
      </c>
      <c r="N9" s="114" t="s">
        <v>655</v>
      </c>
      <c r="O9" s="114" t="s">
        <v>258</v>
      </c>
      <c r="P9">
        <v>5</v>
      </c>
      <c r="Q9" s="114" t="s">
        <v>656</v>
      </c>
      <c r="T9" s="114" t="s">
        <v>657</v>
      </c>
      <c r="U9" s="114" t="s">
        <v>122</v>
      </c>
      <c r="V9" s="114" t="s">
        <v>658</v>
      </c>
      <c r="W9" s="114" t="s">
        <v>67</v>
      </c>
      <c r="AB9" s="114" t="s">
        <v>659</v>
      </c>
      <c r="AC9" s="114" t="s">
        <v>69</v>
      </c>
      <c r="AD9" s="114" t="s">
        <v>109</v>
      </c>
      <c r="AE9" s="114" t="s">
        <v>71</v>
      </c>
      <c r="AF9" s="114" t="s">
        <v>127</v>
      </c>
      <c r="AG9" s="114" t="s">
        <v>128</v>
      </c>
      <c r="AH9" s="114"/>
      <c r="AI9">
        <v>9</v>
      </c>
      <c r="AJ9" s="1">
        <v>45739</v>
      </c>
      <c r="AK9" s="50">
        <v>0.1736111111111111</v>
      </c>
      <c r="AL9" s="1">
        <v>45739</v>
      </c>
      <c r="AM9" s="50">
        <v>0.18055555555555555</v>
      </c>
      <c r="AN9" s="1">
        <v>45739</v>
      </c>
      <c r="AO9" s="50">
        <v>0.20511574074074074</v>
      </c>
      <c r="AP9">
        <v>2025</v>
      </c>
      <c r="AQ9">
        <v>13</v>
      </c>
      <c r="AR9">
        <v>5</v>
      </c>
      <c r="AS9">
        <v>23</v>
      </c>
      <c r="AT9">
        <v>82</v>
      </c>
      <c r="AU9" s="2">
        <v>45739.173611111109</v>
      </c>
      <c r="AV9">
        <v>24</v>
      </c>
      <c r="AW9" t="s">
        <v>656</v>
      </c>
      <c r="AX9" t="s">
        <v>660</v>
      </c>
      <c r="AY9" t="s">
        <v>661</v>
      </c>
      <c r="AZ9" t="s">
        <v>662</v>
      </c>
      <c r="BA9" t="s">
        <v>623</v>
      </c>
      <c r="BB9" t="s">
        <v>312</v>
      </c>
      <c r="BC9" s="114" t="s">
        <v>653</v>
      </c>
      <c r="BH9" s="172" t="s">
        <v>80</v>
      </c>
      <c r="BI9" s="161">
        <v>1</v>
      </c>
      <c r="BJ9" s="161">
        <v>1</v>
      </c>
      <c r="BK9" s="161"/>
      <c r="BL9" s="161">
        <v>1</v>
      </c>
      <c r="BM9" s="161">
        <v>1</v>
      </c>
      <c r="BN9"/>
      <c r="BQ9" s="172" t="s">
        <v>80</v>
      </c>
      <c r="BR9" s="161">
        <v>1</v>
      </c>
      <c r="BS9" s="161">
        <v>1</v>
      </c>
      <c r="BT9" s="161"/>
      <c r="BU9" s="161"/>
      <c r="BV9" s="161"/>
    </row>
    <row r="10" spans="1:74" x14ac:dyDescent="0.25">
      <c r="A10" s="114" t="s">
        <v>685</v>
      </c>
      <c r="B10" s="169">
        <v>45745</v>
      </c>
      <c r="C10" t="s">
        <v>301</v>
      </c>
      <c r="D10" s="168">
        <v>0.16666666666666666</v>
      </c>
      <c r="E10" s="168">
        <v>0.20515046296296297</v>
      </c>
      <c r="F10" s="114" t="s">
        <v>464</v>
      </c>
      <c r="G10" s="114" t="s">
        <v>736</v>
      </c>
      <c r="H10" t="s">
        <v>686</v>
      </c>
      <c r="I10" t="s">
        <v>687</v>
      </c>
      <c r="J10" t="s">
        <v>688</v>
      </c>
      <c r="K10" s="114" t="s">
        <v>183</v>
      </c>
      <c r="L10" s="114" t="s">
        <v>689</v>
      </c>
      <c r="M10" s="114" t="s">
        <v>61</v>
      </c>
      <c r="N10" s="114" t="s">
        <v>690</v>
      </c>
      <c r="O10" s="114" t="s">
        <v>281</v>
      </c>
      <c r="P10">
        <v>6</v>
      </c>
      <c r="Q10" s="114" t="s">
        <v>691</v>
      </c>
      <c r="T10" s="114" t="s">
        <v>692</v>
      </c>
      <c r="U10" s="114" t="s">
        <v>679</v>
      </c>
      <c r="V10" s="114" t="s">
        <v>680</v>
      </c>
      <c r="W10" s="114" t="s">
        <v>67</v>
      </c>
      <c r="AB10" s="114" t="s">
        <v>659</v>
      </c>
      <c r="AC10" s="114" t="s">
        <v>69</v>
      </c>
      <c r="AD10" s="114" t="s">
        <v>630</v>
      </c>
      <c r="AE10" s="114" t="s">
        <v>126</v>
      </c>
      <c r="AF10" s="114"/>
      <c r="AG10" s="114"/>
      <c r="AH10" s="114"/>
      <c r="AI10">
        <v>9</v>
      </c>
      <c r="AJ10" s="1">
        <v>45745</v>
      </c>
      <c r="AK10" s="50">
        <v>0.20515046296296297</v>
      </c>
      <c r="AL10" s="1"/>
      <c r="AM10" s="50"/>
      <c r="AN10" s="1">
        <v>45745</v>
      </c>
      <c r="AO10" s="50">
        <v>0.20931712962962962</v>
      </c>
      <c r="AP10">
        <v>2025</v>
      </c>
      <c r="AQ10">
        <v>13</v>
      </c>
      <c r="AR10">
        <v>5</v>
      </c>
      <c r="AS10">
        <v>29</v>
      </c>
      <c r="AT10">
        <v>88</v>
      </c>
      <c r="AU10" s="2">
        <v>45745.204861111109</v>
      </c>
      <c r="AV10">
        <v>15</v>
      </c>
      <c r="AW10" t="s">
        <v>691</v>
      </c>
      <c r="AX10" t="s">
        <v>693</v>
      </c>
      <c r="AY10" t="s">
        <v>694</v>
      </c>
      <c r="AZ10" t="s">
        <v>695</v>
      </c>
      <c r="BA10" t="s">
        <v>632</v>
      </c>
      <c r="BB10" t="s">
        <v>312</v>
      </c>
      <c r="BC10" s="114" t="s">
        <v>816</v>
      </c>
      <c r="BH10" s="172" t="s">
        <v>100</v>
      </c>
      <c r="BI10" s="161">
        <v>1</v>
      </c>
      <c r="BJ10" s="161"/>
      <c r="BK10" s="161"/>
      <c r="BL10" s="161">
        <v>1</v>
      </c>
      <c r="BM10" s="161"/>
      <c r="BN10"/>
      <c r="BQ10" s="172" t="s">
        <v>100</v>
      </c>
      <c r="BR10" s="161"/>
      <c r="BS10" s="161"/>
      <c r="BT10" s="161"/>
      <c r="BU10" s="161">
        <v>1</v>
      </c>
      <c r="BV10" s="161"/>
    </row>
    <row r="11" spans="1:74" x14ac:dyDescent="0.25">
      <c r="A11" s="114" t="s">
        <v>769</v>
      </c>
      <c r="B11" s="169">
        <v>45747</v>
      </c>
      <c r="C11" t="s">
        <v>80</v>
      </c>
      <c r="D11" s="168">
        <v>0.75</v>
      </c>
      <c r="E11" s="168">
        <v>0.77777777777777779</v>
      </c>
      <c r="F11" s="114" t="s">
        <v>459</v>
      </c>
      <c r="G11" s="114" t="s">
        <v>736</v>
      </c>
      <c r="H11" t="s">
        <v>770</v>
      </c>
      <c r="I11" t="s">
        <v>770</v>
      </c>
      <c r="J11" t="s">
        <v>771</v>
      </c>
      <c r="K11" s="114" t="s">
        <v>60</v>
      </c>
      <c r="L11" s="114" t="s">
        <v>85</v>
      </c>
      <c r="M11" s="114" t="s">
        <v>772</v>
      </c>
      <c r="N11" s="114" t="s">
        <v>773</v>
      </c>
      <c r="O11" s="114" t="s">
        <v>139</v>
      </c>
      <c r="P11">
        <v>7</v>
      </c>
      <c r="Q11" s="114" t="s">
        <v>774</v>
      </c>
      <c r="T11" s="114" t="s">
        <v>775</v>
      </c>
      <c r="U11" s="114" t="s">
        <v>776</v>
      </c>
      <c r="V11" s="114" t="s">
        <v>777</v>
      </c>
      <c r="W11" s="114" t="s">
        <v>67</v>
      </c>
      <c r="AB11" s="114" t="s">
        <v>484</v>
      </c>
      <c r="AC11" s="114" t="s">
        <v>69</v>
      </c>
      <c r="AD11" s="114" t="s">
        <v>778</v>
      </c>
      <c r="AE11" s="114" t="s">
        <v>93</v>
      </c>
      <c r="AF11" s="114"/>
      <c r="AG11" s="114"/>
      <c r="AH11" s="114"/>
      <c r="AI11">
        <v>9</v>
      </c>
      <c r="AJ11" s="1">
        <v>45747</v>
      </c>
      <c r="AK11" s="50">
        <v>0.77777777777777779</v>
      </c>
      <c r="AL11" s="1">
        <v>45747</v>
      </c>
      <c r="AM11" s="50">
        <v>0.91666666666666663</v>
      </c>
      <c r="AN11" s="1">
        <v>45747</v>
      </c>
      <c r="AO11" s="50">
        <v>0.93032407407407403</v>
      </c>
      <c r="AP11">
        <v>2025</v>
      </c>
      <c r="AQ11">
        <v>14</v>
      </c>
      <c r="AR11">
        <v>6</v>
      </c>
      <c r="AS11">
        <v>31</v>
      </c>
      <c r="AT11">
        <v>90</v>
      </c>
      <c r="AU11" s="2">
        <v>45747.777777777781</v>
      </c>
      <c r="AW11" t="s">
        <v>774</v>
      </c>
      <c r="AX11" t="s">
        <v>779</v>
      </c>
      <c r="AY11" t="s">
        <v>61</v>
      </c>
      <c r="AZ11" t="s">
        <v>780</v>
      </c>
      <c r="BA11" t="s">
        <v>632</v>
      </c>
      <c r="BB11" t="s">
        <v>98</v>
      </c>
      <c r="BC11" s="114" t="s">
        <v>771</v>
      </c>
      <c r="BH11"/>
      <c r="BI11"/>
      <c r="BJ11"/>
      <c r="BK11"/>
      <c r="BL11"/>
      <c r="BM11"/>
      <c r="BN11"/>
    </row>
    <row r="18" spans="60:67" ht="26.25" x14ac:dyDescent="0.4">
      <c r="BH18" s="108" t="s">
        <v>465</v>
      </c>
      <c r="BI18" s="108"/>
      <c r="BJ18" s="108"/>
      <c r="BK18" s="108"/>
      <c r="BL18" s="108"/>
      <c r="BM18" s="108"/>
      <c r="BN18" s="108"/>
      <c r="BO18" s="108"/>
    </row>
    <row r="19" spans="60:67" ht="18.75" x14ac:dyDescent="0.3">
      <c r="BH19" s="8" t="s">
        <v>458</v>
      </c>
      <c r="BI19" s="12" t="s">
        <v>467</v>
      </c>
      <c r="BJ19" s="12" t="s">
        <v>459</v>
      </c>
      <c r="BK19" s="12" t="s">
        <v>460</v>
      </c>
      <c r="BL19" s="12" t="s">
        <v>461</v>
      </c>
      <c r="BM19" s="8" t="s">
        <v>462</v>
      </c>
      <c r="BN19" s="8" t="s">
        <v>463</v>
      </c>
      <c r="BO19" s="8" t="s">
        <v>464</v>
      </c>
    </row>
    <row r="20" spans="60:67" ht="15.75" x14ac:dyDescent="0.25">
      <c r="BH20" s="9" t="s">
        <v>301</v>
      </c>
      <c r="BI20" s="10">
        <v>1</v>
      </c>
      <c r="BJ20" s="10"/>
      <c r="BK20" s="10"/>
      <c r="BL20" s="10"/>
      <c r="BM20" s="55"/>
      <c r="BN20" s="55"/>
      <c r="BO20" s="55">
        <v>1</v>
      </c>
    </row>
    <row r="21" spans="60:67" ht="15.75" x14ac:dyDescent="0.25">
      <c r="BH21" s="9" t="s">
        <v>55</v>
      </c>
      <c r="BI21" s="10"/>
      <c r="BJ21" s="10">
        <v>1</v>
      </c>
      <c r="BK21" s="10">
        <v>1</v>
      </c>
      <c r="BL21" s="10"/>
      <c r="BM21" s="55"/>
      <c r="BN21" s="55"/>
      <c r="BO21" s="55"/>
    </row>
    <row r="22" spans="60:67" ht="15.75" x14ac:dyDescent="0.25">
      <c r="BH22" s="9" t="s">
        <v>80</v>
      </c>
      <c r="BI22" s="10">
        <v>1</v>
      </c>
      <c r="BJ22" s="10">
        <v>1</v>
      </c>
      <c r="BK22" s="10"/>
      <c r="BL22" s="10"/>
      <c r="BM22" s="55">
        <v>1</v>
      </c>
      <c r="BN22" s="55"/>
      <c r="BO22" s="55">
        <v>1</v>
      </c>
    </row>
    <row r="23" spans="60:67" ht="15.75" x14ac:dyDescent="0.25">
      <c r="BH23" s="173" t="s">
        <v>100</v>
      </c>
      <c r="BI23" s="55">
        <v>1</v>
      </c>
      <c r="BJ23" s="55"/>
      <c r="BK23" s="55"/>
      <c r="BL23" s="55"/>
      <c r="BM23" s="55">
        <v>1</v>
      </c>
      <c r="BN23" s="55"/>
      <c r="BO23" s="55"/>
    </row>
    <row r="24" spans="60:67" x14ac:dyDescent="0.25">
      <c r="BH24"/>
      <c r="BI24"/>
      <c r="BJ24"/>
      <c r="BK24"/>
      <c r="BL24"/>
      <c r="BM24"/>
      <c r="BN24"/>
      <c r="BO24"/>
    </row>
    <row r="25" spans="60:67" x14ac:dyDescent="0.25">
      <c r="BH25"/>
      <c r="BI25"/>
      <c r="BJ25"/>
      <c r="BK25"/>
      <c r="BL25"/>
      <c r="BM25"/>
      <c r="BN25"/>
      <c r="BO25"/>
    </row>
    <row r="26" spans="60:67" ht="26.25" x14ac:dyDescent="0.4">
      <c r="BH26" s="108" t="s">
        <v>466</v>
      </c>
      <c r="BI26" s="108"/>
      <c r="BJ26" s="108"/>
      <c r="BK26" s="108"/>
      <c r="BL26" s="108"/>
      <c r="BM26" s="108"/>
      <c r="BN26" s="108"/>
      <c r="BO26" s="108"/>
    </row>
    <row r="27" spans="60:67" ht="18.75" x14ac:dyDescent="0.3">
      <c r="BH27" s="8" t="s">
        <v>458</v>
      </c>
      <c r="BI27" s="8" t="s">
        <v>467</v>
      </c>
      <c r="BJ27" s="8" t="s">
        <v>459</v>
      </c>
      <c r="BK27" s="8" t="s">
        <v>460</v>
      </c>
      <c r="BL27" s="8" t="s">
        <v>461</v>
      </c>
      <c r="BM27" s="8" t="s">
        <v>462</v>
      </c>
      <c r="BN27" s="8" t="s">
        <v>463</v>
      </c>
      <c r="BO27" s="8" t="s">
        <v>464</v>
      </c>
    </row>
    <row r="28" spans="60:67" ht="15.75" x14ac:dyDescent="0.25">
      <c r="BH28" s="9" t="s">
        <v>301</v>
      </c>
      <c r="BI28" s="10">
        <v>1</v>
      </c>
      <c r="BJ28" s="51"/>
      <c r="BK28" s="55"/>
      <c r="BL28" s="55"/>
      <c r="BM28" s="55"/>
      <c r="BN28" s="55"/>
      <c r="BO28" s="55">
        <v>1</v>
      </c>
    </row>
    <row r="29" spans="60:67" ht="15.75" x14ac:dyDescent="0.25">
      <c r="BH29" s="52" t="s">
        <v>55</v>
      </c>
      <c r="BI29" s="51"/>
      <c r="BJ29" s="51"/>
      <c r="BK29" s="55">
        <v>1</v>
      </c>
      <c r="BL29" s="55"/>
      <c r="BM29" s="55"/>
      <c r="BN29" s="55"/>
      <c r="BO29" s="55"/>
    </row>
    <row r="30" spans="60:67" ht="15.75" x14ac:dyDescent="0.25">
      <c r="BH30" s="116" t="s">
        <v>80</v>
      </c>
      <c r="BI30" s="55">
        <v>1</v>
      </c>
      <c r="BJ30" s="55">
        <v>1</v>
      </c>
      <c r="BK30" s="55"/>
      <c r="BL30" s="55"/>
      <c r="BM30" s="55"/>
      <c r="BN30" s="55"/>
      <c r="BO30" s="55"/>
    </row>
    <row r="31" spans="60:67" ht="15.75" x14ac:dyDescent="0.25">
      <c r="BH31" s="116" t="s">
        <v>100</v>
      </c>
      <c r="BI31" s="55"/>
      <c r="BJ31" s="55"/>
      <c r="BK31" s="55"/>
      <c r="BL31" s="55"/>
      <c r="BM31" s="55">
        <v>1</v>
      </c>
      <c r="BN31" s="55"/>
      <c r="BO31" s="55"/>
    </row>
  </sheetData>
  <mergeCells count="2">
    <mergeCell ref="BH18:BO18"/>
    <mergeCell ref="BH26:BO26"/>
  </mergeCells>
  <pageMargins left="0.7" right="0.7" top="0.75" bottom="0.75" header="0.3" footer="0.3"/>
  <pageSetup orientation="portrait" r:id="rId3"/>
  <tableParts count="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92AC3-B238-49ED-B842-A56B8E4EAF1B}">
  <sheetPr codeName="Sheet1">
    <tabColor theme="9" tint="0.79998168889431442"/>
  </sheetPr>
  <dimension ref="A1:BB8"/>
  <sheetViews>
    <sheetView workbookViewId="0">
      <selection activeCell="K5" sqref="K5"/>
    </sheetView>
  </sheetViews>
  <sheetFormatPr defaultRowHeight="15" x14ac:dyDescent="0.25"/>
  <cols>
    <col min="1" max="1" width="15.140625" bestFit="1" customWidth="1"/>
    <col min="2" max="2" width="12" style="4" bestFit="1" customWidth="1"/>
    <col min="3" max="3" width="23.42578125" style="4" bestFit="1" customWidth="1"/>
    <col min="4" max="4" width="14.42578125" bestFit="1" customWidth="1"/>
    <col min="5" max="5" width="11.85546875" bestFit="1" customWidth="1"/>
    <col min="6" max="6" width="12.28515625" bestFit="1" customWidth="1"/>
    <col min="7" max="7" width="15" bestFit="1" customWidth="1"/>
    <col min="8" max="9" width="37.140625" bestFit="1" customWidth="1"/>
    <col min="10" max="10" width="17.42578125" bestFit="1" customWidth="1"/>
    <col min="11" max="11" width="20.140625" bestFit="1" customWidth="1"/>
    <col min="12" max="13" width="17.42578125" bestFit="1" customWidth="1"/>
    <col min="14" max="14" width="58.140625" bestFit="1" customWidth="1"/>
    <col min="15" max="15" width="7.140625" bestFit="1" customWidth="1"/>
    <col min="16" max="16" width="7.7109375" bestFit="1" customWidth="1"/>
    <col min="17" max="17" width="81.140625" bestFit="1" customWidth="1"/>
    <col min="18" max="18" width="19.7109375" bestFit="1" customWidth="1"/>
    <col min="19" max="19" width="21.140625" bestFit="1" customWidth="1"/>
    <col min="20" max="20" width="15.5703125" bestFit="1" customWidth="1"/>
    <col min="21" max="21" width="9.28515625" bestFit="1" customWidth="1"/>
    <col min="22" max="22" width="10.140625" bestFit="1" customWidth="1"/>
    <col min="23" max="23" width="13" bestFit="1" customWidth="1"/>
    <col min="24" max="24" width="15.5703125" bestFit="1" customWidth="1"/>
    <col min="25" max="25" width="13" bestFit="1" customWidth="1"/>
    <col min="26" max="26" width="9.28515625" bestFit="1" customWidth="1"/>
    <col min="27" max="27" width="10.140625" bestFit="1" customWidth="1"/>
    <col min="28" max="28" width="14.7109375" bestFit="1" customWidth="1"/>
    <col min="29" max="29" width="15.7109375" bestFit="1" customWidth="1"/>
    <col min="30" max="30" width="24.85546875" bestFit="1" customWidth="1"/>
    <col min="31" max="31" width="8.7109375" bestFit="1" customWidth="1"/>
    <col min="32" max="32" width="26.85546875" bestFit="1" customWidth="1"/>
    <col min="33" max="34" width="29.140625" bestFit="1" customWidth="1"/>
    <col min="35" max="35" width="25.140625" bestFit="1" customWidth="1"/>
    <col min="36" max="36" width="15.140625" bestFit="1" customWidth="1"/>
    <col min="37" max="37" width="15.5703125" bestFit="1" customWidth="1"/>
    <col min="38" max="38" width="24.5703125" bestFit="1" customWidth="1"/>
    <col min="39" max="39" width="24.85546875" bestFit="1" customWidth="1"/>
    <col min="40" max="40" width="13.85546875" bestFit="1" customWidth="1"/>
    <col min="41" max="41" width="14.140625" bestFit="1" customWidth="1"/>
    <col min="42" max="42" width="7.28515625" bestFit="1" customWidth="1"/>
    <col min="43" max="43" width="15.42578125" bestFit="1" customWidth="1"/>
    <col min="44" max="44" width="17.42578125" bestFit="1" customWidth="1"/>
    <col min="45" max="45" width="6.5703125" bestFit="1" customWidth="1"/>
    <col min="46" max="46" width="13.28515625" bestFit="1" customWidth="1"/>
    <col min="47" max="47" width="22.7109375" bestFit="1" customWidth="1"/>
    <col min="48" max="48" width="6" bestFit="1" customWidth="1"/>
    <col min="49" max="49" width="81.140625" bestFit="1" customWidth="1"/>
    <col min="50" max="50" width="32.7109375" bestFit="1" customWidth="1"/>
    <col min="51" max="52" width="81.140625" bestFit="1" customWidth="1"/>
    <col min="53" max="53" width="16.5703125" bestFit="1" customWidth="1"/>
    <col min="54" max="54" width="24.85546875" bestFit="1" customWidth="1"/>
    <col min="55" max="55" width="27.5703125" bestFit="1" customWidth="1"/>
    <col min="56" max="56" width="16.85546875" bestFit="1" customWidth="1"/>
    <col min="57" max="57" width="30.42578125" bestFit="1" customWidth="1"/>
    <col min="58" max="58" width="21.140625" bestFit="1" customWidth="1"/>
    <col min="59" max="59" width="15.5703125" bestFit="1" customWidth="1"/>
    <col min="60" max="60" width="20.140625" bestFit="1" customWidth="1"/>
    <col min="61" max="61" width="14.42578125" bestFit="1" customWidth="1"/>
    <col min="62" max="62" width="25.42578125" bestFit="1" customWidth="1"/>
    <col min="63" max="63" width="19.140625" bestFit="1" customWidth="1"/>
    <col min="64" max="64" width="32" bestFit="1" customWidth="1"/>
    <col min="65" max="65" width="24.85546875" bestFit="1" customWidth="1"/>
  </cols>
  <sheetData>
    <row r="1" spans="1:54" x14ac:dyDescent="0.25">
      <c r="A1" t="s">
        <v>0</v>
      </c>
      <c r="B1" t="s">
        <v>1</v>
      </c>
      <c r="C1" t="s">
        <v>2</v>
      </c>
      <c r="D1" s="4" t="s">
        <v>3</v>
      </c>
      <c r="E1" s="4"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row>
    <row r="2" spans="1:54" x14ac:dyDescent="0.25">
      <c r="A2" t="s">
        <v>54</v>
      </c>
      <c r="B2" s="1">
        <v>45663</v>
      </c>
      <c r="C2" t="s">
        <v>55</v>
      </c>
      <c r="D2" s="4">
        <v>0.625</v>
      </c>
      <c r="E2" s="4">
        <v>0.64583333333333337</v>
      </c>
      <c r="F2" t="s">
        <v>56</v>
      </c>
      <c r="G2" t="s">
        <v>57</v>
      </c>
      <c r="H2" t="s">
        <v>58</v>
      </c>
      <c r="I2" t="s">
        <v>59</v>
      </c>
      <c r="J2" t="s">
        <v>60</v>
      </c>
      <c r="K2" t="s">
        <v>60</v>
      </c>
      <c r="L2" t="s">
        <v>61</v>
      </c>
      <c r="M2" t="s">
        <v>61</v>
      </c>
      <c r="N2" t="s">
        <v>62</v>
      </c>
      <c r="P2">
        <v>7</v>
      </c>
      <c r="Q2" t="s">
        <v>63</v>
      </c>
      <c r="T2" t="s">
        <v>64</v>
      </c>
      <c r="U2" t="s">
        <v>65</v>
      </c>
      <c r="V2" t="s">
        <v>66</v>
      </c>
      <c r="W2" t="s">
        <v>67</v>
      </c>
      <c r="AB2" t="s">
        <v>68</v>
      </c>
      <c r="AC2" t="s">
        <v>69</v>
      </c>
      <c r="AD2" t="s">
        <v>70</v>
      </c>
      <c r="AE2" t="s">
        <v>71</v>
      </c>
      <c r="AF2" t="s">
        <v>72</v>
      </c>
      <c r="AG2" t="s">
        <v>73</v>
      </c>
      <c r="AH2" t="s">
        <v>74</v>
      </c>
      <c r="AI2">
        <v>9</v>
      </c>
      <c r="AJ2" s="1">
        <v>45663</v>
      </c>
      <c r="AK2" s="2">
        <v>0.64583333333333337</v>
      </c>
      <c r="AL2" s="1">
        <v>45667</v>
      </c>
      <c r="AM2" s="2"/>
      <c r="AN2" s="1">
        <v>45667</v>
      </c>
      <c r="AO2" s="2">
        <v>0.82629629629629631</v>
      </c>
      <c r="AP2">
        <v>2025</v>
      </c>
      <c r="AQ2">
        <v>2</v>
      </c>
      <c r="AR2">
        <v>2</v>
      </c>
      <c r="AS2">
        <v>6</v>
      </c>
      <c r="AT2">
        <v>6</v>
      </c>
      <c r="AU2" s="2">
        <v>45663.645833333336</v>
      </c>
      <c r="AV2">
        <v>90</v>
      </c>
      <c r="AW2" t="s">
        <v>63</v>
      </c>
      <c r="AX2" t="s">
        <v>75</v>
      </c>
      <c r="AY2" t="s">
        <v>76</v>
      </c>
      <c r="AZ2" t="s">
        <v>77</v>
      </c>
      <c r="BA2" t="s">
        <v>587</v>
      </c>
      <c r="BB2" t="s">
        <v>78</v>
      </c>
    </row>
    <row r="3" spans="1:54" x14ac:dyDescent="0.25">
      <c r="A3" t="s">
        <v>79</v>
      </c>
      <c r="B3" s="1">
        <v>45682</v>
      </c>
      <c r="C3" t="s">
        <v>80</v>
      </c>
      <c r="D3" s="4">
        <v>0.75</v>
      </c>
      <c r="E3" s="4">
        <v>0.76875000000000004</v>
      </c>
      <c r="F3" t="s">
        <v>81</v>
      </c>
      <c r="G3" t="s">
        <v>57</v>
      </c>
      <c r="H3" t="s">
        <v>82</v>
      </c>
      <c r="I3" t="s">
        <v>83</v>
      </c>
      <c r="J3" t="s">
        <v>60</v>
      </c>
      <c r="K3" t="s">
        <v>84</v>
      </c>
      <c r="L3" t="s">
        <v>85</v>
      </c>
      <c r="M3" t="s">
        <v>61</v>
      </c>
      <c r="N3" t="s">
        <v>86</v>
      </c>
      <c r="O3" t="s">
        <v>87</v>
      </c>
      <c r="P3">
        <v>8</v>
      </c>
      <c r="Q3" t="s">
        <v>88</v>
      </c>
      <c r="T3" t="s">
        <v>89</v>
      </c>
      <c r="U3" t="s">
        <v>65</v>
      </c>
      <c r="V3" t="s">
        <v>90</v>
      </c>
      <c r="W3" t="s">
        <v>67</v>
      </c>
      <c r="AB3" t="s">
        <v>91</v>
      </c>
      <c r="AC3" t="s">
        <v>69</v>
      </c>
      <c r="AD3" t="s">
        <v>92</v>
      </c>
      <c r="AE3" t="s">
        <v>93</v>
      </c>
      <c r="AF3" t="s">
        <v>94</v>
      </c>
      <c r="AG3" t="s">
        <v>95</v>
      </c>
      <c r="AH3" t="s">
        <v>74</v>
      </c>
      <c r="AI3">
        <v>9</v>
      </c>
      <c r="AJ3" s="1">
        <v>45682</v>
      </c>
      <c r="AK3" s="2">
        <v>0.76875000000000004</v>
      </c>
      <c r="AL3" s="1"/>
      <c r="AM3" s="2"/>
      <c r="AN3" s="1">
        <v>45683</v>
      </c>
      <c r="AO3" s="2">
        <v>0.44056712962962963</v>
      </c>
      <c r="AP3">
        <v>2025</v>
      </c>
      <c r="AQ3">
        <v>4</v>
      </c>
      <c r="AR3">
        <v>4</v>
      </c>
      <c r="AS3">
        <v>25</v>
      </c>
      <c r="AT3">
        <v>25</v>
      </c>
      <c r="AU3" s="2">
        <v>45682.768750000003</v>
      </c>
      <c r="AV3">
        <v>206</v>
      </c>
      <c r="AW3" t="s">
        <v>88</v>
      </c>
      <c r="AX3" t="s">
        <v>96</v>
      </c>
      <c r="AY3" t="s">
        <v>97</v>
      </c>
      <c r="AZ3" t="s">
        <v>61</v>
      </c>
      <c r="BA3" t="s">
        <v>584</v>
      </c>
      <c r="BB3" t="s">
        <v>98</v>
      </c>
    </row>
    <row r="4" spans="1:54" x14ac:dyDescent="0.25">
      <c r="A4" t="s">
        <v>99</v>
      </c>
      <c r="B4" s="1">
        <v>45683</v>
      </c>
      <c r="C4" t="s">
        <v>100</v>
      </c>
      <c r="D4" s="4">
        <v>0.83333333333333337</v>
      </c>
      <c r="E4" s="4">
        <v>0.84027777777777779</v>
      </c>
      <c r="F4" t="s">
        <v>101</v>
      </c>
      <c r="G4" t="s">
        <v>57</v>
      </c>
      <c r="H4" t="s">
        <v>102</v>
      </c>
      <c r="I4" t="s">
        <v>103</v>
      </c>
      <c r="J4" t="s">
        <v>60</v>
      </c>
      <c r="K4" t="s">
        <v>84</v>
      </c>
      <c r="L4" t="s">
        <v>85</v>
      </c>
      <c r="M4" t="s">
        <v>61</v>
      </c>
      <c r="N4" t="s">
        <v>104</v>
      </c>
      <c r="O4" t="s">
        <v>105</v>
      </c>
      <c r="P4">
        <v>9</v>
      </c>
      <c r="Q4" t="s">
        <v>106</v>
      </c>
      <c r="T4" t="s">
        <v>107</v>
      </c>
      <c r="U4" t="s">
        <v>65</v>
      </c>
      <c r="V4" t="s">
        <v>108</v>
      </c>
      <c r="W4" t="s">
        <v>67</v>
      </c>
      <c r="AB4" t="s">
        <v>68</v>
      </c>
      <c r="AC4" t="s">
        <v>69</v>
      </c>
      <c r="AD4" t="s">
        <v>109</v>
      </c>
      <c r="AE4" t="s">
        <v>71</v>
      </c>
      <c r="AF4" t="s">
        <v>110</v>
      </c>
      <c r="AG4" t="s">
        <v>73</v>
      </c>
      <c r="AH4" t="s">
        <v>74</v>
      </c>
      <c r="AI4">
        <v>9</v>
      </c>
      <c r="AJ4" s="1">
        <v>45683</v>
      </c>
      <c r="AK4" s="2">
        <v>0.84027777777777779</v>
      </c>
      <c r="AL4" s="1">
        <v>45683</v>
      </c>
      <c r="AM4" s="2">
        <v>0.84652777777777777</v>
      </c>
      <c r="AN4" s="1">
        <v>45683</v>
      </c>
      <c r="AO4" s="2">
        <v>0.85009259259259262</v>
      </c>
      <c r="AP4">
        <v>2025</v>
      </c>
      <c r="AQ4">
        <v>5</v>
      </c>
      <c r="AR4">
        <v>5</v>
      </c>
      <c r="AS4">
        <v>26</v>
      </c>
      <c r="AT4">
        <v>26</v>
      </c>
      <c r="AU4" s="2">
        <v>45683.840277777781</v>
      </c>
      <c r="AV4">
        <v>5</v>
      </c>
      <c r="AW4" t="s">
        <v>106</v>
      </c>
      <c r="AX4" t="s">
        <v>111</v>
      </c>
      <c r="AY4" t="s">
        <v>61</v>
      </c>
      <c r="AZ4" t="s">
        <v>112</v>
      </c>
      <c r="BA4" t="s">
        <v>584</v>
      </c>
      <c r="BB4" t="s">
        <v>113</v>
      </c>
    </row>
    <row r="5" spans="1:54" x14ac:dyDescent="0.25">
      <c r="A5" t="s">
        <v>114</v>
      </c>
      <c r="B5" s="1">
        <v>45701</v>
      </c>
      <c r="C5" t="s">
        <v>80</v>
      </c>
      <c r="D5" s="4">
        <v>0.66666666666666663</v>
      </c>
      <c r="E5" s="4">
        <v>0.66666666666666663</v>
      </c>
      <c r="F5" t="s">
        <v>115</v>
      </c>
      <c r="G5" t="s">
        <v>116</v>
      </c>
      <c r="H5" t="s">
        <v>117</v>
      </c>
      <c r="I5" t="s">
        <v>117</v>
      </c>
      <c r="J5" t="s">
        <v>60</v>
      </c>
      <c r="K5" t="s">
        <v>60</v>
      </c>
      <c r="L5" t="s">
        <v>61</v>
      </c>
      <c r="M5" t="s">
        <v>61</v>
      </c>
      <c r="N5" t="s">
        <v>118</v>
      </c>
      <c r="O5" t="s">
        <v>119</v>
      </c>
      <c r="P5">
        <v>6</v>
      </c>
      <c r="Q5" t="s">
        <v>120</v>
      </c>
      <c r="T5" t="s">
        <v>121</v>
      </c>
      <c r="U5" t="s">
        <v>122</v>
      </c>
      <c r="V5" t="s">
        <v>123</v>
      </c>
      <c r="W5" t="s">
        <v>67</v>
      </c>
      <c r="AB5" t="s">
        <v>124</v>
      </c>
      <c r="AC5" t="s">
        <v>69</v>
      </c>
      <c r="AD5" t="s">
        <v>125</v>
      </c>
      <c r="AE5" t="s">
        <v>126</v>
      </c>
      <c r="AF5" t="s">
        <v>127</v>
      </c>
      <c r="AG5" t="s">
        <v>128</v>
      </c>
      <c r="AH5" t="s">
        <v>74</v>
      </c>
      <c r="AI5">
        <v>9</v>
      </c>
      <c r="AJ5" s="1">
        <v>45701</v>
      </c>
      <c r="AK5" s="2">
        <v>0.66666666666666663</v>
      </c>
      <c r="AL5" s="1"/>
      <c r="AM5" s="2"/>
      <c r="AN5" s="1">
        <v>45702</v>
      </c>
      <c r="AO5" s="2">
        <v>0.29906250000000001</v>
      </c>
      <c r="AP5">
        <v>2025</v>
      </c>
      <c r="AQ5">
        <v>7</v>
      </c>
      <c r="AR5">
        <v>3</v>
      </c>
      <c r="AS5">
        <v>13</v>
      </c>
      <c r="AT5">
        <v>44</v>
      </c>
      <c r="AU5" s="2">
        <v>45701.666666666664</v>
      </c>
      <c r="AW5" t="s">
        <v>120</v>
      </c>
      <c r="AX5" t="s">
        <v>129</v>
      </c>
      <c r="AY5" t="s">
        <v>130</v>
      </c>
      <c r="AZ5" t="s">
        <v>131</v>
      </c>
      <c r="BA5" t="s">
        <v>581</v>
      </c>
      <c r="BB5" t="s">
        <v>98</v>
      </c>
    </row>
    <row r="6" spans="1:54" x14ac:dyDescent="0.25">
      <c r="A6" t="s">
        <v>476</v>
      </c>
      <c r="B6" s="1">
        <v>45722</v>
      </c>
      <c r="C6" t="s">
        <v>100</v>
      </c>
      <c r="D6" s="4">
        <v>0.91666666666666663</v>
      </c>
      <c r="E6" s="4">
        <v>0.94149305555555551</v>
      </c>
      <c r="F6" t="s">
        <v>115</v>
      </c>
      <c r="G6" t="s">
        <v>477</v>
      </c>
      <c r="H6" t="s">
        <v>478</v>
      </c>
      <c r="I6" t="s">
        <v>479</v>
      </c>
      <c r="J6" t="s">
        <v>60</v>
      </c>
      <c r="K6" t="s">
        <v>60</v>
      </c>
      <c r="L6" t="s">
        <v>61</v>
      </c>
      <c r="M6" t="s">
        <v>61</v>
      </c>
      <c r="N6" t="s">
        <v>480</v>
      </c>
      <c r="O6" t="s">
        <v>87</v>
      </c>
      <c r="P6">
        <v>8</v>
      </c>
      <c r="Q6" t="s">
        <v>481</v>
      </c>
      <c r="T6" t="s">
        <v>482</v>
      </c>
      <c r="U6" t="s">
        <v>122</v>
      </c>
      <c r="V6" t="s">
        <v>483</v>
      </c>
      <c r="W6" t="s">
        <v>67</v>
      </c>
      <c r="AB6" t="s">
        <v>484</v>
      </c>
      <c r="AC6" t="s">
        <v>69</v>
      </c>
      <c r="AD6" t="s">
        <v>70</v>
      </c>
      <c r="AE6" t="s">
        <v>71</v>
      </c>
      <c r="AF6" t="s">
        <v>166</v>
      </c>
      <c r="AG6" t="s">
        <v>128</v>
      </c>
      <c r="AI6">
        <v>9</v>
      </c>
      <c r="AJ6" s="1">
        <v>45722</v>
      </c>
      <c r="AK6" s="2">
        <v>0.94149305555555551</v>
      </c>
      <c r="AL6" s="1"/>
      <c r="AM6" s="2"/>
      <c r="AN6" s="1">
        <v>45722</v>
      </c>
      <c r="AO6" s="2">
        <v>0.94149305555555551</v>
      </c>
      <c r="AP6">
        <v>2025</v>
      </c>
      <c r="AQ6">
        <v>10</v>
      </c>
      <c r="AR6">
        <v>2</v>
      </c>
      <c r="AS6">
        <v>6</v>
      </c>
      <c r="AT6">
        <v>65</v>
      </c>
      <c r="AU6" s="2">
        <v>45722.940972222219</v>
      </c>
      <c r="AV6">
        <v>216</v>
      </c>
      <c r="AW6" t="s">
        <v>481</v>
      </c>
      <c r="AX6" t="s">
        <v>485</v>
      </c>
      <c r="AY6" t="s">
        <v>486</v>
      </c>
      <c r="AZ6" t="s">
        <v>487</v>
      </c>
      <c r="BA6" t="s">
        <v>578</v>
      </c>
      <c r="BB6" t="s">
        <v>113</v>
      </c>
    </row>
    <row r="7" spans="1:54" x14ac:dyDescent="0.25">
      <c r="A7" t="s">
        <v>488</v>
      </c>
      <c r="B7" s="1">
        <v>45725</v>
      </c>
      <c r="C7" t="s">
        <v>80</v>
      </c>
      <c r="D7" s="4">
        <v>0.79166666666666663</v>
      </c>
      <c r="E7" s="4">
        <v>0.8125</v>
      </c>
      <c r="F7" t="s">
        <v>101</v>
      </c>
      <c r="G7" t="s">
        <v>477</v>
      </c>
      <c r="H7" t="s">
        <v>489</v>
      </c>
      <c r="I7" t="s">
        <v>490</v>
      </c>
      <c r="J7" t="s">
        <v>60</v>
      </c>
      <c r="K7" t="s">
        <v>60</v>
      </c>
      <c r="L7" t="s">
        <v>61</v>
      </c>
      <c r="M7" t="s">
        <v>61</v>
      </c>
      <c r="N7" t="s">
        <v>491</v>
      </c>
      <c r="O7" t="s">
        <v>139</v>
      </c>
      <c r="P7">
        <v>7</v>
      </c>
      <c r="Q7" t="s">
        <v>492</v>
      </c>
      <c r="T7" t="s">
        <v>493</v>
      </c>
      <c r="U7" t="s">
        <v>494</v>
      </c>
      <c r="V7" t="s">
        <v>495</v>
      </c>
      <c r="W7" t="s">
        <v>67</v>
      </c>
      <c r="AB7" t="s">
        <v>163</v>
      </c>
      <c r="AC7" t="s">
        <v>69</v>
      </c>
      <c r="AD7" t="s">
        <v>496</v>
      </c>
      <c r="AE7" t="s">
        <v>359</v>
      </c>
      <c r="AI7">
        <v>9</v>
      </c>
      <c r="AJ7" s="1">
        <v>45725</v>
      </c>
      <c r="AK7" s="2">
        <v>0.8125</v>
      </c>
      <c r="AL7" s="1">
        <v>45726</v>
      </c>
      <c r="AM7" s="2">
        <v>0.35416666666666669</v>
      </c>
      <c r="AN7" s="1">
        <v>45726</v>
      </c>
      <c r="AO7" s="2">
        <v>0.37046296296296294</v>
      </c>
      <c r="AP7">
        <v>2025</v>
      </c>
      <c r="AQ7">
        <v>11</v>
      </c>
      <c r="AR7">
        <v>3</v>
      </c>
      <c r="AS7">
        <v>9</v>
      </c>
      <c r="AT7">
        <v>68</v>
      </c>
      <c r="AU7" s="2">
        <v>45725.8125</v>
      </c>
      <c r="AV7">
        <v>282</v>
      </c>
      <c r="AW7" t="s">
        <v>492</v>
      </c>
      <c r="AX7" t="s">
        <v>497</v>
      </c>
      <c r="AY7" t="s">
        <v>498</v>
      </c>
      <c r="AZ7" t="s">
        <v>499</v>
      </c>
      <c r="BA7" t="s">
        <v>578</v>
      </c>
      <c r="BB7" t="s">
        <v>98</v>
      </c>
    </row>
    <row r="8" spans="1:54" x14ac:dyDescent="0.25">
      <c r="A8" t="s">
        <v>592</v>
      </c>
      <c r="B8" s="1">
        <v>45727</v>
      </c>
      <c r="C8" t="s">
        <v>55</v>
      </c>
      <c r="D8" s="4">
        <v>0.58333333333333337</v>
      </c>
      <c r="E8" s="4">
        <v>0.60416666666666663</v>
      </c>
      <c r="F8" t="s">
        <v>192</v>
      </c>
      <c r="G8" t="s">
        <v>477</v>
      </c>
      <c r="H8" t="s">
        <v>593</v>
      </c>
      <c r="I8" t="s">
        <v>594</v>
      </c>
      <c r="J8" t="s">
        <v>60</v>
      </c>
      <c r="K8" t="s">
        <v>60</v>
      </c>
      <c r="L8" t="s">
        <v>61</v>
      </c>
      <c r="M8" t="s">
        <v>61</v>
      </c>
      <c r="N8" t="s">
        <v>595</v>
      </c>
      <c r="O8" t="s">
        <v>87</v>
      </c>
      <c r="P8">
        <v>8</v>
      </c>
      <c r="Q8" t="s">
        <v>596</v>
      </c>
      <c r="T8" t="s">
        <v>597</v>
      </c>
      <c r="U8" t="s">
        <v>598</v>
      </c>
      <c r="V8" t="s">
        <v>599</v>
      </c>
      <c r="W8" t="s">
        <v>67</v>
      </c>
      <c r="AB8" t="s">
        <v>425</v>
      </c>
      <c r="AC8" t="s">
        <v>69</v>
      </c>
      <c r="AD8" t="s">
        <v>164</v>
      </c>
      <c r="AE8" t="s">
        <v>165</v>
      </c>
      <c r="AF8" t="s">
        <v>600</v>
      </c>
      <c r="AG8" t="s">
        <v>128</v>
      </c>
      <c r="AH8" t="s">
        <v>74</v>
      </c>
      <c r="AI8">
        <v>9</v>
      </c>
      <c r="AJ8" s="1">
        <v>45727</v>
      </c>
      <c r="AK8" s="2">
        <v>0.60416666666666663</v>
      </c>
      <c r="AL8" s="1"/>
      <c r="AM8" s="2"/>
      <c r="AN8" s="1">
        <v>45727</v>
      </c>
      <c r="AO8" s="2">
        <v>0.69039351851851849</v>
      </c>
      <c r="AP8">
        <v>2025</v>
      </c>
      <c r="AQ8">
        <v>11</v>
      </c>
      <c r="AR8">
        <v>3</v>
      </c>
      <c r="AS8">
        <v>11</v>
      </c>
      <c r="AT8">
        <v>70</v>
      </c>
      <c r="AU8" s="2">
        <v>45727.604166666664</v>
      </c>
      <c r="AV8">
        <v>123</v>
      </c>
      <c r="AW8" t="s">
        <v>596</v>
      </c>
      <c r="AX8" t="s">
        <v>601</v>
      </c>
      <c r="AY8" t="s">
        <v>602</v>
      </c>
      <c r="AZ8" t="s">
        <v>603</v>
      </c>
      <c r="BA8" t="s">
        <v>604</v>
      </c>
      <c r="BB8" t="s">
        <v>78</v>
      </c>
    </row>
  </sheetData>
  <phoneticPr fontId="16"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DA41-F9EC-43B2-8C51-2F91C7CD607C}">
  <sheetPr>
    <tabColor theme="9" tint="-0.499984740745262"/>
  </sheetPr>
  <dimension ref="A1:AZ8"/>
  <sheetViews>
    <sheetView workbookViewId="0">
      <selection activeCell="E35" sqref="E35"/>
    </sheetView>
  </sheetViews>
  <sheetFormatPr defaultRowHeight="15" x14ac:dyDescent="0.25"/>
  <cols>
    <col min="1" max="1" width="15.140625" bestFit="1" customWidth="1"/>
    <col min="2" max="2" width="12" bestFit="1" customWidth="1"/>
    <col min="3" max="3" width="23.42578125" bestFit="1" customWidth="1"/>
    <col min="4" max="4" width="14.42578125" bestFit="1" customWidth="1"/>
    <col min="5" max="5" width="11.85546875" bestFit="1" customWidth="1"/>
    <col min="6" max="6" width="12.28515625" bestFit="1" customWidth="1"/>
    <col min="7" max="7" width="15" bestFit="1" customWidth="1"/>
    <col min="8" max="9" width="37.140625" bestFit="1" customWidth="1"/>
    <col min="10" max="10" width="20.140625" bestFit="1" customWidth="1"/>
    <col min="11" max="11" width="58.140625" bestFit="1" customWidth="1"/>
    <col min="12" max="12" width="7.140625" bestFit="1" customWidth="1"/>
    <col min="13" max="13" width="7.7109375" bestFit="1" customWidth="1"/>
    <col min="14" max="14" width="81.140625" bestFit="1" customWidth="1"/>
    <col min="15" max="15" width="23.28515625" bestFit="1" customWidth="1"/>
    <col min="16" max="16" width="15.5703125" bestFit="1" customWidth="1"/>
    <col min="17" max="17" width="9.28515625" bestFit="1" customWidth="1"/>
    <col min="18" max="18" width="10.140625" bestFit="1" customWidth="1"/>
    <col min="19" max="19" width="13" bestFit="1" customWidth="1"/>
    <col min="20" max="20" width="15.5703125" bestFit="1" customWidth="1"/>
    <col min="21" max="21" width="13" bestFit="1" customWidth="1"/>
    <col min="22" max="22" width="9.28515625" bestFit="1" customWidth="1"/>
    <col min="23" max="23" width="10.140625" bestFit="1" customWidth="1"/>
    <col min="24" max="24" width="14.7109375" bestFit="1" customWidth="1"/>
    <col min="25" max="25" width="15.7109375" bestFit="1" customWidth="1"/>
    <col min="26" max="26" width="24.85546875" bestFit="1" customWidth="1"/>
    <col min="27" max="27" width="8.7109375" bestFit="1" customWidth="1"/>
    <col min="28" max="28" width="26.85546875" bestFit="1" customWidth="1"/>
    <col min="29" max="30" width="29.140625" bestFit="1" customWidth="1"/>
    <col min="31" max="31" width="25.140625" bestFit="1" customWidth="1"/>
    <col min="32" max="32" width="7.28515625" bestFit="1" customWidth="1"/>
    <col min="33" max="33" width="15.42578125" bestFit="1" customWidth="1"/>
    <col min="34" max="34" width="17.42578125" bestFit="1" customWidth="1"/>
    <col min="35" max="35" width="6.5703125" bestFit="1" customWidth="1"/>
    <col min="36" max="36" width="13.28515625" bestFit="1" customWidth="1"/>
    <col min="37" max="37" width="22.7109375" bestFit="1" customWidth="1"/>
    <col min="38" max="38" width="6" bestFit="1" customWidth="1"/>
    <col min="39" max="41" width="81.140625" bestFit="1" customWidth="1"/>
    <col min="42" max="42" width="16.5703125" bestFit="1" customWidth="1"/>
    <col min="43" max="43" width="24.85546875" bestFit="1" customWidth="1"/>
    <col min="44" max="44" width="39.140625" bestFit="1" customWidth="1"/>
    <col min="45" max="45" width="33.5703125" bestFit="1" customWidth="1"/>
    <col min="46" max="46" width="38.140625" bestFit="1" customWidth="1"/>
    <col min="47" max="47" width="81.140625" bestFit="1" customWidth="1"/>
    <col min="48" max="48" width="46.42578125" bestFit="1" customWidth="1"/>
    <col min="49" max="49" width="32.5703125" bestFit="1" customWidth="1"/>
    <col min="50" max="50" width="43.42578125" bestFit="1" customWidth="1"/>
    <col min="51" max="51" width="37.28515625" bestFit="1" customWidth="1"/>
    <col min="52" max="52" width="39" bestFit="1" customWidth="1"/>
  </cols>
  <sheetData>
    <row r="1" spans="1:52" x14ac:dyDescent="0.25">
      <c r="A1" t="s">
        <v>0</v>
      </c>
      <c r="B1" t="s">
        <v>1</v>
      </c>
      <c r="C1" t="s">
        <v>2</v>
      </c>
      <c r="D1" t="s">
        <v>3</v>
      </c>
      <c r="E1" t="s">
        <v>4</v>
      </c>
      <c r="F1" t="s">
        <v>5</v>
      </c>
      <c r="G1" t="s">
        <v>6</v>
      </c>
      <c r="H1" t="s">
        <v>7</v>
      </c>
      <c r="I1" t="s">
        <v>8</v>
      </c>
      <c r="J1" t="s">
        <v>10</v>
      </c>
      <c r="K1" t="s">
        <v>13</v>
      </c>
      <c r="L1" t="s">
        <v>14</v>
      </c>
      <c r="M1" t="s">
        <v>15</v>
      </c>
      <c r="N1" t="s">
        <v>16</v>
      </c>
      <c r="O1" t="s">
        <v>49</v>
      </c>
      <c r="P1" t="s">
        <v>19</v>
      </c>
      <c r="Q1" t="s">
        <v>20</v>
      </c>
      <c r="R1" t="s">
        <v>21</v>
      </c>
      <c r="S1" t="s">
        <v>22</v>
      </c>
      <c r="T1" t="s">
        <v>23</v>
      </c>
      <c r="U1" t="s">
        <v>24</v>
      </c>
      <c r="V1" t="s">
        <v>25</v>
      </c>
      <c r="W1" t="s">
        <v>26</v>
      </c>
      <c r="X1" t="s">
        <v>27</v>
      </c>
      <c r="Y1" t="s">
        <v>28</v>
      </c>
      <c r="Z1" t="s">
        <v>29</v>
      </c>
      <c r="AA1" t="s">
        <v>30</v>
      </c>
      <c r="AB1" t="s">
        <v>31</v>
      </c>
      <c r="AC1" t="s">
        <v>32</v>
      </c>
      <c r="AD1" t="s">
        <v>33</v>
      </c>
      <c r="AE1" t="s">
        <v>34</v>
      </c>
      <c r="AF1" t="s">
        <v>41</v>
      </c>
      <c r="AG1" t="s">
        <v>42</v>
      </c>
      <c r="AH1" t="s">
        <v>43</v>
      </c>
      <c r="AI1" t="s">
        <v>44</v>
      </c>
      <c r="AJ1" t="s">
        <v>45</v>
      </c>
      <c r="AK1" t="s">
        <v>46</v>
      </c>
      <c r="AL1" t="s">
        <v>47</v>
      </c>
      <c r="AM1" t="s">
        <v>474</v>
      </c>
      <c r="AN1" t="s">
        <v>50</v>
      </c>
      <c r="AO1" t="s">
        <v>51</v>
      </c>
      <c r="AP1" t="s">
        <v>52</v>
      </c>
      <c r="AQ1" t="s">
        <v>53</v>
      </c>
      <c r="AR1" t="s">
        <v>719</v>
      </c>
      <c r="AS1" t="s">
        <v>720</v>
      </c>
      <c r="AT1" t="s">
        <v>721</v>
      </c>
      <c r="AU1" t="s">
        <v>758</v>
      </c>
      <c r="AV1" t="s">
        <v>759</v>
      </c>
      <c r="AW1" t="s">
        <v>722</v>
      </c>
      <c r="AX1" t="s">
        <v>723</v>
      </c>
      <c r="AY1" t="s">
        <v>724</v>
      </c>
      <c r="AZ1" t="s">
        <v>760</v>
      </c>
    </row>
    <row r="2" spans="1:52" x14ac:dyDescent="0.25">
      <c r="A2" t="s">
        <v>54</v>
      </c>
      <c r="B2" s="1">
        <v>45663</v>
      </c>
      <c r="C2" t="s">
        <v>55</v>
      </c>
      <c r="D2" s="50">
        <v>0.625</v>
      </c>
      <c r="E2" s="50">
        <v>0.64583333333333337</v>
      </c>
      <c r="F2" t="s">
        <v>56</v>
      </c>
      <c r="G2" t="s">
        <v>57</v>
      </c>
      <c r="H2" t="s">
        <v>58</v>
      </c>
      <c r="I2" t="s">
        <v>59</v>
      </c>
      <c r="J2" t="s">
        <v>60</v>
      </c>
      <c r="K2" t="s">
        <v>62</v>
      </c>
      <c r="M2">
        <v>7</v>
      </c>
      <c r="N2" t="s">
        <v>63</v>
      </c>
      <c r="O2" t="s">
        <v>727</v>
      </c>
      <c r="P2" t="s">
        <v>64</v>
      </c>
      <c r="Q2" t="s">
        <v>65</v>
      </c>
      <c r="R2" t="s">
        <v>66</v>
      </c>
      <c r="S2" t="s">
        <v>67</v>
      </c>
      <c r="X2" t="s">
        <v>68</v>
      </c>
      <c r="Y2" t="s">
        <v>69</v>
      </c>
      <c r="Z2" t="s">
        <v>70</v>
      </c>
      <c r="AA2" t="s">
        <v>71</v>
      </c>
      <c r="AB2" t="s">
        <v>72</v>
      </c>
      <c r="AC2" t="s">
        <v>73</v>
      </c>
      <c r="AD2" t="s">
        <v>74</v>
      </c>
      <c r="AE2">
        <v>9</v>
      </c>
      <c r="AF2">
        <v>2025</v>
      </c>
      <c r="AG2">
        <v>2</v>
      </c>
      <c r="AH2">
        <v>2</v>
      </c>
      <c r="AI2">
        <v>6</v>
      </c>
      <c r="AJ2">
        <v>6</v>
      </c>
      <c r="AK2" s="2">
        <v>45663.645833333336</v>
      </c>
      <c r="AL2">
        <v>90</v>
      </c>
      <c r="AM2" t="s">
        <v>63</v>
      </c>
      <c r="AN2" t="s">
        <v>76</v>
      </c>
      <c r="AO2" t="s">
        <v>77</v>
      </c>
      <c r="AP2" t="s">
        <v>587</v>
      </c>
      <c r="AQ2" t="s">
        <v>78</v>
      </c>
      <c r="AR2" t="s">
        <v>741</v>
      </c>
      <c r="AS2" t="s">
        <v>743</v>
      </c>
      <c r="AT2" t="s">
        <v>743</v>
      </c>
      <c r="AU2" t="s">
        <v>740</v>
      </c>
      <c r="AV2" t="s">
        <v>740</v>
      </c>
      <c r="AW2" t="s">
        <v>742</v>
      </c>
      <c r="AX2">
        <v>17000</v>
      </c>
      <c r="AY2" t="s">
        <v>744</v>
      </c>
      <c r="AZ2" t="s">
        <v>745</v>
      </c>
    </row>
    <row r="3" spans="1:52" x14ac:dyDescent="0.25">
      <c r="A3" t="s">
        <v>79</v>
      </c>
      <c r="B3" s="1">
        <v>45682</v>
      </c>
      <c r="C3" t="s">
        <v>80</v>
      </c>
      <c r="D3" s="50">
        <v>0.75</v>
      </c>
      <c r="E3" s="50">
        <v>0.76875000000000004</v>
      </c>
      <c r="F3" t="s">
        <v>81</v>
      </c>
      <c r="G3" t="s">
        <v>57</v>
      </c>
      <c r="H3" t="s">
        <v>82</v>
      </c>
      <c r="I3" t="s">
        <v>83</v>
      </c>
      <c r="J3" t="s">
        <v>84</v>
      </c>
      <c r="K3" t="s">
        <v>86</v>
      </c>
      <c r="L3" t="s">
        <v>87</v>
      </c>
      <c r="M3">
        <v>8</v>
      </c>
      <c r="N3" t="s">
        <v>88</v>
      </c>
      <c r="O3" t="s">
        <v>728</v>
      </c>
      <c r="P3" t="s">
        <v>89</v>
      </c>
      <c r="Q3" t="s">
        <v>65</v>
      </c>
      <c r="R3" t="s">
        <v>90</v>
      </c>
      <c r="S3" t="s">
        <v>67</v>
      </c>
      <c r="X3" t="s">
        <v>91</v>
      </c>
      <c r="Y3" t="s">
        <v>69</v>
      </c>
      <c r="Z3" t="s">
        <v>92</v>
      </c>
      <c r="AA3" t="s">
        <v>93</v>
      </c>
      <c r="AB3" t="s">
        <v>94</v>
      </c>
      <c r="AC3" t="s">
        <v>95</v>
      </c>
      <c r="AD3" t="s">
        <v>74</v>
      </c>
      <c r="AE3">
        <v>9</v>
      </c>
      <c r="AF3">
        <v>2025</v>
      </c>
      <c r="AG3">
        <v>4</v>
      </c>
      <c r="AH3">
        <v>4</v>
      </c>
      <c r="AI3">
        <v>25</v>
      </c>
      <c r="AJ3">
        <v>25</v>
      </c>
      <c r="AK3" s="2">
        <v>45682.768750000003</v>
      </c>
      <c r="AL3">
        <v>206</v>
      </c>
      <c r="AM3" t="s">
        <v>88</v>
      </c>
      <c r="AN3" t="s">
        <v>97</v>
      </c>
      <c r="AO3" t="s">
        <v>61</v>
      </c>
      <c r="AP3" t="s">
        <v>584</v>
      </c>
      <c r="AQ3" t="s">
        <v>98</v>
      </c>
      <c r="AR3" t="s">
        <v>747</v>
      </c>
      <c r="AS3" t="s">
        <v>748</v>
      </c>
      <c r="AT3" t="s">
        <v>751</v>
      </c>
      <c r="AU3" t="s">
        <v>746</v>
      </c>
      <c r="AV3" t="s">
        <v>740</v>
      </c>
      <c r="AW3" t="s">
        <v>749</v>
      </c>
      <c r="AY3" t="s">
        <v>744</v>
      </c>
      <c r="AZ3" t="s">
        <v>745</v>
      </c>
    </row>
    <row r="4" spans="1:52" x14ac:dyDescent="0.25">
      <c r="A4" t="s">
        <v>99</v>
      </c>
      <c r="B4" s="1">
        <v>45683</v>
      </c>
      <c r="C4" t="s">
        <v>100</v>
      </c>
      <c r="D4" s="50">
        <v>0.83333333333333337</v>
      </c>
      <c r="E4" s="50">
        <v>0.84027777777777779</v>
      </c>
      <c r="F4" t="s">
        <v>101</v>
      </c>
      <c r="G4" t="s">
        <v>57</v>
      </c>
      <c r="H4" t="s">
        <v>102</v>
      </c>
      <c r="I4" t="s">
        <v>103</v>
      </c>
      <c r="J4" t="s">
        <v>84</v>
      </c>
      <c r="K4" t="s">
        <v>104</v>
      </c>
      <c r="L4" t="s">
        <v>105</v>
      </c>
      <c r="M4">
        <v>9</v>
      </c>
      <c r="N4" t="s">
        <v>106</v>
      </c>
      <c r="O4" t="s">
        <v>729</v>
      </c>
      <c r="P4" t="s">
        <v>107</v>
      </c>
      <c r="Q4" t="s">
        <v>65</v>
      </c>
      <c r="R4" t="s">
        <v>108</v>
      </c>
      <c r="S4" t="s">
        <v>67</v>
      </c>
      <c r="X4" t="s">
        <v>68</v>
      </c>
      <c r="Y4" t="s">
        <v>69</v>
      </c>
      <c r="Z4" t="s">
        <v>109</v>
      </c>
      <c r="AA4" t="s">
        <v>71</v>
      </c>
      <c r="AB4" t="s">
        <v>110</v>
      </c>
      <c r="AC4" t="s">
        <v>73</v>
      </c>
      <c r="AD4" t="s">
        <v>74</v>
      </c>
      <c r="AE4">
        <v>9</v>
      </c>
      <c r="AF4">
        <v>2025</v>
      </c>
      <c r="AG4">
        <v>5</v>
      </c>
      <c r="AH4">
        <v>5</v>
      </c>
      <c r="AI4">
        <v>26</v>
      </c>
      <c r="AJ4">
        <v>26</v>
      </c>
      <c r="AK4" s="2">
        <v>45683.840277777781</v>
      </c>
      <c r="AL4">
        <v>5</v>
      </c>
      <c r="AM4" t="s">
        <v>106</v>
      </c>
      <c r="AN4" t="s">
        <v>61</v>
      </c>
      <c r="AO4" t="s">
        <v>112</v>
      </c>
      <c r="AP4" t="s">
        <v>584</v>
      </c>
      <c r="AQ4" t="s">
        <v>113</v>
      </c>
      <c r="AR4" t="s">
        <v>750</v>
      </c>
      <c r="AS4" t="s">
        <v>756</v>
      </c>
      <c r="AT4" t="s">
        <v>751</v>
      </c>
      <c r="AU4" t="s">
        <v>740</v>
      </c>
      <c r="AV4" t="s">
        <v>740</v>
      </c>
      <c r="AW4" t="s">
        <v>752</v>
      </c>
      <c r="AY4" t="s">
        <v>745</v>
      </c>
      <c r="AZ4" t="s">
        <v>745</v>
      </c>
    </row>
    <row r="5" spans="1:52" x14ac:dyDescent="0.25">
      <c r="A5" t="s">
        <v>114</v>
      </c>
      <c r="B5" s="1">
        <v>45701</v>
      </c>
      <c r="C5" t="s">
        <v>80</v>
      </c>
      <c r="D5" s="50">
        <v>0.66666666666666663</v>
      </c>
      <c r="E5" s="50">
        <v>0.66666666666666663</v>
      </c>
      <c r="F5" t="s">
        <v>115</v>
      </c>
      <c r="G5" t="s">
        <v>116</v>
      </c>
      <c r="H5" t="s">
        <v>117</v>
      </c>
      <c r="I5" t="s">
        <v>117</v>
      </c>
      <c r="J5" t="s">
        <v>60</v>
      </c>
      <c r="K5" t="s">
        <v>118</v>
      </c>
      <c r="L5" t="s">
        <v>119</v>
      </c>
      <c r="M5">
        <v>6</v>
      </c>
      <c r="N5" t="s">
        <v>120</v>
      </c>
      <c r="O5" t="s">
        <v>730</v>
      </c>
      <c r="P5" t="s">
        <v>121</v>
      </c>
      <c r="Q5" t="s">
        <v>122</v>
      </c>
      <c r="R5" t="s">
        <v>123</v>
      </c>
      <c r="S5" t="s">
        <v>67</v>
      </c>
      <c r="X5" t="s">
        <v>124</v>
      </c>
      <c r="Y5" t="s">
        <v>69</v>
      </c>
      <c r="Z5" t="s">
        <v>125</v>
      </c>
      <c r="AA5" t="s">
        <v>126</v>
      </c>
      <c r="AB5" t="s">
        <v>127</v>
      </c>
      <c r="AC5" t="s">
        <v>128</v>
      </c>
      <c r="AD5" t="s">
        <v>74</v>
      </c>
      <c r="AE5">
        <v>9</v>
      </c>
      <c r="AF5">
        <v>2025</v>
      </c>
      <c r="AG5">
        <v>7</v>
      </c>
      <c r="AH5">
        <v>3</v>
      </c>
      <c r="AI5">
        <v>13</v>
      </c>
      <c r="AJ5">
        <v>44</v>
      </c>
      <c r="AK5" s="2">
        <v>45701.666666666664</v>
      </c>
      <c r="AM5" t="s">
        <v>120</v>
      </c>
      <c r="AN5" t="s">
        <v>130</v>
      </c>
      <c r="AO5" t="s">
        <v>131</v>
      </c>
      <c r="AP5" t="s">
        <v>581</v>
      </c>
      <c r="AQ5" t="s">
        <v>98</v>
      </c>
      <c r="AR5" t="s">
        <v>750</v>
      </c>
      <c r="AS5" t="s">
        <v>743</v>
      </c>
      <c r="AT5" t="s">
        <v>743</v>
      </c>
      <c r="AU5" t="s">
        <v>740</v>
      </c>
      <c r="AV5" t="s">
        <v>740</v>
      </c>
      <c r="AW5" t="s">
        <v>742</v>
      </c>
      <c r="AX5">
        <v>16000</v>
      </c>
      <c r="AY5" t="s">
        <v>753</v>
      </c>
      <c r="AZ5" t="s">
        <v>745</v>
      </c>
    </row>
    <row r="6" spans="1:52" x14ac:dyDescent="0.25">
      <c r="A6" t="s">
        <v>476</v>
      </c>
      <c r="B6" s="1">
        <v>45722</v>
      </c>
      <c r="C6" t="s">
        <v>100</v>
      </c>
      <c r="D6" s="50">
        <v>0.91666666666666663</v>
      </c>
      <c r="E6" s="50">
        <v>0.94149305555555551</v>
      </c>
      <c r="F6" t="s">
        <v>115</v>
      </c>
      <c r="G6" t="s">
        <v>477</v>
      </c>
      <c r="H6" t="s">
        <v>478</v>
      </c>
      <c r="I6" t="s">
        <v>479</v>
      </c>
      <c r="J6" t="s">
        <v>60</v>
      </c>
      <c r="K6" t="s">
        <v>480</v>
      </c>
      <c r="L6" t="s">
        <v>87</v>
      </c>
      <c r="M6">
        <v>8</v>
      </c>
      <c r="N6" t="s">
        <v>481</v>
      </c>
      <c r="O6" t="s">
        <v>731</v>
      </c>
      <c r="P6" t="s">
        <v>482</v>
      </c>
      <c r="Q6" t="s">
        <v>122</v>
      </c>
      <c r="R6" t="s">
        <v>483</v>
      </c>
      <c r="S6" t="s">
        <v>67</v>
      </c>
      <c r="X6" t="s">
        <v>484</v>
      </c>
      <c r="Y6" t="s">
        <v>69</v>
      </c>
      <c r="Z6" t="s">
        <v>70</v>
      </c>
      <c r="AA6" t="s">
        <v>71</v>
      </c>
      <c r="AB6" t="s">
        <v>166</v>
      </c>
      <c r="AC6" t="s">
        <v>128</v>
      </c>
      <c r="AE6">
        <v>9</v>
      </c>
      <c r="AF6">
        <v>2025</v>
      </c>
      <c r="AG6">
        <v>10</v>
      </c>
      <c r="AH6">
        <v>2</v>
      </c>
      <c r="AI6">
        <v>6</v>
      </c>
      <c r="AJ6">
        <v>65</v>
      </c>
      <c r="AK6" s="2">
        <v>45722.940972222219</v>
      </c>
      <c r="AL6">
        <v>216</v>
      </c>
      <c r="AM6" t="s">
        <v>481</v>
      </c>
      <c r="AN6" t="s">
        <v>486</v>
      </c>
      <c r="AO6" t="s">
        <v>487</v>
      </c>
      <c r="AP6" t="s">
        <v>578</v>
      </c>
      <c r="AQ6" t="s">
        <v>113</v>
      </c>
      <c r="AR6" t="s">
        <v>750</v>
      </c>
      <c r="AS6" t="s">
        <v>740</v>
      </c>
      <c r="AT6" t="s">
        <v>751</v>
      </c>
      <c r="AU6" t="s">
        <v>754</v>
      </c>
      <c r="AW6" t="s">
        <v>755</v>
      </c>
      <c r="AX6">
        <v>18</v>
      </c>
      <c r="AY6" t="s">
        <v>753</v>
      </c>
      <c r="AZ6" t="s">
        <v>745</v>
      </c>
    </row>
    <row r="7" spans="1:52" x14ac:dyDescent="0.25">
      <c r="A7" t="s">
        <v>488</v>
      </c>
      <c r="B7" s="1">
        <v>45725</v>
      </c>
      <c r="C7" t="s">
        <v>80</v>
      </c>
      <c r="D7" s="50">
        <v>0.79166666666666663</v>
      </c>
      <c r="E7" s="50">
        <v>0.8125</v>
      </c>
      <c r="F7" t="s">
        <v>101</v>
      </c>
      <c r="G7" t="s">
        <v>477</v>
      </c>
      <c r="H7" t="s">
        <v>489</v>
      </c>
      <c r="I7" t="s">
        <v>490</v>
      </c>
      <c r="J7" t="s">
        <v>60</v>
      </c>
      <c r="K7" t="s">
        <v>491</v>
      </c>
      <c r="L7" t="s">
        <v>139</v>
      </c>
      <c r="M7">
        <v>7</v>
      </c>
      <c r="N7" t="s">
        <v>492</v>
      </c>
      <c r="O7" t="s">
        <v>732</v>
      </c>
      <c r="P7" t="s">
        <v>493</v>
      </c>
      <c r="Q7" t="s">
        <v>494</v>
      </c>
      <c r="R7" t="s">
        <v>495</v>
      </c>
      <c r="S7" t="s">
        <v>67</v>
      </c>
      <c r="X7" t="s">
        <v>163</v>
      </c>
      <c r="Y7" t="s">
        <v>69</v>
      </c>
      <c r="Z7" t="s">
        <v>496</v>
      </c>
      <c r="AA7" t="s">
        <v>359</v>
      </c>
      <c r="AE7">
        <v>9</v>
      </c>
      <c r="AF7">
        <v>2025</v>
      </c>
      <c r="AG7">
        <v>11</v>
      </c>
      <c r="AH7">
        <v>3</v>
      </c>
      <c r="AI7">
        <v>9</v>
      </c>
      <c r="AJ7">
        <v>68</v>
      </c>
      <c r="AK7" s="2">
        <v>45725.8125</v>
      </c>
      <c r="AL7">
        <v>282</v>
      </c>
      <c r="AM7" t="s">
        <v>492</v>
      </c>
      <c r="AN7" t="s">
        <v>498</v>
      </c>
      <c r="AO7" t="s">
        <v>499</v>
      </c>
      <c r="AP7" t="s">
        <v>578</v>
      </c>
      <c r="AQ7" t="s">
        <v>98</v>
      </c>
      <c r="AR7" t="s">
        <v>750</v>
      </c>
      <c r="AS7" t="s">
        <v>740</v>
      </c>
      <c r="AT7" t="s">
        <v>751</v>
      </c>
      <c r="AU7" t="s">
        <v>740</v>
      </c>
      <c r="AV7" t="s">
        <v>740</v>
      </c>
      <c r="AW7" t="s">
        <v>742</v>
      </c>
      <c r="AX7">
        <v>250</v>
      </c>
      <c r="AY7" t="s">
        <v>753</v>
      </c>
      <c r="AZ7" t="s">
        <v>745</v>
      </c>
    </row>
    <row r="8" spans="1:52" x14ac:dyDescent="0.25">
      <c r="A8" t="s">
        <v>592</v>
      </c>
      <c r="B8" s="1">
        <v>45727</v>
      </c>
      <c r="C8" t="s">
        <v>55</v>
      </c>
      <c r="D8" s="50">
        <v>0.58333333333333337</v>
      </c>
      <c r="E8" s="50">
        <v>0.60416666666666663</v>
      </c>
      <c r="F8" t="s">
        <v>192</v>
      </c>
      <c r="G8" t="s">
        <v>477</v>
      </c>
      <c r="H8" t="s">
        <v>593</v>
      </c>
      <c r="I8" t="s">
        <v>594</v>
      </c>
      <c r="J8" t="s">
        <v>60</v>
      </c>
      <c r="K8" t="s">
        <v>595</v>
      </c>
      <c r="L8" t="s">
        <v>87</v>
      </c>
      <c r="M8">
        <v>8</v>
      </c>
      <c r="N8" t="s">
        <v>596</v>
      </c>
      <c r="O8" t="s">
        <v>733</v>
      </c>
      <c r="P8" t="s">
        <v>597</v>
      </c>
      <c r="Q8" t="s">
        <v>598</v>
      </c>
      <c r="R8" t="s">
        <v>599</v>
      </c>
      <c r="S8" t="s">
        <v>67</v>
      </c>
      <c r="X8" t="s">
        <v>425</v>
      </c>
      <c r="Y8" t="s">
        <v>69</v>
      </c>
      <c r="Z8" t="s">
        <v>164</v>
      </c>
      <c r="AA8" t="s">
        <v>165</v>
      </c>
      <c r="AB8" t="s">
        <v>600</v>
      </c>
      <c r="AC8" t="s">
        <v>128</v>
      </c>
      <c r="AD8" t="s">
        <v>74</v>
      </c>
      <c r="AE8">
        <v>9</v>
      </c>
      <c r="AF8">
        <v>2025</v>
      </c>
      <c r="AG8">
        <v>11</v>
      </c>
      <c r="AH8">
        <v>3</v>
      </c>
      <c r="AI8">
        <v>11</v>
      </c>
      <c r="AJ8">
        <v>70</v>
      </c>
      <c r="AK8" s="2">
        <v>45727.604166666664</v>
      </c>
      <c r="AL8">
        <v>123</v>
      </c>
      <c r="AM8" t="s">
        <v>596</v>
      </c>
      <c r="AN8" t="s">
        <v>602</v>
      </c>
      <c r="AO8" t="s">
        <v>603</v>
      </c>
      <c r="AP8" t="s">
        <v>604</v>
      </c>
      <c r="AQ8" t="s">
        <v>78</v>
      </c>
      <c r="AR8" t="s">
        <v>741</v>
      </c>
      <c r="AS8" t="s">
        <v>756</v>
      </c>
      <c r="AT8" t="s">
        <v>751</v>
      </c>
      <c r="AU8" t="s">
        <v>740</v>
      </c>
      <c r="AV8" t="s">
        <v>740</v>
      </c>
      <c r="AW8" t="s">
        <v>757</v>
      </c>
      <c r="AX8">
        <v>210</v>
      </c>
      <c r="AY8" t="s">
        <v>753</v>
      </c>
      <c r="AZ8" t="s">
        <v>745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7798-6C51-4089-A6BC-4744F505C723}">
  <sheetPr>
    <tabColor theme="9" tint="-0.499984740745262"/>
  </sheetPr>
  <dimension ref="A1:Q8"/>
  <sheetViews>
    <sheetView workbookViewId="0"/>
  </sheetViews>
  <sheetFormatPr defaultRowHeight="15" x14ac:dyDescent="0.25"/>
  <cols>
    <col min="1" max="1" width="15.140625" bestFit="1" customWidth="1"/>
    <col min="2" max="2" width="37.140625" bestFit="1" customWidth="1"/>
    <col min="3" max="3" width="15.140625" bestFit="1" customWidth="1"/>
    <col min="4" max="4" width="19.5703125" bestFit="1" customWidth="1"/>
    <col min="5" max="5" width="14.5703125" bestFit="1" customWidth="1"/>
    <col min="6" max="6" width="30.42578125" bestFit="1" customWidth="1"/>
    <col min="7" max="7" width="28.7109375" bestFit="1" customWidth="1"/>
    <col min="8" max="8" width="21.140625" bestFit="1" customWidth="1"/>
    <col min="9" max="10" width="23.140625" bestFit="1" customWidth="1"/>
    <col min="11" max="11" width="81.140625" bestFit="1" customWidth="1"/>
    <col min="12" max="12" width="28.42578125" bestFit="1" customWidth="1"/>
    <col min="13" max="13" width="24.140625" bestFit="1" customWidth="1"/>
    <col min="14" max="14" width="25.42578125" bestFit="1" customWidth="1"/>
    <col min="15" max="15" width="19.28515625" bestFit="1" customWidth="1"/>
    <col min="16" max="16" width="21" bestFit="1" customWidth="1"/>
    <col min="17" max="17" width="81.140625" bestFit="1" customWidth="1"/>
  </cols>
  <sheetData>
    <row r="1" spans="1:17" x14ac:dyDescent="0.25">
      <c r="A1" t="s">
        <v>0</v>
      </c>
      <c r="B1" t="s">
        <v>712</v>
      </c>
      <c r="C1" t="s">
        <v>35</v>
      </c>
      <c r="D1" t="s">
        <v>734</v>
      </c>
      <c r="E1" t="s">
        <v>737</v>
      </c>
      <c r="F1" t="s">
        <v>713</v>
      </c>
      <c r="G1" t="s">
        <v>725</v>
      </c>
      <c r="H1" t="s">
        <v>714</v>
      </c>
      <c r="I1" t="s">
        <v>711</v>
      </c>
      <c r="J1" t="s">
        <v>715</v>
      </c>
      <c r="K1" t="s">
        <v>738</v>
      </c>
      <c r="L1" t="s">
        <v>739</v>
      </c>
      <c r="M1" t="s">
        <v>716</v>
      </c>
      <c r="N1" t="s">
        <v>717</v>
      </c>
      <c r="O1" t="s">
        <v>718</v>
      </c>
      <c r="P1" t="s">
        <v>726</v>
      </c>
      <c r="Q1" t="s">
        <v>474</v>
      </c>
    </row>
    <row r="2" spans="1:17" x14ac:dyDescent="0.25">
      <c r="A2" t="s">
        <v>54</v>
      </c>
      <c r="B2" t="s">
        <v>58</v>
      </c>
      <c r="C2" s="1">
        <v>45663</v>
      </c>
      <c r="D2" s="1">
        <v>0</v>
      </c>
      <c r="E2" s="1">
        <v>5</v>
      </c>
      <c r="F2" t="s">
        <v>78</v>
      </c>
      <c r="G2" t="s">
        <v>727</v>
      </c>
      <c r="H2" t="s">
        <v>741</v>
      </c>
      <c r="I2" t="s">
        <v>743</v>
      </c>
      <c r="J2" t="s">
        <v>743</v>
      </c>
      <c r="K2" t="s">
        <v>740</v>
      </c>
      <c r="L2" t="s">
        <v>740</v>
      </c>
      <c r="M2" t="s">
        <v>742</v>
      </c>
      <c r="N2">
        <v>17000</v>
      </c>
      <c r="O2" t="s">
        <v>744</v>
      </c>
      <c r="P2" t="s">
        <v>745</v>
      </c>
      <c r="Q2" t="s">
        <v>63</v>
      </c>
    </row>
    <row r="3" spans="1:17" x14ac:dyDescent="0.25">
      <c r="A3" t="s">
        <v>79</v>
      </c>
      <c r="B3" t="s">
        <v>82</v>
      </c>
      <c r="C3" s="1">
        <v>45682</v>
      </c>
      <c r="D3" s="1">
        <v>0</v>
      </c>
      <c r="E3" s="1">
        <v>24</v>
      </c>
      <c r="F3" t="s">
        <v>98</v>
      </c>
      <c r="G3" t="s">
        <v>728</v>
      </c>
      <c r="H3" t="s">
        <v>747</v>
      </c>
      <c r="I3" t="s">
        <v>748</v>
      </c>
      <c r="J3" t="s">
        <v>751</v>
      </c>
      <c r="K3" t="s">
        <v>746</v>
      </c>
      <c r="L3" t="s">
        <v>740</v>
      </c>
      <c r="M3" t="s">
        <v>749</v>
      </c>
      <c r="O3" t="s">
        <v>744</v>
      </c>
      <c r="P3" t="s">
        <v>745</v>
      </c>
      <c r="Q3" t="s">
        <v>88</v>
      </c>
    </row>
    <row r="4" spans="1:17" x14ac:dyDescent="0.25">
      <c r="A4" t="s">
        <v>99</v>
      </c>
      <c r="B4" t="s">
        <v>102</v>
      </c>
      <c r="C4" s="1">
        <v>45683</v>
      </c>
      <c r="D4" s="1">
        <v>0</v>
      </c>
      <c r="E4" s="1">
        <v>25</v>
      </c>
      <c r="F4" t="s">
        <v>113</v>
      </c>
      <c r="G4" t="s">
        <v>729</v>
      </c>
      <c r="H4" t="s">
        <v>750</v>
      </c>
      <c r="I4" t="s">
        <v>756</v>
      </c>
      <c r="J4" t="s">
        <v>751</v>
      </c>
      <c r="K4" t="s">
        <v>740</v>
      </c>
      <c r="L4" t="s">
        <v>740</v>
      </c>
      <c r="M4" t="s">
        <v>752</v>
      </c>
      <c r="O4" t="s">
        <v>745</v>
      </c>
      <c r="P4" t="s">
        <v>745</v>
      </c>
      <c r="Q4" t="s">
        <v>106</v>
      </c>
    </row>
    <row r="5" spans="1:17" x14ac:dyDescent="0.25">
      <c r="A5" t="s">
        <v>114</v>
      </c>
      <c r="B5" t="s">
        <v>117</v>
      </c>
      <c r="C5" s="1">
        <v>45701</v>
      </c>
      <c r="D5" s="1"/>
      <c r="E5" s="1">
        <v>12</v>
      </c>
      <c r="F5" t="s">
        <v>98</v>
      </c>
      <c r="G5" t="s">
        <v>730</v>
      </c>
      <c r="H5" t="s">
        <v>750</v>
      </c>
      <c r="I5" t="s">
        <v>743</v>
      </c>
      <c r="J5" t="s">
        <v>743</v>
      </c>
      <c r="K5" t="s">
        <v>740</v>
      </c>
      <c r="L5" t="s">
        <v>740</v>
      </c>
      <c r="M5" t="s">
        <v>742</v>
      </c>
      <c r="N5">
        <v>16000</v>
      </c>
      <c r="O5" t="s">
        <v>753</v>
      </c>
      <c r="P5" t="s">
        <v>745</v>
      </c>
      <c r="Q5" t="s">
        <v>120</v>
      </c>
    </row>
    <row r="6" spans="1:17" x14ac:dyDescent="0.25">
      <c r="A6" t="s">
        <v>476</v>
      </c>
      <c r="B6" t="s">
        <v>478</v>
      </c>
      <c r="C6" s="1">
        <v>45722</v>
      </c>
      <c r="D6" s="1"/>
      <c r="E6" s="1">
        <v>5</v>
      </c>
      <c r="F6" t="s">
        <v>113</v>
      </c>
      <c r="G6" t="s">
        <v>731</v>
      </c>
      <c r="H6" t="s">
        <v>750</v>
      </c>
      <c r="I6" t="s">
        <v>740</v>
      </c>
      <c r="J6" t="s">
        <v>751</v>
      </c>
      <c r="K6" t="s">
        <v>754</v>
      </c>
      <c r="M6" t="s">
        <v>755</v>
      </c>
      <c r="N6">
        <v>18</v>
      </c>
      <c r="O6" t="s">
        <v>753</v>
      </c>
      <c r="P6" t="s">
        <v>745</v>
      </c>
      <c r="Q6" t="s">
        <v>481</v>
      </c>
    </row>
    <row r="7" spans="1:17" x14ac:dyDescent="0.25">
      <c r="A7" t="s">
        <v>488</v>
      </c>
      <c r="B7" t="s">
        <v>489</v>
      </c>
      <c r="C7" s="1">
        <v>45725</v>
      </c>
      <c r="D7" s="1"/>
      <c r="E7" s="1">
        <v>8</v>
      </c>
      <c r="F7" t="s">
        <v>98</v>
      </c>
      <c r="G7" t="s">
        <v>732</v>
      </c>
      <c r="H7" t="s">
        <v>750</v>
      </c>
      <c r="I7" t="s">
        <v>740</v>
      </c>
      <c r="J7" t="s">
        <v>751</v>
      </c>
      <c r="K7" t="s">
        <v>740</v>
      </c>
      <c r="L7" t="s">
        <v>740</v>
      </c>
      <c r="M7" t="s">
        <v>742</v>
      </c>
      <c r="N7">
        <v>250</v>
      </c>
      <c r="O7" t="s">
        <v>753</v>
      </c>
      <c r="P7" t="s">
        <v>745</v>
      </c>
      <c r="Q7" t="s">
        <v>492</v>
      </c>
    </row>
    <row r="8" spans="1:17" x14ac:dyDescent="0.25">
      <c r="A8" t="s">
        <v>592</v>
      </c>
      <c r="B8" t="s">
        <v>593</v>
      </c>
      <c r="C8" s="1">
        <v>45727</v>
      </c>
      <c r="D8" s="1"/>
      <c r="E8" s="1">
        <v>10</v>
      </c>
      <c r="F8" t="s">
        <v>78</v>
      </c>
      <c r="G8" t="s">
        <v>733</v>
      </c>
      <c r="H8" t="s">
        <v>741</v>
      </c>
      <c r="I8" t="s">
        <v>756</v>
      </c>
      <c r="J8" t="s">
        <v>751</v>
      </c>
      <c r="K8" t="s">
        <v>740</v>
      </c>
      <c r="L8" t="s">
        <v>740</v>
      </c>
      <c r="M8" t="s">
        <v>757</v>
      </c>
      <c r="N8">
        <v>210</v>
      </c>
      <c r="O8" t="s">
        <v>753</v>
      </c>
      <c r="P8" t="s">
        <v>745</v>
      </c>
      <c r="Q8" t="s">
        <v>596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95674-7FAD-4393-B155-6E9840E57E8D}">
  <sheetPr>
    <tabColor theme="9" tint="0.59999389629810485"/>
  </sheetPr>
  <dimension ref="A1:W24"/>
  <sheetViews>
    <sheetView workbookViewId="0">
      <selection activeCell="C1" sqref="C1:S1"/>
    </sheetView>
  </sheetViews>
  <sheetFormatPr defaultColWidth="9.140625" defaultRowHeight="15.75" x14ac:dyDescent="0.25"/>
  <cols>
    <col min="1" max="1" width="10.85546875" style="77" bestFit="1" customWidth="1"/>
    <col min="2" max="2" width="10.85546875" style="77" customWidth="1"/>
    <col min="3" max="3" width="31.85546875" style="77" customWidth="1"/>
    <col min="4" max="4" width="38.140625" style="77" bestFit="1" customWidth="1"/>
    <col min="5" max="5" width="32.5703125" style="81" customWidth="1"/>
    <col min="6" max="6" width="21.7109375" style="77" customWidth="1"/>
    <col min="7" max="7" width="15.140625" style="77" bestFit="1" customWidth="1"/>
    <col min="8" max="8" width="54" style="77" customWidth="1"/>
    <col min="9" max="9" width="23.85546875" style="77" customWidth="1"/>
    <col min="10" max="10" width="30.7109375" style="77" bestFit="1" customWidth="1"/>
    <col min="11" max="11" width="30.7109375" style="77" customWidth="1"/>
    <col min="12" max="12" width="22.7109375" style="77" customWidth="1"/>
    <col min="13" max="13" width="57.85546875" style="77" bestFit="1" customWidth="1"/>
    <col min="14" max="14" width="22.7109375" style="77" customWidth="1"/>
    <col min="15" max="15" width="17.28515625" style="77" bestFit="1" customWidth="1"/>
    <col min="16" max="16" width="15.5703125" style="77" bestFit="1" customWidth="1"/>
    <col min="17" max="17" width="24.5703125" style="77" bestFit="1" customWidth="1"/>
    <col min="18" max="18" width="24.85546875" style="77" bestFit="1" customWidth="1"/>
    <col min="19" max="19" width="13.85546875" style="77" bestFit="1" customWidth="1"/>
    <col min="20" max="20" width="14.140625" style="77" bestFit="1" customWidth="1"/>
    <col min="21" max="21" width="7.28515625" style="77" bestFit="1" customWidth="1"/>
    <col min="22" max="22" width="15.42578125" style="77" bestFit="1" customWidth="1"/>
    <col min="23" max="23" width="17.42578125" style="77" bestFit="1" customWidth="1"/>
    <col min="24" max="24" width="6.5703125" style="77" bestFit="1" customWidth="1"/>
    <col min="25" max="25" width="13.28515625" style="77" bestFit="1" customWidth="1"/>
    <col min="26" max="26" width="22.7109375" style="77" bestFit="1" customWidth="1"/>
    <col min="27" max="16384" width="9.140625" style="77"/>
  </cols>
  <sheetData>
    <row r="1" spans="1:23" s="84" customFormat="1" ht="56.25" x14ac:dyDescent="0.3">
      <c r="A1" s="84" t="s">
        <v>0</v>
      </c>
      <c r="C1" s="82" t="s">
        <v>0</v>
      </c>
      <c r="D1" s="82" t="s">
        <v>712</v>
      </c>
      <c r="E1" s="83" t="s">
        <v>35</v>
      </c>
      <c r="F1" s="83" t="s">
        <v>734</v>
      </c>
      <c r="G1" s="83" t="s">
        <v>737</v>
      </c>
      <c r="H1" s="82" t="s">
        <v>713</v>
      </c>
      <c r="I1" s="82" t="s">
        <v>725</v>
      </c>
      <c r="J1" s="82" t="s">
        <v>714</v>
      </c>
      <c r="K1" s="82" t="s">
        <v>711</v>
      </c>
      <c r="L1" s="82" t="s">
        <v>715</v>
      </c>
      <c r="M1" s="82" t="s">
        <v>738</v>
      </c>
      <c r="N1" s="82" t="s">
        <v>739</v>
      </c>
      <c r="O1" s="82" t="s">
        <v>716</v>
      </c>
      <c r="P1" s="82" t="s">
        <v>717</v>
      </c>
      <c r="Q1" s="82" t="s">
        <v>718</v>
      </c>
      <c r="R1" s="82" t="s">
        <v>726</v>
      </c>
      <c r="S1" s="82" t="s">
        <v>474</v>
      </c>
      <c r="T1" s="82"/>
      <c r="U1" s="82"/>
      <c r="V1" s="82"/>
      <c r="W1" s="82"/>
    </row>
    <row r="2" spans="1:23" x14ac:dyDescent="0.25">
      <c r="A2" s="77" t="str" cm="1">
        <f t="array" ref="A2:A8">_xlfn._xlws.FILTER(Bur_Auto[Case Number], Bur_Auto[Case Number] &lt;&gt; "")</f>
        <v>25-002635</v>
      </c>
      <c r="C2" s="80" t="e" cm="1" vm="1">
        <f t="array" aca="1" ref="C2" ca="1">_xlfn._xlws.FILTER(Bur_Auto[Case Number], Bur_Auto[Case Number] &lt;&gt; "")</f>
        <v>#VALUE!</v>
      </c>
      <c r="D2" s="77" t="s">
        <v>58</v>
      </c>
      <c r="E2" s="87">
        <v>45663</v>
      </c>
      <c r="F2" s="86">
        <f>MONTH(BurglaryAutoNotes[[#This Row],[Incident Date]])</f>
        <v>1</v>
      </c>
      <c r="G2" s="85">
        <f>DAY(BurglaryAutoNotes[[#This Row],[Incident Date]])</f>
        <v>6</v>
      </c>
      <c r="H2" s="77" t="s">
        <v>78</v>
      </c>
      <c r="I2" s="77" t="s">
        <v>727</v>
      </c>
      <c r="J2" s="77" t="s">
        <v>741</v>
      </c>
      <c r="K2" s="77" t="s">
        <v>743</v>
      </c>
      <c r="L2" s="77" t="s">
        <v>743</v>
      </c>
      <c r="M2" s="77" t="s">
        <v>740</v>
      </c>
      <c r="N2" s="77" t="s">
        <v>740</v>
      </c>
      <c r="O2" s="77" t="s">
        <v>742</v>
      </c>
      <c r="P2" s="88">
        <v>17000</v>
      </c>
      <c r="Q2" s="77" t="s">
        <v>744</v>
      </c>
      <c r="R2" s="77" t="s">
        <v>745</v>
      </c>
      <c r="S2" s="77" t="s">
        <v>63</v>
      </c>
    </row>
    <row r="3" spans="1:23" x14ac:dyDescent="0.25">
      <c r="A3" s="77" t="str">
        <v>25-007074</v>
      </c>
      <c r="C3" s="80" t="e" cm="1" vm="1">
        <f t="array" aca="1" ref="C3" ca="1">_xlfn._xlws.FILTER(Bur_Auto[Case Number], Bur_Auto[Case Number] &lt;&gt; "")</f>
        <v>#VALUE!</v>
      </c>
      <c r="D3" s="77" t="s">
        <v>82</v>
      </c>
      <c r="E3" s="87">
        <v>45682</v>
      </c>
      <c r="F3" s="86">
        <f>MONTH(BurglaryAutoNotes[[#This Row],[Incident Date]])</f>
        <v>1</v>
      </c>
      <c r="G3" s="85">
        <f>DAY(BurglaryAutoNotes[[#This Row],[Incident Date]])</f>
        <v>25</v>
      </c>
      <c r="H3" s="77" t="s">
        <v>98</v>
      </c>
      <c r="I3" s="77" t="s">
        <v>728</v>
      </c>
      <c r="J3" s="77" t="s">
        <v>747</v>
      </c>
      <c r="K3" s="77" t="s">
        <v>748</v>
      </c>
      <c r="L3" s="77" t="s">
        <v>751</v>
      </c>
      <c r="M3" s="77" t="s">
        <v>746</v>
      </c>
      <c r="N3" s="77" t="s">
        <v>740</v>
      </c>
      <c r="O3" s="77" t="s">
        <v>749</v>
      </c>
      <c r="P3" s="88"/>
      <c r="Q3" s="77" t="s">
        <v>744</v>
      </c>
      <c r="R3" s="77" t="s">
        <v>745</v>
      </c>
      <c r="S3" s="77" t="s">
        <v>88</v>
      </c>
    </row>
    <row r="4" spans="1:23" x14ac:dyDescent="0.25">
      <c r="A4" s="77" t="str">
        <v>25-007197</v>
      </c>
      <c r="C4" s="80" t="e" cm="1" vm="1">
        <f t="array" aca="1" ref="C4" ca="1">_xlfn._xlws.FILTER(Bur_Auto[Case Number], Bur_Auto[Case Number] &lt;&gt; "")</f>
        <v>#VALUE!</v>
      </c>
      <c r="D4" s="77" t="s">
        <v>102</v>
      </c>
      <c r="E4" s="87">
        <v>45683</v>
      </c>
      <c r="F4" s="86">
        <f>MONTH(BurglaryAutoNotes[[#This Row],[Incident Date]])</f>
        <v>1</v>
      </c>
      <c r="G4" s="85">
        <f>DAY(BurglaryAutoNotes[[#This Row],[Incident Date]])</f>
        <v>26</v>
      </c>
      <c r="H4" s="77" t="s">
        <v>113</v>
      </c>
      <c r="I4" s="77" t="s">
        <v>729</v>
      </c>
      <c r="J4" s="77" t="s">
        <v>750</v>
      </c>
      <c r="K4" s="77" t="s">
        <v>756</v>
      </c>
      <c r="L4" s="77" t="s">
        <v>751</v>
      </c>
      <c r="M4" s="77" t="s">
        <v>740</v>
      </c>
      <c r="N4" s="77" t="s">
        <v>740</v>
      </c>
      <c r="O4" s="77" t="s">
        <v>752</v>
      </c>
      <c r="P4" s="88"/>
      <c r="Q4" s="77" t="s">
        <v>745</v>
      </c>
      <c r="R4" s="77" t="s">
        <v>745</v>
      </c>
      <c r="S4" s="77" t="s">
        <v>106</v>
      </c>
    </row>
    <row r="5" spans="1:23" x14ac:dyDescent="0.25">
      <c r="A5" s="77" t="str">
        <v>25-012325</v>
      </c>
      <c r="C5" s="80" t="e" cm="1" vm="1">
        <f t="array" aca="1" ref="C5" ca="1">_xlfn._xlws.FILTER(Bur_Auto[Case Number], Bur_Auto[Case Number] &lt;&gt; "")</f>
        <v>#VALUE!</v>
      </c>
      <c r="D5" s="77" t="s">
        <v>117</v>
      </c>
      <c r="E5" s="87">
        <v>45701</v>
      </c>
      <c r="F5" s="86" t="s">
        <v>735</v>
      </c>
      <c r="G5" s="85">
        <f>DAY(BurglaryAutoNotes[[#This Row],[Incident Date]])</f>
        <v>13</v>
      </c>
      <c r="H5" s="77" t="s">
        <v>98</v>
      </c>
      <c r="I5" s="77" t="s">
        <v>730</v>
      </c>
      <c r="J5" s="77" t="s">
        <v>750</v>
      </c>
      <c r="K5" s="77" t="s">
        <v>743</v>
      </c>
      <c r="L5" s="77" t="s">
        <v>743</v>
      </c>
      <c r="M5" s="77" t="s">
        <v>740</v>
      </c>
      <c r="N5" s="77" t="s">
        <v>740</v>
      </c>
      <c r="O5" s="77" t="s">
        <v>742</v>
      </c>
      <c r="P5" s="88">
        <v>16000</v>
      </c>
      <c r="Q5" s="77" t="s">
        <v>753</v>
      </c>
      <c r="R5" s="77" t="s">
        <v>745</v>
      </c>
      <c r="S5" s="77" t="s">
        <v>120</v>
      </c>
    </row>
    <row r="6" spans="1:23" x14ac:dyDescent="0.25">
      <c r="A6" s="77" t="str">
        <v>25-018160</v>
      </c>
      <c r="C6" s="80" t="e" cm="1" vm="1">
        <f t="array" aca="1" ref="C6" ca="1">_xlfn._xlws.FILTER(Bur_Auto[Case Number], Bur_Auto[Case Number] &lt;&gt; "")</f>
        <v>#VALUE!</v>
      </c>
      <c r="D6" s="77" t="s">
        <v>478</v>
      </c>
      <c r="E6" s="87">
        <v>45722</v>
      </c>
      <c r="F6" s="86" t="s">
        <v>736</v>
      </c>
      <c r="G6" s="85">
        <f>DAY(BurglaryAutoNotes[[#This Row],[Incident Date]])</f>
        <v>6</v>
      </c>
      <c r="H6" s="77" t="s">
        <v>113</v>
      </c>
      <c r="I6" s="77" t="s">
        <v>731</v>
      </c>
      <c r="J6" s="77" t="s">
        <v>750</v>
      </c>
      <c r="K6" s="77" t="s">
        <v>740</v>
      </c>
      <c r="L6" s="77" t="s">
        <v>751</v>
      </c>
      <c r="M6" s="77" t="s">
        <v>754</v>
      </c>
      <c r="O6" s="77" t="s">
        <v>755</v>
      </c>
      <c r="P6" s="88">
        <v>18</v>
      </c>
      <c r="Q6" s="77" t="s">
        <v>753</v>
      </c>
      <c r="R6" s="77" t="s">
        <v>745</v>
      </c>
      <c r="S6" s="77" t="s">
        <v>481</v>
      </c>
    </row>
    <row r="7" spans="1:23" x14ac:dyDescent="0.25">
      <c r="A7" s="77" t="str">
        <v>25-019245</v>
      </c>
      <c r="C7" s="80" t="e" cm="1" vm="1">
        <f t="array" aca="1" ref="C7" ca="1">_xlfn._xlws.FILTER(Bur_Auto[Case Number], Bur_Auto[Case Number] &lt;&gt; "")</f>
        <v>#VALUE!</v>
      </c>
      <c r="D7" s="77" t="s">
        <v>489</v>
      </c>
      <c r="E7" s="87">
        <v>45725</v>
      </c>
      <c r="F7" s="86" t="s">
        <v>736</v>
      </c>
      <c r="G7" s="85">
        <f>DAY(BurglaryAutoNotes[[#This Row],[Incident Date]])</f>
        <v>9</v>
      </c>
      <c r="H7" s="77" t="s">
        <v>98</v>
      </c>
      <c r="I7" s="77" t="s">
        <v>732</v>
      </c>
      <c r="J7" s="77" t="s">
        <v>750</v>
      </c>
      <c r="K7" s="77" t="s">
        <v>740</v>
      </c>
      <c r="L7" s="77" t="s">
        <v>751</v>
      </c>
      <c r="M7" s="77" t="s">
        <v>740</v>
      </c>
      <c r="N7" s="77" t="s">
        <v>740</v>
      </c>
      <c r="O7" s="77" t="s">
        <v>742</v>
      </c>
      <c r="P7" s="88">
        <v>250</v>
      </c>
      <c r="Q7" s="77" t="s">
        <v>753</v>
      </c>
      <c r="R7" s="77" t="s">
        <v>745</v>
      </c>
      <c r="S7" s="77" t="s">
        <v>492</v>
      </c>
    </row>
    <row r="8" spans="1:23" x14ac:dyDescent="0.25">
      <c r="A8" s="77" t="str">
        <v>25-019756</v>
      </c>
      <c r="C8" s="80" t="e" cm="1" vm="1">
        <f t="array" aca="1" ref="C8" ca="1">_xlfn._xlws.FILTER(Bur_Auto[Case Number], Bur_Auto[Case Number] &lt;&gt; "")</f>
        <v>#VALUE!</v>
      </c>
      <c r="D8" s="77" t="s">
        <v>593</v>
      </c>
      <c r="E8" s="87">
        <v>45727</v>
      </c>
      <c r="F8" s="86" t="s">
        <v>736</v>
      </c>
      <c r="G8" s="85">
        <f>DAY(BurglaryAutoNotes[[#This Row],[Incident Date]])</f>
        <v>11</v>
      </c>
      <c r="H8" s="77" t="s">
        <v>78</v>
      </c>
      <c r="I8" s="77" t="s">
        <v>733</v>
      </c>
      <c r="J8" s="77" t="s">
        <v>741</v>
      </c>
      <c r="K8" s="77" t="s">
        <v>756</v>
      </c>
      <c r="L8" s="77" t="s">
        <v>751</v>
      </c>
      <c r="M8" s="77" t="s">
        <v>740</v>
      </c>
      <c r="N8" s="77" t="s">
        <v>740</v>
      </c>
      <c r="O8" s="77" t="s">
        <v>757</v>
      </c>
      <c r="P8" s="88">
        <v>210</v>
      </c>
      <c r="Q8" s="77" t="s">
        <v>753</v>
      </c>
      <c r="R8" s="77" t="s">
        <v>745</v>
      </c>
      <c r="S8" s="77" t="s">
        <v>596</v>
      </c>
    </row>
    <row r="9" spans="1:23" x14ac:dyDescent="0.25">
      <c r="C9" s="80"/>
      <c r="E9" s="87"/>
      <c r="F9" s="86"/>
      <c r="G9" s="85"/>
      <c r="P9" s="88"/>
    </row>
    <row r="18" spans="3:3" x14ac:dyDescent="0.25">
      <c r="C18" s="77" t="str" cm="1">
        <f t="array" ref="C18:C24">_xlfn._xlws.FILTER(Bur_Auto[Case Number], Bur_Auto[Case Number] &lt;&gt; "")</f>
        <v>25-002635</v>
      </c>
    </row>
    <row r="19" spans="3:3" x14ac:dyDescent="0.25">
      <c r="C19" s="77" t="str">
        <v>25-007074</v>
      </c>
    </row>
    <row r="20" spans="3:3" x14ac:dyDescent="0.25">
      <c r="C20" s="77" t="str">
        <v>25-007197</v>
      </c>
    </row>
    <row r="21" spans="3:3" x14ac:dyDescent="0.25">
      <c r="C21" s="77" t="str">
        <v>25-012325</v>
      </c>
    </row>
    <row r="22" spans="3:3" x14ac:dyDescent="0.25">
      <c r="C22" s="77" t="str">
        <v>25-018160</v>
      </c>
    </row>
    <row r="23" spans="3:3" x14ac:dyDescent="0.25">
      <c r="C23" s="77" t="str">
        <v>25-019245</v>
      </c>
    </row>
    <row r="24" spans="3:3" x14ac:dyDescent="0.25">
      <c r="C24" s="77" t="str">
        <v>25-019756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DF666-38AC-4F31-8455-7F3D02DDA871}">
  <sheetPr>
    <tabColor theme="9" tint="-0.249977111117893"/>
  </sheetPr>
  <dimension ref="A1:AB25"/>
  <sheetViews>
    <sheetView topLeftCell="D1" workbookViewId="0">
      <selection activeCell="Z1" sqref="Z1:AA16"/>
    </sheetView>
  </sheetViews>
  <sheetFormatPr defaultColWidth="9.140625" defaultRowHeight="15.75" x14ac:dyDescent="0.25"/>
  <cols>
    <col min="1" max="1" width="16.5703125" style="77" bestFit="1" customWidth="1"/>
    <col min="2" max="2" width="37.5703125" style="77" bestFit="1" customWidth="1"/>
    <col min="3" max="3" width="16.42578125" style="77" bestFit="1" customWidth="1"/>
    <col min="4" max="4" width="21.140625" style="77" bestFit="1" customWidth="1"/>
    <col min="5" max="5" width="15.140625" style="77" bestFit="1" customWidth="1"/>
    <col min="6" max="6" width="35.5703125" style="77" bestFit="1" customWidth="1"/>
    <col min="7" max="7" width="33.42578125" style="77" bestFit="1" customWidth="1"/>
    <col min="8" max="8" width="23.5703125" style="77" bestFit="1" customWidth="1"/>
    <col min="9" max="9" width="16.140625" style="77" bestFit="1" customWidth="1"/>
    <col min="10" max="10" width="22.42578125" style="77" bestFit="1" customWidth="1"/>
    <col min="11" max="11" width="69.5703125" style="77" bestFit="1" customWidth="1"/>
    <col min="12" max="12" width="33.5703125" style="77" bestFit="1" customWidth="1"/>
    <col min="13" max="13" width="15.5703125" style="77" bestFit="1" customWidth="1"/>
    <col min="14" max="14" width="28.42578125" style="77" bestFit="1" customWidth="1"/>
    <col min="15" max="15" width="21.140625" style="77" bestFit="1" customWidth="1"/>
    <col min="16" max="16" width="23.85546875" style="77" bestFit="1" customWidth="1"/>
    <col min="17" max="17" width="109.42578125" style="77" customWidth="1"/>
    <col min="18" max="25" width="9.140625" style="77"/>
    <col min="26" max="26" width="35.5703125" style="77" bestFit="1" customWidth="1"/>
    <col min="27" max="27" width="33.140625" style="77" bestFit="1" customWidth="1"/>
    <col min="28" max="28" width="58" style="140" customWidth="1"/>
    <col min="29" max="16384" width="9.140625" style="77"/>
  </cols>
  <sheetData>
    <row r="1" spans="1:28" s="79" customFormat="1" ht="18.75" x14ac:dyDescent="0.3">
      <c r="A1" s="79" t="s">
        <v>0</v>
      </c>
      <c r="B1" s="79" t="s">
        <v>712</v>
      </c>
      <c r="C1" s="79" t="s">
        <v>35</v>
      </c>
      <c r="D1" s="79" t="s">
        <v>734</v>
      </c>
      <c r="E1" s="79" t="s">
        <v>737</v>
      </c>
      <c r="F1" s="79" t="s">
        <v>713</v>
      </c>
      <c r="G1" s="79" t="s">
        <v>725</v>
      </c>
      <c r="H1" s="79" t="s">
        <v>714</v>
      </c>
      <c r="I1" s="79" t="s">
        <v>711</v>
      </c>
      <c r="J1" s="79" t="s">
        <v>715</v>
      </c>
      <c r="K1" s="79" t="s">
        <v>738</v>
      </c>
      <c r="L1" s="79" t="s">
        <v>739</v>
      </c>
      <c r="M1" s="79" t="s">
        <v>716</v>
      </c>
      <c r="N1" s="79" t="s">
        <v>717</v>
      </c>
      <c r="O1" s="79" t="s">
        <v>718</v>
      </c>
      <c r="P1" s="79" t="s">
        <v>726</v>
      </c>
      <c r="Q1" s="79" t="s">
        <v>474</v>
      </c>
      <c r="Z1" s="154" t="s">
        <v>0</v>
      </c>
      <c r="AA1" s="147" t="s">
        <v>685</v>
      </c>
      <c r="AB1" s="141" t="s">
        <v>769</v>
      </c>
    </row>
    <row r="2" spans="1:28" ht="18.75" x14ac:dyDescent="0.3">
      <c r="A2" s="77" t="s">
        <v>685</v>
      </c>
      <c r="B2" s="77" t="s">
        <v>686</v>
      </c>
      <c r="C2" s="81">
        <v>45745</v>
      </c>
      <c r="D2" s="77" t="s">
        <v>477</v>
      </c>
      <c r="E2" s="77" t="s">
        <v>81</v>
      </c>
      <c r="F2" s="77" t="s">
        <v>301</v>
      </c>
      <c r="G2" s="126" t="s">
        <v>804</v>
      </c>
      <c r="H2" s="126" t="s">
        <v>807</v>
      </c>
      <c r="I2" s="126" t="s">
        <v>808</v>
      </c>
      <c r="J2" s="126" t="s">
        <v>806</v>
      </c>
      <c r="K2" s="126" t="s">
        <v>813</v>
      </c>
      <c r="L2" s="126" t="s">
        <v>812</v>
      </c>
      <c r="M2" s="126" t="s">
        <v>751</v>
      </c>
      <c r="N2" s="88"/>
      <c r="O2" s="126" t="s">
        <v>591</v>
      </c>
      <c r="P2" s="126" t="s">
        <v>753</v>
      </c>
      <c r="Z2" s="155" t="s">
        <v>712</v>
      </c>
      <c r="AA2" s="148" t="s">
        <v>686</v>
      </c>
      <c r="AB2" s="142" t="s">
        <v>770</v>
      </c>
    </row>
    <row r="3" spans="1:28" ht="18.75" x14ac:dyDescent="0.3">
      <c r="A3" s="126" t="s">
        <v>769</v>
      </c>
      <c r="B3" s="126" t="s">
        <v>770</v>
      </c>
      <c r="C3" s="127">
        <v>45747</v>
      </c>
      <c r="D3" s="77" t="s">
        <v>477</v>
      </c>
      <c r="E3" s="77" t="s">
        <v>56</v>
      </c>
      <c r="F3" s="126" t="s">
        <v>80</v>
      </c>
      <c r="G3" s="126" t="s">
        <v>805</v>
      </c>
      <c r="H3" s="126" t="s">
        <v>750</v>
      </c>
      <c r="I3" s="126" t="s">
        <v>810</v>
      </c>
      <c r="J3" s="126" t="s">
        <v>809</v>
      </c>
      <c r="K3" s="126" t="s">
        <v>740</v>
      </c>
      <c r="L3" s="126" t="s">
        <v>740</v>
      </c>
      <c r="M3" s="126" t="s">
        <v>814</v>
      </c>
      <c r="N3" s="128">
        <v>5</v>
      </c>
      <c r="O3" s="126" t="s">
        <v>753</v>
      </c>
      <c r="P3" s="126" t="s">
        <v>745</v>
      </c>
      <c r="Q3" s="126" t="s">
        <v>811</v>
      </c>
      <c r="Z3" s="156" t="s">
        <v>35</v>
      </c>
      <c r="AA3" s="149">
        <v>45745</v>
      </c>
      <c r="AB3" s="143">
        <v>45747</v>
      </c>
    </row>
    <row r="4" spans="1:28" ht="19.5" thickBot="1" x14ac:dyDescent="0.35">
      <c r="A4"/>
      <c r="U4" s="42" t="s">
        <v>0</v>
      </c>
      <c r="Z4" s="156" t="s">
        <v>737</v>
      </c>
      <c r="AA4" s="150" t="s">
        <v>81</v>
      </c>
      <c r="AB4" s="144" t="s">
        <v>56</v>
      </c>
    </row>
    <row r="5" spans="1:28" ht="19.5" thickBot="1" x14ac:dyDescent="0.35">
      <c r="A5"/>
      <c r="U5" s="42" t="s">
        <v>712</v>
      </c>
      <c r="Z5" s="155" t="s">
        <v>713</v>
      </c>
      <c r="AA5" s="148" t="s">
        <v>301</v>
      </c>
      <c r="AB5" s="142" t="s">
        <v>80</v>
      </c>
    </row>
    <row r="6" spans="1:28" ht="19.5" thickBot="1" x14ac:dyDescent="0.35">
      <c r="A6"/>
      <c r="U6" s="42" t="s">
        <v>35</v>
      </c>
      <c r="Z6" s="156" t="s">
        <v>725</v>
      </c>
      <c r="AA6" s="150" t="s">
        <v>804</v>
      </c>
      <c r="AB6" s="144" t="s">
        <v>805</v>
      </c>
    </row>
    <row r="7" spans="1:28" ht="19.5" thickBot="1" x14ac:dyDescent="0.35">
      <c r="A7"/>
      <c r="U7" s="42" t="s">
        <v>734</v>
      </c>
      <c r="Z7" s="155" t="s">
        <v>714</v>
      </c>
      <c r="AA7" s="148" t="s">
        <v>807</v>
      </c>
      <c r="AB7" s="142" t="s">
        <v>750</v>
      </c>
    </row>
    <row r="8" spans="1:28" ht="19.5" thickBot="1" x14ac:dyDescent="0.35">
      <c r="A8"/>
      <c r="U8" s="42" t="s">
        <v>737</v>
      </c>
      <c r="Z8" s="156" t="s">
        <v>711</v>
      </c>
      <c r="AA8" s="150" t="s">
        <v>808</v>
      </c>
      <c r="AB8" s="144" t="s">
        <v>810</v>
      </c>
    </row>
    <row r="9" spans="1:28" ht="19.5" thickBot="1" x14ac:dyDescent="0.35">
      <c r="A9"/>
      <c r="U9" s="42" t="s">
        <v>713</v>
      </c>
      <c r="Z9" s="155" t="s">
        <v>715</v>
      </c>
      <c r="AA9" s="148" t="s">
        <v>806</v>
      </c>
      <c r="AB9" s="142" t="s">
        <v>809</v>
      </c>
    </row>
    <row r="10" spans="1:28" ht="19.5" thickBot="1" x14ac:dyDescent="0.35">
      <c r="A10"/>
      <c r="U10" s="42" t="s">
        <v>725</v>
      </c>
      <c r="Z10" s="157" t="s">
        <v>738</v>
      </c>
      <c r="AA10" s="151" t="s">
        <v>813</v>
      </c>
      <c r="AB10" s="144" t="s">
        <v>740</v>
      </c>
    </row>
    <row r="11" spans="1:28" ht="18.75" x14ac:dyDescent="0.3">
      <c r="Z11" s="155" t="s">
        <v>739</v>
      </c>
      <c r="AA11" s="148" t="s">
        <v>812</v>
      </c>
      <c r="AB11" s="142" t="s">
        <v>740</v>
      </c>
    </row>
    <row r="12" spans="1:28" ht="18.75" x14ac:dyDescent="0.3">
      <c r="Z12" s="156" t="s">
        <v>716</v>
      </c>
      <c r="AA12" s="150" t="s">
        <v>751</v>
      </c>
      <c r="AB12" s="144" t="s">
        <v>814</v>
      </c>
    </row>
    <row r="13" spans="1:28" ht="18.75" x14ac:dyDescent="0.3">
      <c r="Z13" s="155" t="s">
        <v>717</v>
      </c>
      <c r="AA13" s="152"/>
      <c r="AB13" s="145">
        <v>5</v>
      </c>
    </row>
    <row r="14" spans="1:28" ht="18.75" x14ac:dyDescent="0.3">
      <c r="Z14" s="156" t="s">
        <v>718</v>
      </c>
      <c r="AA14" s="150" t="s">
        <v>591</v>
      </c>
      <c r="AB14" s="144" t="s">
        <v>753</v>
      </c>
    </row>
    <row r="15" spans="1:28" ht="18.75" x14ac:dyDescent="0.3">
      <c r="Z15" s="156" t="s">
        <v>726</v>
      </c>
      <c r="AA15" s="150" t="s">
        <v>753</v>
      </c>
      <c r="AB15" s="144" t="s">
        <v>745</v>
      </c>
    </row>
    <row r="16" spans="1:28" ht="32.25" thickBot="1" x14ac:dyDescent="0.3">
      <c r="Z16" s="158" t="s">
        <v>474</v>
      </c>
      <c r="AA16" s="153"/>
      <c r="AB16" s="146" t="s">
        <v>811</v>
      </c>
    </row>
    <row r="23" spans="1:17" ht="19.5" thickBot="1" x14ac:dyDescent="0.35">
      <c r="A23" s="129" t="s">
        <v>0</v>
      </c>
      <c r="B23" s="129" t="s">
        <v>712</v>
      </c>
      <c r="C23" s="129" t="s">
        <v>35</v>
      </c>
      <c r="D23" s="129" t="s">
        <v>734</v>
      </c>
      <c r="E23" s="129" t="s">
        <v>737</v>
      </c>
      <c r="F23" s="129" t="s">
        <v>713</v>
      </c>
      <c r="G23" s="129" t="s">
        <v>725</v>
      </c>
      <c r="H23" s="129" t="s">
        <v>714</v>
      </c>
      <c r="I23" s="129" t="s">
        <v>711</v>
      </c>
      <c r="J23" s="129" t="s">
        <v>715</v>
      </c>
      <c r="K23" s="129" t="s">
        <v>738</v>
      </c>
      <c r="L23" s="129" t="s">
        <v>739</v>
      </c>
      <c r="M23" s="129" t="s">
        <v>716</v>
      </c>
      <c r="N23" s="129" t="s">
        <v>717</v>
      </c>
      <c r="O23" s="129" t="s">
        <v>718</v>
      </c>
      <c r="P23" s="129" t="s">
        <v>726</v>
      </c>
      <c r="Q23" s="129" t="s">
        <v>474</v>
      </c>
    </row>
    <row r="24" spans="1:17" x14ac:dyDescent="0.25">
      <c r="A24" s="130" t="s">
        <v>685</v>
      </c>
      <c r="B24" s="131" t="s">
        <v>686</v>
      </c>
      <c r="C24" s="132">
        <v>45745</v>
      </c>
      <c r="D24" s="131" t="s">
        <v>477</v>
      </c>
      <c r="E24" s="131" t="s">
        <v>81</v>
      </c>
      <c r="F24" s="131" t="s">
        <v>301</v>
      </c>
      <c r="G24" s="131" t="s">
        <v>804</v>
      </c>
      <c r="H24" s="131" t="s">
        <v>807</v>
      </c>
      <c r="I24" s="131" t="s">
        <v>808</v>
      </c>
      <c r="J24" s="131" t="s">
        <v>806</v>
      </c>
      <c r="K24" s="131" t="s">
        <v>813</v>
      </c>
      <c r="L24" s="131" t="s">
        <v>812</v>
      </c>
      <c r="M24" s="131" t="s">
        <v>751</v>
      </c>
      <c r="N24" s="133"/>
      <c r="O24" s="131" t="s">
        <v>591</v>
      </c>
      <c r="P24" s="131" t="s">
        <v>753</v>
      </c>
      <c r="Q24" s="134"/>
    </row>
    <row r="25" spans="1:17" ht="16.5" thickBot="1" x14ac:dyDescent="0.3">
      <c r="A25" s="135" t="s">
        <v>769</v>
      </c>
      <c r="B25" s="136" t="s">
        <v>770</v>
      </c>
      <c r="C25" s="137">
        <v>45747</v>
      </c>
      <c r="D25" s="136" t="s">
        <v>477</v>
      </c>
      <c r="E25" s="136" t="s">
        <v>56</v>
      </c>
      <c r="F25" s="136" t="s">
        <v>80</v>
      </c>
      <c r="G25" s="136" t="s">
        <v>805</v>
      </c>
      <c r="H25" s="136" t="s">
        <v>750</v>
      </c>
      <c r="I25" s="136" t="s">
        <v>810</v>
      </c>
      <c r="J25" s="136" t="s">
        <v>809</v>
      </c>
      <c r="K25" s="136" t="s">
        <v>740</v>
      </c>
      <c r="L25" s="136" t="s">
        <v>740</v>
      </c>
      <c r="M25" s="136" t="s">
        <v>814</v>
      </c>
      <c r="N25" s="138">
        <v>5</v>
      </c>
      <c r="O25" s="136" t="s">
        <v>753</v>
      </c>
      <c r="P25" s="136" t="s">
        <v>745</v>
      </c>
      <c r="Q25" s="139" t="s">
        <v>811</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78986-90B3-41AE-81F6-B4CB0C2C0B55}">
  <sheetPr codeName="Sheet2">
    <tabColor rgb="FF00B050"/>
  </sheetPr>
  <dimension ref="A1:AD31"/>
  <sheetViews>
    <sheetView workbookViewId="0">
      <selection activeCell="A14" sqref="A14:H25"/>
    </sheetView>
  </sheetViews>
  <sheetFormatPr defaultRowHeight="15" x14ac:dyDescent="0.25"/>
  <cols>
    <col min="1" max="1" width="23.42578125" bestFit="1" customWidth="1"/>
    <col min="2" max="2" width="12.28515625" bestFit="1" customWidth="1"/>
    <col min="3" max="3" width="8.28515625" bestFit="1" customWidth="1"/>
    <col min="4" max="4" width="9" bestFit="1" customWidth="1"/>
    <col min="5" max="5" width="8.7109375" bestFit="1" customWidth="1"/>
    <col min="6" max="6" width="8.28515625" bestFit="1" customWidth="1"/>
    <col min="7" max="8" width="12.7109375" customWidth="1"/>
    <col min="9" max="9" width="23.42578125" bestFit="1" customWidth="1"/>
    <col min="10" max="10" width="17.85546875" bestFit="1" customWidth="1"/>
    <col min="11" max="11" width="9" bestFit="1" customWidth="1"/>
    <col min="12" max="12" width="11.28515625" bestFit="1" customWidth="1"/>
    <col min="13" max="18" width="11.28515625" customWidth="1"/>
    <col min="19" max="19" width="11.28515625" bestFit="1" customWidth="1"/>
    <col min="20" max="20" width="12.28515625" bestFit="1" customWidth="1"/>
    <col min="21" max="21" width="34.42578125" bestFit="1" customWidth="1"/>
    <col min="22" max="22" width="32.5703125" bestFit="1" customWidth="1"/>
    <col min="23" max="23" width="255.7109375" bestFit="1" customWidth="1"/>
    <col min="24" max="24" width="22.28515625" bestFit="1" customWidth="1"/>
    <col min="25" max="25" width="9" bestFit="1" customWidth="1"/>
    <col min="28" max="28" width="24.28515625" style="53" customWidth="1"/>
    <col min="29" max="29" width="22" style="53" bestFit="1" customWidth="1"/>
    <col min="30" max="30" width="74.140625" style="53" bestFit="1" customWidth="1"/>
  </cols>
  <sheetData>
    <row r="1" spans="1:30" ht="15.75" x14ac:dyDescent="0.25">
      <c r="A1" s="5" t="s">
        <v>1</v>
      </c>
      <c r="B1" t="s">
        <v>132</v>
      </c>
      <c r="I1" s="5" t="s">
        <v>1</v>
      </c>
      <c r="J1" t="s">
        <v>217</v>
      </c>
      <c r="U1" s="162" t="s">
        <v>1</v>
      </c>
      <c r="V1" s="126" t="s">
        <v>217</v>
      </c>
      <c r="W1" s="3"/>
    </row>
    <row r="2" spans="1:30" ht="15.75" x14ac:dyDescent="0.25">
      <c r="A2" s="5" t="s">
        <v>10</v>
      </c>
      <c r="B2" t="s">
        <v>132</v>
      </c>
      <c r="I2" s="5" t="s">
        <v>10</v>
      </c>
      <c r="J2" t="s">
        <v>132</v>
      </c>
      <c r="U2" s="162" t="s">
        <v>10</v>
      </c>
      <c r="V2" s="126" t="s">
        <v>132</v>
      </c>
      <c r="W2" s="3"/>
    </row>
    <row r="3" spans="1:30" ht="15.75" x14ac:dyDescent="0.25">
      <c r="U3" s="3"/>
      <c r="V3" s="3"/>
      <c r="W3" s="3"/>
    </row>
    <row r="4" spans="1:30" ht="18.75" x14ac:dyDescent="0.3">
      <c r="A4" s="5" t="s">
        <v>133</v>
      </c>
      <c r="B4" s="5" t="s">
        <v>5</v>
      </c>
      <c r="I4" s="5" t="s">
        <v>133</v>
      </c>
      <c r="J4" s="5" t="s">
        <v>5</v>
      </c>
      <c r="U4" s="164" t="s">
        <v>7</v>
      </c>
      <c r="V4" s="164" t="s">
        <v>49</v>
      </c>
      <c r="W4" s="165" t="s">
        <v>474</v>
      </c>
      <c r="X4" s="126" t="s">
        <v>133</v>
      </c>
      <c r="AB4" s="57" t="s">
        <v>7</v>
      </c>
      <c r="AC4" s="57" t="s">
        <v>49</v>
      </c>
      <c r="AD4" s="57" t="s">
        <v>474</v>
      </c>
    </row>
    <row r="5" spans="1:30" ht="31.5" x14ac:dyDescent="0.25">
      <c r="A5" s="5" t="s">
        <v>2</v>
      </c>
      <c r="B5" t="s">
        <v>101</v>
      </c>
      <c r="C5" t="s">
        <v>56</v>
      </c>
      <c r="D5" t="s">
        <v>115</v>
      </c>
      <c r="E5" t="s">
        <v>81</v>
      </c>
      <c r="F5" t="s">
        <v>192</v>
      </c>
      <c r="I5" s="5" t="s">
        <v>2</v>
      </c>
      <c r="J5" t="s">
        <v>101</v>
      </c>
      <c r="K5" t="s">
        <v>115</v>
      </c>
      <c r="U5" s="166" t="s">
        <v>489</v>
      </c>
      <c r="V5" s="126"/>
      <c r="W5" s="126"/>
      <c r="X5" s="163">
        <v>1</v>
      </c>
      <c r="AB5" s="56" t="s">
        <v>489</v>
      </c>
      <c r="AC5" s="56" t="s">
        <v>497</v>
      </c>
      <c r="AD5" s="58" t="s">
        <v>590</v>
      </c>
    </row>
    <row r="6" spans="1:30" ht="31.5" x14ac:dyDescent="0.25">
      <c r="A6" t="s">
        <v>55</v>
      </c>
      <c r="B6" s="114"/>
      <c r="C6" s="114">
        <v>1</v>
      </c>
      <c r="D6" s="114"/>
      <c r="E6" s="114"/>
      <c r="F6" s="114">
        <v>1</v>
      </c>
      <c r="I6" t="s">
        <v>80</v>
      </c>
      <c r="J6" s="114">
        <v>1</v>
      </c>
      <c r="K6" s="114"/>
      <c r="U6" s="166"/>
      <c r="V6" s="166" t="s">
        <v>497</v>
      </c>
      <c r="W6" s="126"/>
      <c r="X6" s="163">
        <v>1</v>
      </c>
      <c r="AB6" s="56" t="s">
        <v>478</v>
      </c>
      <c r="AC6" s="56" t="s">
        <v>485</v>
      </c>
      <c r="AD6" s="58" t="s">
        <v>589</v>
      </c>
    </row>
    <row r="7" spans="1:30" ht="15.75" x14ac:dyDescent="0.25">
      <c r="A7" t="s">
        <v>80</v>
      </c>
      <c r="B7" s="114">
        <v>1</v>
      </c>
      <c r="C7" s="114"/>
      <c r="D7" s="114">
        <v>1</v>
      </c>
      <c r="E7" s="114">
        <v>1</v>
      </c>
      <c r="F7" s="114"/>
      <c r="I7" t="s">
        <v>100</v>
      </c>
      <c r="J7" s="114"/>
      <c r="K7" s="114">
        <v>1</v>
      </c>
      <c r="U7" s="166"/>
      <c r="V7" s="166"/>
      <c r="W7" s="166" t="s">
        <v>492</v>
      </c>
      <c r="X7" s="163">
        <v>1</v>
      </c>
    </row>
    <row r="8" spans="1:30" ht="15.75" x14ac:dyDescent="0.25">
      <c r="A8" t="s">
        <v>100</v>
      </c>
      <c r="B8" s="114">
        <v>1</v>
      </c>
      <c r="C8" s="114"/>
      <c r="D8" s="114">
        <v>1</v>
      </c>
      <c r="E8" s="114"/>
      <c r="F8" s="114"/>
      <c r="U8" s="166" t="s">
        <v>478</v>
      </c>
      <c r="V8" s="126"/>
      <c r="W8" s="126"/>
      <c r="X8" s="163">
        <v>1</v>
      </c>
    </row>
    <row r="9" spans="1:30" ht="15.75" x14ac:dyDescent="0.25">
      <c r="U9" s="166"/>
      <c r="V9" s="166" t="s">
        <v>485</v>
      </c>
      <c r="W9" s="126"/>
      <c r="X9" s="163">
        <v>1</v>
      </c>
    </row>
    <row r="10" spans="1:30" ht="15.75" x14ac:dyDescent="0.25">
      <c r="U10" s="166"/>
      <c r="V10" s="166"/>
      <c r="W10" s="166" t="s">
        <v>481</v>
      </c>
      <c r="X10" s="163">
        <v>1</v>
      </c>
    </row>
    <row r="12" spans="1:30" ht="15.75" x14ac:dyDescent="0.25">
      <c r="AD12" s="56"/>
    </row>
    <row r="14" spans="1:30" ht="26.25" x14ac:dyDescent="0.4">
      <c r="A14" s="108" t="s">
        <v>465</v>
      </c>
      <c r="B14" s="108"/>
      <c r="C14" s="108"/>
      <c r="D14" s="108"/>
      <c r="E14" s="108"/>
      <c r="F14" s="11"/>
      <c r="G14" s="11"/>
      <c r="H14" s="11"/>
    </row>
    <row r="15" spans="1:30" ht="18.75" x14ac:dyDescent="0.3">
      <c r="A15" s="8" t="s">
        <v>458</v>
      </c>
      <c r="B15" s="12" t="s">
        <v>467</v>
      </c>
      <c r="C15" s="12" t="s">
        <v>459</v>
      </c>
      <c r="D15" s="12" t="s">
        <v>460</v>
      </c>
      <c r="E15" s="12" t="s">
        <v>461</v>
      </c>
      <c r="F15" s="8" t="s">
        <v>462</v>
      </c>
      <c r="G15" s="8" t="s">
        <v>463</v>
      </c>
      <c r="H15" s="8" t="s">
        <v>464</v>
      </c>
      <c r="AA15" s="53"/>
      <c r="AD15"/>
    </row>
    <row r="16" spans="1:30" ht="15.75" x14ac:dyDescent="0.25">
      <c r="A16" s="9" t="s">
        <v>55</v>
      </c>
      <c r="B16" s="10"/>
      <c r="C16" s="10">
        <v>1</v>
      </c>
      <c r="D16" s="10">
        <v>1</v>
      </c>
      <c r="E16" s="10"/>
      <c r="F16" s="55"/>
      <c r="G16" s="55"/>
      <c r="H16" s="55"/>
      <c r="AA16" s="53"/>
      <c r="AD16"/>
    </row>
    <row r="17" spans="1:30" ht="15.75" x14ac:dyDescent="0.25">
      <c r="A17" s="9" t="s">
        <v>80</v>
      </c>
      <c r="B17" s="10">
        <v>1</v>
      </c>
      <c r="C17" s="10"/>
      <c r="D17" s="10"/>
      <c r="E17" s="10"/>
      <c r="F17" s="55">
        <v>1</v>
      </c>
      <c r="G17" s="55"/>
      <c r="H17" s="55">
        <v>1</v>
      </c>
      <c r="AA17" s="53"/>
      <c r="AD17"/>
    </row>
    <row r="18" spans="1:30" ht="15.75" x14ac:dyDescent="0.25">
      <c r="A18" s="9" t="s">
        <v>100</v>
      </c>
      <c r="B18" s="10">
        <v>1</v>
      </c>
      <c r="C18" s="10"/>
      <c r="D18" s="10"/>
      <c r="E18" s="10"/>
      <c r="F18" s="55">
        <v>1</v>
      </c>
      <c r="G18" s="55"/>
      <c r="H18" s="55"/>
      <c r="AA18" s="53"/>
      <c r="AD18"/>
    </row>
    <row r="22" spans="1:30" ht="26.25" x14ac:dyDescent="0.4">
      <c r="A22" s="108" t="s">
        <v>466</v>
      </c>
      <c r="B22" s="108"/>
      <c r="C22" s="108"/>
      <c r="D22" s="11"/>
    </row>
    <row r="23" spans="1:30" ht="18.75" x14ac:dyDescent="0.3">
      <c r="A23" s="8" t="s">
        <v>458</v>
      </c>
      <c r="B23" s="8" t="s">
        <v>467</v>
      </c>
      <c r="C23" s="8" t="s">
        <v>459</v>
      </c>
      <c r="D23" s="8" t="s">
        <v>460</v>
      </c>
      <c r="E23" s="8" t="s">
        <v>461</v>
      </c>
      <c r="F23" s="8" t="s">
        <v>462</v>
      </c>
      <c r="G23" s="8" t="s">
        <v>463</v>
      </c>
      <c r="H23" s="8" t="s">
        <v>464</v>
      </c>
    </row>
    <row r="24" spans="1:30" ht="15.75" x14ac:dyDescent="0.25">
      <c r="A24" s="9" t="s">
        <v>80</v>
      </c>
      <c r="B24" s="10">
        <v>1</v>
      </c>
      <c r="C24" s="51"/>
      <c r="D24" s="55"/>
      <c r="E24" s="55"/>
      <c r="F24" s="55"/>
      <c r="G24" s="55"/>
      <c r="H24" s="55"/>
    </row>
    <row r="25" spans="1:30" ht="15.75" x14ac:dyDescent="0.25">
      <c r="A25" s="52" t="s">
        <v>100</v>
      </c>
      <c r="B25" s="51"/>
      <c r="C25" s="51">
        <v>1</v>
      </c>
      <c r="D25" s="55"/>
      <c r="E25" s="55"/>
      <c r="F25" s="55"/>
      <c r="G25" s="55"/>
      <c r="H25" s="55"/>
    </row>
    <row r="28" spans="1:30" ht="26.25" x14ac:dyDescent="0.4">
      <c r="A28" s="108" t="s">
        <v>588</v>
      </c>
      <c r="B28" s="108"/>
      <c r="C28" s="108"/>
    </row>
    <row r="29" spans="1:30" ht="18.75" x14ac:dyDescent="0.3">
      <c r="A29" s="8" t="s">
        <v>458</v>
      </c>
      <c r="B29" s="12" t="s">
        <v>101</v>
      </c>
      <c r="C29" s="12" t="s">
        <v>115</v>
      </c>
    </row>
    <row r="30" spans="1:30" ht="15.75" x14ac:dyDescent="0.25">
      <c r="A30" s="9" t="s">
        <v>80</v>
      </c>
      <c r="B30" s="10">
        <v>1</v>
      </c>
      <c r="C30" s="10"/>
    </row>
    <row r="31" spans="1:30" ht="15.75" x14ac:dyDescent="0.25">
      <c r="A31" s="9" t="s">
        <v>100</v>
      </c>
      <c r="B31" s="10"/>
      <c r="C31" s="10">
        <v>1</v>
      </c>
    </row>
  </sheetData>
  <mergeCells count="3">
    <mergeCell ref="A14:E14"/>
    <mergeCell ref="A28:C28"/>
    <mergeCell ref="A22:C22"/>
  </mergeCells>
  <phoneticPr fontId="16" type="noConversion"/>
  <pageMargins left="0.7" right="0.7" top="0.75" bottom="0.75" header="0.3" footer="0.3"/>
  <pageSetup orientation="portrait"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CD91-03EB-4B99-9CAE-3A6AA2BD27D9}">
  <sheetPr codeName="Sheet3">
    <tabColor rgb="FFFFC000"/>
  </sheetPr>
  <dimension ref="A1:BB13"/>
  <sheetViews>
    <sheetView workbookViewId="0">
      <selection sqref="A1:BB1"/>
    </sheetView>
  </sheetViews>
  <sheetFormatPr defaultColWidth="8.85546875" defaultRowHeight="15.75" x14ac:dyDescent="0.25"/>
  <cols>
    <col min="1" max="1" width="20.140625" style="22" bestFit="1" customWidth="1"/>
    <col min="2" max="2" width="16" style="41" bestFit="1" customWidth="1"/>
    <col min="3" max="3" width="24.28515625" style="23" bestFit="1" customWidth="1"/>
    <col min="4" max="4" width="18.7109375" style="33" bestFit="1" customWidth="1"/>
    <col min="5" max="5" width="15.42578125" style="33" bestFit="1" customWidth="1"/>
    <col min="6" max="6" width="16.28515625" style="3" bestFit="1" customWidth="1"/>
    <col min="7" max="7" width="19" style="3" bestFit="1" customWidth="1"/>
    <col min="8" max="8" width="26" style="3" bestFit="1" customWidth="1"/>
    <col min="9" max="9" width="23.28515625" style="3" bestFit="1" customWidth="1"/>
    <col min="10" max="10" width="22.28515625" style="3" bestFit="1" customWidth="1"/>
    <col min="11" max="11" width="66.28515625" style="3" bestFit="1" customWidth="1"/>
    <col min="12" max="12" width="22.42578125" style="3" bestFit="1" customWidth="1"/>
    <col min="13" max="13" width="22.28515625" style="3" bestFit="1" customWidth="1"/>
    <col min="14" max="14" width="45.5703125" style="3" bestFit="1" customWidth="1"/>
    <col min="15" max="15" width="10" style="22" bestFit="1" customWidth="1"/>
    <col min="16" max="16" width="10.7109375" style="22" bestFit="1" customWidth="1"/>
    <col min="17" max="17" width="80.85546875" style="3" bestFit="1" customWidth="1"/>
    <col min="18" max="18" width="24.42578125" style="22" bestFit="1" customWidth="1"/>
    <col min="19" max="19" width="26.42578125" style="22" bestFit="1" customWidth="1"/>
    <col min="20" max="20" width="20.28515625" style="22" bestFit="1" customWidth="1"/>
    <col min="21" max="21" width="12.42578125" style="22" bestFit="1" customWidth="1"/>
    <col min="22" max="22" width="13.28515625" style="22" bestFit="1" customWidth="1"/>
    <col min="23" max="23" width="17.140625" style="22" bestFit="1" customWidth="1"/>
    <col min="24" max="24" width="20.28515625" style="22" bestFit="1" customWidth="1"/>
    <col min="25" max="25" width="17.140625" style="22" bestFit="1" customWidth="1"/>
    <col min="26" max="26" width="12.42578125" style="22" bestFit="1" customWidth="1"/>
    <col min="27" max="27" width="13.28515625" style="22" bestFit="1" customWidth="1"/>
    <col min="28" max="28" width="18.85546875" style="3" bestFit="1" customWidth="1"/>
    <col min="29" max="29" width="20.85546875" style="3" bestFit="1" customWidth="1"/>
    <col min="30" max="30" width="28.42578125" style="3" bestFit="1" customWidth="1"/>
    <col min="31" max="31" width="12" style="22" bestFit="1" customWidth="1"/>
    <col min="32" max="32" width="24.85546875" style="3" bestFit="1" customWidth="1"/>
    <col min="33" max="33" width="28.42578125" style="3" bestFit="1" customWidth="1"/>
    <col min="34" max="34" width="31.85546875" style="3" bestFit="1" customWidth="1"/>
    <col min="35" max="35" width="31.7109375" style="22" bestFit="1" customWidth="1"/>
    <col min="36" max="36" width="19.7109375" style="41" bestFit="1" customWidth="1"/>
    <col min="37" max="37" width="19.85546875" style="33" bestFit="1" customWidth="1"/>
    <col min="38" max="38" width="30.28515625" style="41" bestFit="1" customWidth="1"/>
    <col min="39" max="39" width="30.5703125" style="33" bestFit="1" customWidth="1"/>
    <col min="40" max="40" width="18.140625" style="41" bestFit="1" customWidth="1"/>
    <col min="41" max="41" width="18.28515625" style="33" bestFit="1" customWidth="1"/>
    <col min="42" max="42" width="10.28515625" style="22" bestFit="1" customWidth="1"/>
    <col min="43" max="43" width="19.28515625" style="35" bestFit="1" customWidth="1"/>
    <col min="44" max="44" width="21.28515625" style="35" bestFit="1" customWidth="1"/>
    <col min="45" max="45" width="9.42578125" style="35" bestFit="1" customWidth="1"/>
    <col min="46" max="46" width="17.28515625" style="37" bestFit="1" customWidth="1"/>
    <col min="47" max="47" width="28.140625" style="39" bestFit="1" customWidth="1"/>
    <col min="48" max="48" width="8.7109375" style="22" bestFit="1" customWidth="1"/>
    <col min="49" max="49" width="80.85546875" style="3" bestFit="1" customWidth="1"/>
    <col min="50" max="50" width="27.7109375" style="3" bestFit="1" customWidth="1"/>
    <col min="51" max="52" width="80.85546875" style="3" bestFit="1" customWidth="1"/>
    <col min="53" max="53" width="22.28515625" style="22" bestFit="1" customWidth="1"/>
    <col min="54" max="54" width="25.7109375" style="22" bestFit="1" customWidth="1"/>
    <col min="55" max="55" width="26.85546875" style="3" bestFit="1" customWidth="1"/>
    <col min="56" max="16384" width="8.85546875" style="3"/>
  </cols>
  <sheetData>
    <row r="1" spans="1:54" s="27" customFormat="1" ht="18.75" x14ac:dyDescent="0.3">
      <c r="A1" s="27" t="s">
        <v>0</v>
      </c>
      <c r="B1" s="40" t="s">
        <v>1</v>
      </c>
      <c r="C1" s="27" t="s">
        <v>2</v>
      </c>
      <c r="D1" s="31" t="s">
        <v>3</v>
      </c>
      <c r="E1" s="31" t="s">
        <v>4</v>
      </c>
      <c r="F1" s="27" t="s">
        <v>5</v>
      </c>
      <c r="G1" s="27" t="s">
        <v>6</v>
      </c>
      <c r="H1" s="27" t="s">
        <v>7</v>
      </c>
      <c r="I1" s="27" t="s">
        <v>8</v>
      </c>
      <c r="J1" s="27" t="s">
        <v>9</v>
      </c>
      <c r="K1" s="27" t="s">
        <v>10</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40" t="s">
        <v>35</v>
      </c>
      <c r="AK1" s="31" t="s">
        <v>36</v>
      </c>
      <c r="AL1" s="40" t="s">
        <v>37</v>
      </c>
      <c r="AM1" s="31" t="s">
        <v>38</v>
      </c>
      <c r="AN1" s="40" t="s">
        <v>39</v>
      </c>
      <c r="AO1" s="31" t="s">
        <v>40</v>
      </c>
      <c r="AP1" s="27" t="s">
        <v>41</v>
      </c>
      <c r="AQ1" s="34" t="s">
        <v>42</v>
      </c>
      <c r="AR1" s="34" t="s">
        <v>43</v>
      </c>
      <c r="AS1" s="34" t="s">
        <v>44</v>
      </c>
      <c r="AT1" s="36" t="s">
        <v>45</v>
      </c>
      <c r="AU1" s="38" t="s">
        <v>46</v>
      </c>
      <c r="AV1" s="27" t="s">
        <v>47</v>
      </c>
      <c r="AW1" t="s">
        <v>474</v>
      </c>
      <c r="AX1" s="27" t="s">
        <v>49</v>
      </c>
      <c r="AY1" s="27" t="s">
        <v>50</v>
      </c>
      <c r="AZ1" s="27" t="s">
        <v>51</v>
      </c>
      <c r="BA1" s="27" t="s">
        <v>52</v>
      </c>
      <c r="BB1" s="27" t="s">
        <v>53</v>
      </c>
    </row>
    <row r="2" spans="1:54" x14ac:dyDescent="0.25">
      <c r="A2" s="80" t="s">
        <v>134</v>
      </c>
      <c r="B2" s="91">
        <v>45673</v>
      </c>
      <c r="C2" s="77" t="s">
        <v>55</v>
      </c>
      <c r="D2" s="92">
        <v>0.5</v>
      </c>
      <c r="E2" s="92">
        <v>0.5</v>
      </c>
      <c r="F2" s="77" t="s">
        <v>115</v>
      </c>
      <c r="G2" s="77" t="s">
        <v>57</v>
      </c>
      <c r="H2" s="77" t="s">
        <v>135</v>
      </c>
      <c r="I2" s="77" t="s">
        <v>136</v>
      </c>
      <c r="J2" s="77" t="s">
        <v>137</v>
      </c>
      <c r="K2" s="77" t="s">
        <v>137</v>
      </c>
      <c r="L2" s="77" t="s">
        <v>61</v>
      </c>
      <c r="M2" s="77" t="s">
        <v>61</v>
      </c>
      <c r="N2" s="77" t="s">
        <v>138</v>
      </c>
      <c r="O2" s="80" t="s">
        <v>139</v>
      </c>
      <c r="P2" s="80">
        <v>7</v>
      </c>
      <c r="Q2" s="77" t="s">
        <v>140</v>
      </c>
      <c r="R2" s="80"/>
      <c r="S2" s="80"/>
      <c r="T2" s="80"/>
      <c r="U2" s="80"/>
      <c r="V2" s="80"/>
      <c r="W2" s="80"/>
      <c r="X2" s="80"/>
      <c r="Y2" s="80"/>
      <c r="Z2" s="80"/>
      <c r="AA2" s="80"/>
      <c r="AB2" s="77" t="s">
        <v>68</v>
      </c>
      <c r="AC2" s="77" t="s">
        <v>69</v>
      </c>
      <c r="AD2" s="77" t="s">
        <v>141</v>
      </c>
      <c r="AE2" s="80" t="s">
        <v>71</v>
      </c>
      <c r="AF2" s="77" t="s">
        <v>72</v>
      </c>
      <c r="AG2" s="77" t="s">
        <v>73</v>
      </c>
      <c r="AH2" s="77" t="s">
        <v>142</v>
      </c>
      <c r="AI2" s="80">
        <v>9</v>
      </c>
      <c r="AJ2" s="91">
        <v>45673</v>
      </c>
      <c r="AK2" s="92">
        <v>0.5</v>
      </c>
      <c r="AL2" s="91">
        <v>45673</v>
      </c>
      <c r="AM2" s="92">
        <v>0.75</v>
      </c>
      <c r="AN2" s="91">
        <v>45673</v>
      </c>
      <c r="AO2" s="92">
        <v>0.81587962962962968</v>
      </c>
      <c r="AP2" s="80">
        <v>2025</v>
      </c>
      <c r="AQ2" s="93">
        <v>3</v>
      </c>
      <c r="AR2" s="93">
        <v>3</v>
      </c>
      <c r="AS2" s="93">
        <v>16</v>
      </c>
      <c r="AT2" s="94">
        <v>16</v>
      </c>
      <c r="AU2" s="95">
        <v>45673.5</v>
      </c>
      <c r="AV2" s="80">
        <v>30</v>
      </c>
      <c r="AW2" t="s">
        <v>140</v>
      </c>
      <c r="AX2" s="77"/>
      <c r="AY2" s="77" t="s">
        <v>143</v>
      </c>
      <c r="AZ2" s="77" t="s">
        <v>144</v>
      </c>
      <c r="BA2" s="80" t="s">
        <v>585</v>
      </c>
      <c r="BB2" s="77" t="s">
        <v>78</v>
      </c>
    </row>
    <row r="3" spans="1:54" x14ac:dyDescent="0.25">
      <c r="A3" s="80" t="s">
        <v>145</v>
      </c>
      <c r="B3" s="91">
        <v>45682</v>
      </c>
      <c r="C3" s="77" t="s">
        <v>146</v>
      </c>
      <c r="D3" s="92">
        <v>0.45833333333333331</v>
      </c>
      <c r="E3" s="92">
        <v>0.45833333333333331</v>
      </c>
      <c r="F3" s="77" t="s">
        <v>81</v>
      </c>
      <c r="G3" s="77" t="s">
        <v>57</v>
      </c>
      <c r="H3" s="77" t="s">
        <v>147</v>
      </c>
      <c r="I3" s="77" t="s">
        <v>148</v>
      </c>
      <c r="J3" s="77" t="s">
        <v>137</v>
      </c>
      <c r="K3" s="77" t="s">
        <v>137</v>
      </c>
      <c r="L3" s="77" t="s">
        <v>61</v>
      </c>
      <c r="M3" s="77" t="s">
        <v>61</v>
      </c>
      <c r="N3" s="77" t="s">
        <v>149</v>
      </c>
      <c r="O3" s="80" t="s">
        <v>150</v>
      </c>
      <c r="P3" s="80">
        <v>5</v>
      </c>
      <c r="Q3" s="77" t="s">
        <v>151</v>
      </c>
      <c r="R3" s="80"/>
      <c r="S3" s="80"/>
      <c r="T3" s="80"/>
      <c r="U3" s="80"/>
      <c r="V3" s="80"/>
      <c r="W3" s="80"/>
      <c r="X3" s="80"/>
      <c r="Y3" s="80"/>
      <c r="Z3" s="80"/>
      <c r="AA3" s="80"/>
      <c r="AB3" s="77" t="s">
        <v>91</v>
      </c>
      <c r="AC3" s="77" t="s">
        <v>69</v>
      </c>
      <c r="AD3" s="77" t="s">
        <v>152</v>
      </c>
      <c r="AE3" s="80" t="s">
        <v>93</v>
      </c>
      <c r="AF3" s="77" t="s">
        <v>72</v>
      </c>
      <c r="AG3" s="77" t="s">
        <v>128</v>
      </c>
      <c r="AH3" s="77" t="s">
        <v>142</v>
      </c>
      <c r="AI3" s="80">
        <v>9</v>
      </c>
      <c r="AJ3" s="91">
        <v>45682</v>
      </c>
      <c r="AK3" s="92">
        <v>0.45833333333333331</v>
      </c>
      <c r="AL3" s="91">
        <v>45682</v>
      </c>
      <c r="AM3" s="92">
        <v>0.58333333333333337</v>
      </c>
      <c r="AN3" s="91">
        <v>45682</v>
      </c>
      <c r="AO3" s="92">
        <v>0.58054398148148145</v>
      </c>
      <c r="AP3" s="80">
        <v>2025</v>
      </c>
      <c r="AQ3" s="93">
        <v>4</v>
      </c>
      <c r="AR3" s="93">
        <v>4</v>
      </c>
      <c r="AS3" s="93">
        <v>25</v>
      </c>
      <c r="AT3" s="94">
        <v>25</v>
      </c>
      <c r="AU3" s="95">
        <v>45682.458333333336</v>
      </c>
      <c r="AV3" s="80">
        <v>60</v>
      </c>
      <c r="AW3" t="s">
        <v>151</v>
      </c>
      <c r="AX3" s="77"/>
      <c r="AY3" s="77" t="s">
        <v>153</v>
      </c>
      <c r="AZ3" s="77" t="s">
        <v>154</v>
      </c>
      <c r="BA3" s="80" t="s">
        <v>584</v>
      </c>
      <c r="BB3" s="77" t="s">
        <v>155</v>
      </c>
    </row>
    <row r="4" spans="1:54" x14ac:dyDescent="0.25">
      <c r="A4" s="80" t="s">
        <v>156</v>
      </c>
      <c r="B4" s="91">
        <v>45688</v>
      </c>
      <c r="C4" s="77" t="s">
        <v>146</v>
      </c>
      <c r="D4" s="92">
        <v>0.45833333333333331</v>
      </c>
      <c r="E4" s="92">
        <v>0.49988425925925928</v>
      </c>
      <c r="F4" s="77" t="s">
        <v>157</v>
      </c>
      <c r="G4" s="77" t="s">
        <v>57</v>
      </c>
      <c r="H4" s="77" t="s">
        <v>158</v>
      </c>
      <c r="I4" s="77" t="s">
        <v>159</v>
      </c>
      <c r="J4" s="77" t="s">
        <v>137</v>
      </c>
      <c r="K4" s="77" t="s">
        <v>137</v>
      </c>
      <c r="L4" s="77" t="s">
        <v>61</v>
      </c>
      <c r="M4" s="77" t="s">
        <v>61</v>
      </c>
      <c r="N4" s="77" t="s">
        <v>160</v>
      </c>
      <c r="O4" s="80" t="s">
        <v>161</v>
      </c>
      <c r="P4" s="80">
        <v>8</v>
      </c>
      <c r="Q4" s="77" t="s">
        <v>162</v>
      </c>
      <c r="R4" s="80"/>
      <c r="S4" s="80"/>
      <c r="T4" s="80"/>
      <c r="U4" s="80"/>
      <c r="V4" s="80"/>
      <c r="W4" s="80"/>
      <c r="X4" s="80"/>
      <c r="Y4" s="80"/>
      <c r="Z4" s="80"/>
      <c r="AA4" s="80"/>
      <c r="AB4" s="77" t="s">
        <v>163</v>
      </c>
      <c r="AC4" s="77" t="s">
        <v>69</v>
      </c>
      <c r="AD4" s="77" t="s">
        <v>164</v>
      </c>
      <c r="AE4" s="80" t="s">
        <v>165</v>
      </c>
      <c r="AF4" s="77" t="s">
        <v>166</v>
      </c>
      <c r="AG4" s="77" t="s">
        <v>73</v>
      </c>
      <c r="AH4" s="77" t="s">
        <v>142</v>
      </c>
      <c r="AI4" s="80">
        <v>9</v>
      </c>
      <c r="AJ4" s="91">
        <v>45688</v>
      </c>
      <c r="AK4" s="92">
        <v>0.49988425925925928</v>
      </c>
      <c r="AL4" s="91"/>
      <c r="AM4" s="92"/>
      <c r="AN4" s="91">
        <v>45688</v>
      </c>
      <c r="AO4" s="92">
        <v>0.49988425925925928</v>
      </c>
      <c r="AP4" s="80">
        <v>2025</v>
      </c>
      <c r="AQ4" s="93">
        <v>5</v>
      </c>
      <c r="AR4" s="93">
        <v>5</v>
      </c>
      <c r="AS4" s="93">
        <v>31</v>
      </c>
      <c r="AT4" s="94">
        <v>31</v>
      </c>
      <c r="AU4" s="95">
        <v>45688.499305555553</v>
      </c>
      <c r="AV4" s="80">
        <v>292</v>
      </c>
      <c r="AW4" t="s">
        <v>162</v>
      </c>
      <c r="AX4" s="77"/>
      <c r="AY4" s="77" t="s">
        <v>61</v>
      </c>
      <c r="AZ4" s="77" t="s">
        <v>61</v>
      </c>
      <c r="BA4" s="80" t="s">
        <v>583</v>
      </c>
      <c r="BB4" s="77" t="s">
        <v>155</v>
      </c>
    </row>
    <row r="5" spans="1:54" x14ac:dyDescent="0.25">
      <c r="A5" s="80" t="s">
        <v>167</v>
      </c>
      <c r="B5" s="91">
        <v>45693</v>
      </c>
      <c r="C5" s="77" t="s">
        <v>168</v>
      </c>
      <c r="D5" s="92">
        <v>8.3333333333333329E-2</v>
      </c>
      <c r="E5" s="92">
        <v>0.12291666666666666</v>
      </c>
      <c r="F5" s="77" t="s">
        <v>169</v>
      </c>
      <c r="G5" s="77" t="s">
        <v>116</v>
      </c>
      <c r="H5" s="77" t="s">
        <v>170</v>
      </c>
      <c r="I5" s="77" t="s">
        <v>171</v>
      </c>
      <c r="J5" s="77" t="s">
        <v>172</v>
      </c>
      <c r="K5" s="77" t="s">
        <v>173</v>
      </c>
      <c r="L5" s="77" t="s">
        <v>174</v>
      </c>
      <c r="M5" s="77" t="s">
        <v>61</v>
      </c>
      <c r="N5" s="77" t="s">
        <v>175</v>
      </c>
      <c r="O5" s="80" t="s">
        <v>161</v>
      </c>
      <c r="P5" s="80">
        <v>8</v>
      </c>
      <c r="Q5" s="77" t="s">
        <v>176</v>
      </c>
      <c r="R5" s="80"/>
      <c r="S5" s="80"/>
      <c r="T5" s="80"/>
      <c r="U5" s="80"/>
      <c r="V5" s="80"/>
      <c r="W5" s="80"/>
      <c r="X5" s="80"/>
      <c r="Y5" s="80"/>
      <c r="Z5" s="80"/>
      <c r="AA5" s="80"/>
      <c r="AB5" s="77" t="s">
        <v>124</v>
      </c>
      <c r="AC5" s="77" t="s">
        <v>69</v>
      </c>
      <c r="AD5" s="77" t="s">
        <v>177</v>
      </c>
      <c r="AE5" s="80" t="s">
        <v>93</v>
      </c>
      <c r="AF5" s="77" t="s">
        <v>178</v>
      </c>
      <c r="AG5" s="77" t="s">
        <v>128</v>
      </c>
      <c r="AH5" s="77" t="s">
        <v>142</v>
      </c>
      <c r="AI5" s="80">
        <v>9</v>
      </c>
      <c r="AJ5" s="91">
        <v>45693</v>
      </c>
      <c r="AK5" s="92">
        <v>0.12291666666666666</v>
      </c>
      <c r="AL5" s="91"/>
      <c r="AM5" s="92"/>
      <c r="AN5" s="91">
        <v>45693</v>
      </c>
      <c r="AO5" s="92">
        <v>0.1233912037037037</v>
      </c>
      <c r="AP5" s="80">
        <v>2025</v>
      </c>
      <c r="AQ5" s="93">
        <v>6</v>
      </c>
      <c r="AR5" s="93">
        <v>2</v>
      </c>
      <c r="AS5" s="93">
        <v>5</v>
      </c>
      <c r="AT5" s="94">
        <v>36</v>
      </c>
      <c r="AU5" s="95">
        <v>45693.122916666667</v>
      </c>
      <c r="AV5" s="80">
        <v>441</v>
      </c>
      <c r="AW5" t="s">
        <v>176</v>
      </c>
      <c r="AX5" s="77"/>
      <c r="AY5" s="77" t="s">
        <v>61</v>
      </c>
      <c r="AZ5" s="77" t="s">
        <v>61</v>
      </c>
      <c r="BA5" s="80" t="s">
        <v>582</v>
      </c>
      <c r="BB5" s="77" t="s">
        <v>179</v>
      </c>
    </row>
    <row r="6" spans="1:54" x14ac:dyDescent="0.25">
      <c r="A6" s="80" t="s">
        <v>180</v>
      </c>
      <c r="B6" s="91">
        <v>45705</v>
      </c>
      <c r="C6" s="77" t="s">
        <v>55</v>
      </c>
      <c r="D6" s="92">
        <v>0.5</v>
      </c>
      <c r="E6" s="92">
        <v>0.52497685185185183</v>
      </c>
      <c r="F6" s="77" t="s">
        <v>56</v>
      </c>
      <c r="G6" s="77" t="s">
        <v>116</v>
      </c>
      <c r="H6" s="77" t="s">
        <v>102</v>
      </c>
      <c r="I6" s="77" t="s">
        <v>181</v>
      </c>
      <c r="J6" s="77" t="s">
        <v>172</v>
      </c>
      <c r="K6" s="77" t="s">
        <v>182</v>
      </c>
      <c r="L6" s="77" t="s">
        <v>183</v>
      </c>
      <c r="M6" s="77" t="s">
        <v>61</v>
      </c>
      <c r="N6" s="77" t="s">
        <v>184</v>
      </c>
      <c r="O6" s="80" t="s">
        <v>185</v>
      </c>
      <c r="P6" s="80">
        <v>9</v>
      </c>
      <c r="Q6" s="77" t="s">
        <v>186</v>
      </c>
      <c r="R6" s="80"/>
      <c r="S6" s="80"/>
      <c r="T6" s="80"/>
      <c r="U6" s="80"/>
      <c r="V6" s="80"/>
      <c r="W6" s="80"/>
      <c r="X6" s="80"/>
      <c r="Y6" s="80"/>
      <c r="Z6" s="80"/>
      <c r="AA6" s="80"/>
      <c r="AB6" s="77" t="s">
        <v>68</v>
      </c>
      <c r="AC6" s="77" t="s">
        <v>69</v>
      </c>
      <c r="AD6" s="77" t="s">
        <v>70</v>
      </c>
      <c r="AE6" s="80" t="s">
        <v>71</v>
      </c>
      <c r="AF6" s="77" t="s">
        <v>187</v>
      </c>
      <c r="AG6" s="77" t="s">
        <v>188</v>
      </c>
      <c r="AH6" s="77" t="s">
        <v>142</v>
      </c>
      <c r="AI6" s="80">
        <v>9</v>
      </c>
      <c r="AJ6" s="91">
        <v>45705</v>
      </c>
      <c r="AK6" s="92">
        <v>0.52497685185185183</v>
      </c>
      <c r="AL6" s="91"/>
      <c r="AM6" s="92"/>
      <c r="AN6" s="91">
        <v>45705</v>
      </c>
      <c r="AO6" s="92">
        <v>0.52497685185185183</v>
      </c>
      <c r="AP6" s="80">
        <v>2025</v>
      </c>
      <c r="AQ6" s="93">
        <v>8</v>
      </c>
      <c r="AR6" s="93">
        <v>4</v>
      </c>
      <c r="AS6" s="93">
        <v>17</v>
      </c>
      <c r="AT6" s="94">
        <v>48</v>
      </c>
      <c r="AU6" s="95">
        <v>45705.524305555555</v>
      </c>
      <c r="AV6" s="80">
        <v>35</v>
      </c>
      <c r="AW6" t="s">
        <v>186</v>
      </c>
      <c r="AX6" s="77"/>
      <c r="AY6" s="77" t="s">
        <v>189</v>
      </c>
      <c r="AZ6" s="77" t="s">
        <v>190</v>
      </c>
      <c r="BA6" s="80" t="s">
        <v>581</v>
      </c>
      <c r="BB6" s="77" t="s">
        <v>78</v>
      </c>
    </row>
    <row r="7" spans="1:54" x14ac:dyDescent="0.25">
      <c r="A7" s="80" t="s">
        <v>191</v>
      </c>
      <c r="B7" s="91">
        <v>45671</v>
      </c>
      <c r="C7" s="77" t="s">
        <v>146</v>
      </c>
      <c r="D7" s="92">
        <v>0.45833333333333331</v>
      </c>
      <c r="E7" s="92">
        <v>0.46388888888888891</v>
      </c>
      <c r="F7" s="77" t="s">
        <v>192</v>
      </c>
      <c r="G7" s="77" t="s">
        <v>57</v>
      </c>
      <c r="H7" s="77" t="s">
        <v>193</v>
      </c>
      <c r="I7" s="77" t="s">
        <v>194</v>
      </c>
      <c r="J7" s="77" t="s">
        <v>137</v>
      </c>
      <c r="K7" s="77" t="s">
        <v>195</v>
      </c>
      <c r="L7" s="77" t="s">
        <v>196</v>
      </c>
      <c r="M7" s="77" t="s">
        <v>197</v>
      </c>
      <c r="N7" s="77" t="s">
        <v>198</v>
      </c>
      <c r="O7" s="80" t="s">
        <v>199</v>
      </c>
      <c r="P7" s="80">
        <v>9</v>
      </c>
      <c r="Q7" s="77" t="s">
        <v>200</v>
      </c>
      <c r="R7" s="80"/>
      <c r="S7" s="80"/>
      <c r="T7" s="80"/>
      <c r="U7" s="80"/>
      <c r="V7" s="80"/>
      <c r="W7" s="80"/>
      <c r="X7" s="80"/>
      <c r="Y7" s="80"/>
      <c r="Z7" s="80"/>
      <c r="AA7" s="80"/>
      <c r="AB7" s="77" t="s">
        <v>201</v>
      </c>
      <c r="AC7" s="77" t="s">
        <v>69</v>
      </c>
      <c r="AD7" s="77" t="s">
        <v>202</v>
      </c>
      <c r="AE7" s="80" t="s">
        <v>165</v>
      </c>
      <c r="AF7" s="77" t="s">
        <v>166</v>
      </c>
      <c r="AG7" s="77" t="s">
        <v>203</v>
      </c>
      <c r="AH7" s="77" t="s">
        <v>142</v>
      </c>
      <c r="AI7" s="80">
        <v>9</v>
      </c>
      <c r="AJ7" s="91">
        <v>45671</v>
      </c>
      <c r="AK7" s="92">
        <v>0.46388888888888891</v>
      </c>
      <c r="AL7" s="91"/>
      <c r="AM7" s="92"/>
      <c r="AN7" s="91">
        <v>45671</v>
      </c>
      <c r="AO7" s="92">
        <v>0.46740740740740738</v>
      </c>
      <c r="AP7" s="80">
        <v>2025</v>
      </c>
      <c r="AQ7" s="93">
        <v>3</v>
      </c>
      <c r="AR7" s="93">
        <v>3</v>
      </c>
      <c r="AS7" s="93">
        <v>14</v>
      </c>
      <c r="AT7" s="94">
        <v>14</v>
      </c>
      <c r="AU7" s="95">
        <v>45671.463888888888</v>
      </c>
      <c r="AV7" s="80">
        <v>895</v>
      </c>
      <c r="AW7" t="s">
        <v>200</v>
      </c>
      <c r="AX7" s="77"/>
      <c r="AY7" s="77" t="s">
        <v>204</v>
      </c>
      <c r="AZ7" s="77" t="s">
        <v>61</v>
      </c>
      <c r="BA7" s="80" t="s">
        <v>585</v>
      </c>
      <c r="BB7" s="77" t="s">
        <v>155</v>
      </c>
    </row>
    <row r="8" spans="1:54" x14ac:dyDescent="0.25">
      <c r="A8" s="80" t="s">
        <v>205</v>
      </c>
      <c r="B8" s="91">
        <v>45673</v>
      </c>
      <c r="C8" s="77" t="s">
        <v>100</v>
      </c>
      <c r="D8" s="92">
        <v>0.83333333333333337</v>
      </c>
      <c r="E8" s="92">
        <v>0.83333333333333337</v>
      </c>
      <c r="F8" s="77" t="s">
        <v>115</v>
      </c>
      <c r="G8" s="77" t="s">
        <v>57</v>
      </c>
      <c r="H8" s="77" t="s">
        <v>206</v>
      </c>
      <c r="I8" s="77" t="s">
        <v>207</v>
      </c>
      <c r="J8" s="77" t="s">
        <v>208</v>
      </c>
      <c r="K8" s="77" t="s">
        <v>209</v>
      </c>
      <c r="L8" s="77" t="s">
        <v>137</v>
      </c>
      <c r="M8" s="77" t="s">
        <v>196</v>
      </c>
      <c r="N8" s="77" t="s">
        <v>210</v>
      </c>
      <c r="O8" s="80" t="s">
        <v>211</v>
      </c>
      <c r="P8" s="80">
        <v>5</v>
      </c>
      <c r="Q8" s="77" t="s">
        <v>212</v>
      </c>
      <c r="R8" s="80"/>
      <c r="S8" s="80"/>
      <c r="T8" s="80"/>
      <c r="U8" s="80"/>
      <c r="V8" s="80"/>
      <c r="W8" s="80"/>
      <c r="X8" s="80"/>
      <c r="Y8" s="80"/>
      <c r="Z8" s="80"/>
      <c r="AA8" s="80"/>
      <c r="AB8" s="77" t="s">
        <v>91</v>
      </c>
      <c r="AC8" s="77" t="s">
        <v>69</v>
      </c>
      <c r="AD8" s="77" t="s">
        <v>213</v>
      </c>
      <c r="AE8" s="80" t="s">
        <v>214</v>
      </c>
      <c r="AF8" s="77"/>
      <c r="AG8" s="77"/>
      <c r="AH8" s="77" t="s">
        <v>142</v>
      </c>
      <c r="AI8" s="80">
        <v>9</v>
      </c>
      <c r="AJ8" s="91">
        <v>45673</v>
      </c>
      <c r="AK8" s="92">
        <v>0.83333333333333337</v>
      </c>
      <c r="AL8" s="91"/>
      <c r="AM8" s="92"/>
      <c r="AN8" s="91">
        <v>45673</v>
      </c>
      <c r="AO8" s="92">
        <v>9.0057870370370371E-2</v>
      </c>
      <c r="AP8" s="80">
        <v>2025</v>
      </c>
      <c r="AQ8" s="93">
        <v>3</v>
      </c>
      <c r="AR8" s="93">
        <v>3</v>
      </c>
      <c r="AS8" s="93">
        <v>16</v>
      </c>
      <c r="AT8" s="94">
        <v>16</v>
      </c>
      <c r="AU8" s="95">
        <v>45673.833333333336</v>
      </c>
      <c r="AV8" s="80">
        <v>152</v>
      </c>
      <c r="AW8" t="s">
        <v>212</v>
      </c>
      <c r="AX8" s="77"/>
      <c r="AY8" s="77" t="s">
        <v>215</v>
      </c>
      <c r="AZ8" s="77" t="s">
        <v>216</v>
      </c>
      <c r="BA8" s="80" t="s">
        <v>585</v>
      </c>
      <c r="BB8" s="77" t="s">
        <v>113</v>
      </c>
    </row>
    <row r="9" spans="1:54" x14ac:dyDescent="0.25">
      <c r="A9" s="80" t="s">
        <v>605</v>
      </c>
      <c r="B9" s="91">
        <v>45726</v>
      </c>
      <c r="C9" s="77" t="s">
        <v>168</v>
      </c>
      <c r="D9" s="92">
        <v>4.1666666666666664E-2</v>
      </c>
      <c r="E9" s="92">
        <v>4.6527777777777779E-2</v>
      </c>
      <c r="F9" s="77" t="s">
        <v>56</v>
      </c>
      <c r="G9" s="77" t="s">
        <v>477</v>
      </c>
      <c r="H9" s="77" t="s">
        <v>606</v>
      </c>
      <c r="I9" s="77" t="s">
        <v>607</v>
      </c>
      <c r="J9" s="77" t="s">
        <v>137</v>
      </c>
      <c r="K9" s="77" t="s">
        <v>137</v>
      </c>
      <c r="L9" s="77" t="s">
        <v>61</v>
      </c>
      <c r="M9" s="77" t="s">
        <v>61</v>
      </c>
      <c r="N9" s="77" t="s">
        <v>608</v>
      </c>
      <c r="O9" s="80" t="s">
        <v>291</v>
      </c>
      <c r="P9" s="80">
        <v>8</v>
      </c>
      <c r="Q9" s="77" t="s">
        <v>609</v>
      </c>
      <c r="R9" s="80"/>
      <c r="S9" s="80"/>
      <c r="T9" s="80"/>
      <c r="U9" s="80"/>
      <c r="V9" s="80"/>
      <c r="W9" s="80"/>
      <c r="X9" s="80"/>
      <c r="Y9" s="80"/>
      <c r="Z9" s="80"/>
      <c r="AA9" s="80"/>
      <c r="AB9" s="77" t="s">
        <v>610</v>
      </c>
      <c r="AC9" s="77" t="s">
        <v>69</v>
      </c>
      <c r="AD9" s="77" t="s">
        <v>227</v>
      </c>
      <c r="AE9" s="80" t="s">
        <v>165</v>
      </c>
      <c r="AF9" s="77" t="s">
        <v>110</v>
      </c>
      <c r="AG9" s="77" t="s">
        <v>128</v>
      </c>
      <c r="AH9" s="77" t="s">
        <v>142</v>
      </c>
      <c r="AI9" s="80">
        <v>9</v>
      </c>
      <c r="AJ9" s="91">
        <v>45726</v>
      </c>
      <c r="AK9" s="92">
        <v>4.6527777777777779E-2</v>
      </c>
      <c r="AL9" s="91">
        <v>45726</v>
      </c>
      <c r="AM9" s="92">
        <v>0.16180555555555556</v>
      </c>
      <c r="AN9" s="91">
        <v>45727</v>
      </c>
      <c r="AO9" s="92">
        <v>0.44234953703703705</v>
      </c>
      <c r="AP9" s="80">
        <v>2025</v>
      </c>
      <c r="AQ9" s="93">
        <v>11</v>
      </c>
      <c r="AR9" s="93">
        <v>3</v>
      </c>
      <c r="AS9" s="93">
        <v>10</v>
      </c>
      <c r="AT9" s="94">
        <v>69</v>
      </c>
      <c r="AU9" s="95">
        <v>45726.046527777777</v>
      </c>
      <c r="AV9" s="80">
        <v>1</v>
      </c>
      <c r="AW9" t="s">
        <v>609</v>
      </c>
      <c r="AX9" s="77"/>
      <c r="AY9" s="77" t="s">
        <v>611</v>
      </c>
      <c r="AZ9" s="77" t="s">
        <v>61</v>
      </c>
      <c r="BA9" s="80" t="s">
        <v>578</v>
      </c>
      <c r="BB9" s="77" t="s">
        <v>179</v>
      </c>
    </row>
    <row r="10" spans="1:54" x14ac:dyDescent="0.25">
      <c r="A10" s="80" t="s">
        <v>612</v>
      </c>
      <c r="B10" s="91">
        <v>45734</v>
      </c>
      <c r="C10" s="77" t="s">
        <v>301</v>
      </c>
      <c r="D10" s="92">
        <v>0.20833333333333334</v>
      </c>
      <c r="E10" s="92">
        <v>0.22916666666666666</v>
      </c>
      <c r="F10" s="77" t="s">
        <v>192</v>
      </c>
      <c r="G10" s="77" t="s">
        <v>477</v>
      </c>
      <c r="H10" s="77" t="s">
        <v>365</v>
      </c>
      <c r="I10" s="77" t="s">
        <v>613</v>
      </c>
      <c r="J10" s="77" t="s">
        <v>449</v>
      </c>
      <c r="K10" s="77" t="s">
        <v>614</v>
      </c>
      <c r="L10" s="77" t="s">
        <v>137</v>
      </c>
      <c r="M10" s="77" t="s">
        <v>61</v>
      </c>
      <c r="N10" s="77" t="s">
        <v>615</v>
      </c>
      <c r="O10" s="80" t="s">
        <v>371</v>
      </c>
      <c r="P10" s="80">
        <v>9</v>
      </c>
      <c r="Q10" s="77" t="s">
        <v>616</v>
      </c>
      <c r="R10" s="80"/>
      <c r="S10" s="80"/>
      <c r="T10" s="80" t="s">
        <v>617</v>
      </c>
      <c r="U10" s="80" t="s">
        <v>618</v>
      </c>
      <c r="V10" s="80" t="s">
        <v>619</v>
      </c>
      <c r="W10" s="80" t="s">
        <v>67</v>
      </c>
      <c r="X10" s="80"/>
      <c r="Y10" s="80"/>
      <c r="Z10" s="80"/>
      <c r="AA10" s="80"/>
      <c r="AB10" s="77"/>
      <c r="AC10" s="77" t="s">
        <v>69</v>
      </c>
      <c r="AD10" s="77" t="s">
        <v>620</v>
      </c>
      <c r="AE10" s="80" t="s">
        <v>621</v>
      </c>
      <c r="AF10" s="77"/>
      <c r="AG10" s="77"/>
      <c r="AH10" s="77"/>
      <c r="AI10" s="80">
        <v>9</v>
      </c>
      <c r="AJ10" s="91"/>
      <c r="AK10" s="92"/>
      <c r="AL10" s="91">
        <v>45734</v>
      </c>
      <c r="AM10" s="92">
        <v>0.22916666666666666</v>
      </c>
      <c r="AN10" s="91">
        <v>45734</v>
      </c>
      <c r="AO10" s="92">
        <v>0.27405092592592595</v>
      </c>
      <c r="AP10" s="80">
        <v>2025</v>
      </c>
      <c r="AQ10" s="93">
        <v>12</v>
      </c>
      <c r="AR10" s="93">
        <v>4</v>
      </c>
      <c r="AS10" s="93">
        <v>18</v>
      </c>
      <c r="AT10" s="94">
        <v>77</v>
      </c>
      <c r="AU10" s="95">
        <v>45734.229166666664</v>
      </c>
      <c r="AV10" s="80">
        <v>414</v>
      </c>
      <c r="AW10" t="s">
        <v>616</v>
      </c>
      <c r="AX10" s="77" t="s">
        <v>622</v>
      </c>
      <c r="AY10" s="77" t="s">
        <v>61</v>
      </c>
      <c r="AZ10" s="77" t="s">
        <v>61</v>
      </c>
      <c r="BA10" s="80" t="s">
        <v>623</v>
      </c>
      <c r="BB10" s="77" t="s">
        <v>312</v>
      </c>
    </row>
    <row r="11" spans="1:54" x14ac:dyDescent="0.25">
      <c r="A11" s="80" t="s">
        <v>624</v>
      </c>
      <c r="B11" s="91">
        <v>45743</v>
      </c>
      <c r="C11" s="77" t="s">
        <v>100</v>
      </c>
      <c r="D11" s="92">
        <v>0.91666666666666663</v>
      </c>
      <c r="E11" s="92">
        <v>0.94666666666666666</v>
      </c>
      <c r="F11" s="77" t="s">
        <v>115</v>
      </c>
      <c r="G11" s="77" t="s">
        <v>477</v>
      </c>
      <c r="H11" s="77" t="s">
        <v>501</v>
      </c>
      <c r="I11" s="77" t="s">
        <v>625</v>
      </c>
      <c r="J11" s="77" t="s">
        <v>172</v>
      </c>
      <c r="K11" s="77" t="s">
        <v>626</v>
      </c>
      <c r="L11" s="77" t="s">
        <v>627</v>
      </c>
      <c r="M11" s="77" t="s">
        <v>368</v>
      </c>
      <c r="N11" s="77" t="s">
        <v>628</v>
      </c>
      <c r="O11" s="80" t="s">
        <v>269</v>
      </c>
      <c r="P11" s="80">
        <v>6</v>
      </c>
      <c r="Q11" s="77" t="s">
        <v>629</v>
      </c>
      <c r="R11" s="80"/>
      <c r="S11" s="80"/>
      <c r="T11" s="80"/>
      <c r="U11" s="80"/>
      <c r="V11" s="80"/>
      <c r="W11" s="80"/>
      <c r="X11" s="80"/>
      <c r="Y11" s="80"/>
      <c r="Z11" s="80"/>
      <c r="AA11" s="80"/>
      <c r="AB11" s="77" t="s">
        <v>425</v>
      </c>
      <c r="AC11" s="77" t="s">
        <v>69</v>
      </c>
      <c r="AD11" s="77" t="s">
        <v>630</v>
      </c>
      <c r="AE11" s="80" t="s">
        <v>126</v>
      </c>
      <c r="AF11" s="77" t="s">
        <v>386</v>
      </c>
      <c r="AG11" s="77" t="s">
        <v>128</v>
      </c>
      <c r="AH11" s="77"/>
      <c r="AI11" s="80">
        <v>9</v>
      </c>
      <c r="AJ11" s="91">
        <v>45743</v>
      </c>
      <c r="AK11" s="92">
        <v>0.94666666666666666</v>
      </c>
      <c r="AL11" s="91"/>
      <c r="AM11" s="92"/>
      <c r="AN11" s="91">
        <v>45743</v>
      </c>
      <c r="AO11" s="92">
        <v>0.94666666666666666</v>
      </c>
      <c r="AP11" s="80">
        <v>2025</v>
      </c>
      <c r="AQ11" s="93">
        <v>13</v>
      </c>
      <c r="AR11" s="93">
        <v>5</v>
      </c>
      <c r="AS11" s="93">
        <v>27</v>
      </c>
      <c r="AT11" s="94">
        <v>86</v>
      </c>
      <c r="AU11" s="95">
        <v>45743.946527777778</v>
      </c>
      <c r="AV11" s="80">
        <v>211</v>
      </c>
      <c r="AW11" t="s">
        <v>629</v>
      </c>
      <c r="AX11" s="77"/>
      <c r="AY11" s="77" t="s">
        <v>61</v>
      </c>
      <c r="AZ11" s="77" t="s">
        <v>631</v>
      </c>
      <c r="BA11" s="80" t="s">
        <v>632</v>
      </c>
      <c r="BB11" s="77" t="s">
        <v>113</v>
      </c>
    </row>
    <row r="12" spans="1:54" x14ac:dyDescent="0.25">
      <c r="A12" s="80" t="s">
        <v>633</v>
      </c>
      <c r="B12" s="91">
        <v>45743</v>
      </c>
      <c r="C12" s="77" t="s">
        <v>100</v>
      </c>
      <c r="D12" s="92">
        <v>0.95833333333333337</v>
      </c>
      <c r="E12" s="92">
        <v>0.97916666666666663</v>
      </c>
      <c r="F12" s="77" t="s">
        <v>115</v>
      </c>
      <c r="G12" s="77" t="s">
        <v>477</v>
      </c>
      <c r="H12" s="77" t="s">
        <v>606</v>
      </c>
      <c r="I12" s="77" t="s">
        <v>634</v>
      </c>
      <c r="J12" s="77" t="s">
        <v>137</v>
      </c>
      <c r="K12" s="77" t="s">
        <v>137</v>
      </c>
      <c r="L12" s="77" t="s">
        <v>61</v>
      </c>
      <c r="M12" s="77" t="s">
        <v>61</v>
      </c>
      <c r="N12" s="77" t="s">
        <v>635</v>
      </c>
      <c r="O12" s="80" t="s">
        <v>291</v>
      </c>
      <c r="P12" s="80">
        <v>8</v>
      </c>
      <c r="Q12" s="77" t="s">
        <v>636</v>
      </c>
      <c r="R12" s="80">
        <v>50300</v>
      </c>
      <c r="S12" s="80"/>
      <c r="T12" s="80"/>
      <c r="U12" s="80"/>
      <c r="V12" s="80"/>
      <c r="W12" s="80"/>
      <c r="X12" s="80"/>
      <c r="Y12" s="80"/>
      <c r="Z12" s="80"/>
      <c r="AA12" s="80"/>
      <c r="AB12" s="77" t="s">
        <v>163</v>
      </c>
      <c r="AC12" s="77" t="s">
        <v>69</v>
      </c>
      <c r="AD12" s="77" t="s">
        <v>496</v>
      </c>
      <c r="AE12" s="80" t="s">
        <v>359</v>
      </c>
      <c r="AF12" s="77" t="s">
        <v>637</v>
      </c>
      <c r="AG12" s="77" t="s">
        <v>128</v>
      </c>
      <c r="AH12" s="77"/>
      <c r="AI12" s="80">
        <v>9</v>
      </c>
      <c r="AJ12" s="91">
        <v>45743</v>
      </c>
      <c r="AK12" s="92">
        <v>0.97916666666666663</v>
      </c>
      <c r="AL12" s="91">
        <v>45744</v>
      </c>
      <c r="AM12" s="92">
        <v>2.5000000000000001E-2</v>
      </c>
      <c r="AN12" s="91">
        <v>45744</v>
      </c>
      <c r="AO12" s="92">
        <v>0.46781250000000002</v>
      </c>
      <c r="AP12" s="80">
        <v>2025</v>
      </c>
      <c r="AQ12" s="93">
        <v>13</v>
      </c>
      <c r="AR12" s="93">
        <v>5</v>
      </c>
      <c r="AS12" s="93">
        <v>27</v>
      </c>
      <c r="AT12" s="94">
        <v>86</v>
      </c>
      <c r="AU12" s="95">
        <v>45743.979166666664</v>
      </c>
      <c r="AV12" s="80">
        <v>2</v>
      </c>
      <c r="AW12" t="s">
        <v>636</v>
      </c>
      <c r="AX12" s="77"/>
      <c r="AY12" s="77" t="s">
        <v>638</v>
      </c>
      <c r="AZ12" s="77" t="s">
        <v>639</v>
      </c>
      <c r="BA12" s="80" t="s">
        <v>632</v>
      </c>
      <c r="BB12" s="77" t="s">
        <v>113</v>
      </c>
    </row>
    <row r="13" spans="1:54" x14ac:dyDescent="0.25">
      <c r="A13" s="80" t="s">
        <v>761</v>
      </c>
      <c r="B13" s="91">
        <v>45747</v>
      </c>
      <c r="C13" s="77" t="s">
        <v>55</v>
      </c>
      <c r="D13" s="92">
        <v>0.5</v>
      </c>
      <c r="E13" s="92">
        <v>0.5</v>
      </c>
      <c r="F13" s="77" t="s">
        <v>56</v>
      </c>
      <c r="G13" s="77" t="s">
        <v>477</v>
      </c>
      <c r="H13" s="77" t="s">
        <v>265</v>
      </c>
      <c r="I13" s="77" t="s">
        <v>762</v>
      </c>
      <c r="J13" s="77" t="s">
        <v>137</v>
      </c>
      <c r="K13" s="77" t="s">
        <v>137</v>
      </c>
      <c r="L13" s="77" t="s">
        <v>61</v>
      </c>
      <c r="M13" s="77" t="s">
        <v>61</v>
      </c>
      <c r="N13" s="77" t="s">
        <v>763</v>
      </c>
      <c r="O13" s="80" t="s">
        <v>764</v>
      </c>
      <c r="P13" s="80">
        <v>7</v>
      </c>
      <c r="Q13" s="77" t="s">
        <v>765</v>
      </c>
      <c r="R13" s="80"/>
      <c r="S13" s="80"/>
      <c r="T13" s="80"/>
      <c r="U13" s="80"/>
      <c r="V13" s="80"/>
      <c r="W13" s="80"/>
      <c r="X13" s="80"/>
      <c r="Y13" s="80"/>
      <c r="Z13" s="80"/>
      <c r="AA13" s="80"/>
      <c r="AB13" s="77" t="s">
        <v>659</v>
      </c>
      <c r="AC13" s="77" t="s">
        <v>69</v>
      </c>
      <c r="AD13" s="77" t="s">
        <v>766</v>
      </c>
      <c r="AE13" s="80" t="s">
        <v>93</v>
      </c>
      <c r="AF13" s="77"/>
      <c r="AG13" s="77"/>
      <c r="AH13" s="77"/>
      <c r="AI13" s="80">
        <v>9</v>
      </c>
      <c r="AJ13" s="91">
        <v>45747</v>
      </c>
      <c r="AK13" s="92">
        <v>0.5</v>
      </c>
      <c r="AL13" s="91"/>
      <c r="AM13" s="92"/>
      <c r="AN13" s="91">
        <v>45747</v>
      </c>
      <c r="AO13" s="92">
        <v>0.54355324074074074</v>
      </c>
      <c r="AP13" s="80">
        <v>2025</v>
      </c>
      <c r="AQ13" s="93">
        <v>14</v>
      </c>
      <c r="AR13" s="93">
        <v>6</v>
      </c>
      <c r="AS13" s="93">
        <v>31</v>
      </c>
      <c r="AT13" s="94">
        <v>90</v>
      </c>
      <c r="AU13" s="95">
        <v>45747.5</v>
      </c>
      <c r="AV13" s="80">
        <v>100</v>
      </c>
      <c r="AW13" t="s">
        <v>765</v>
      </c>
      <c r="AX13" s="77"/>
      <c r="AY13" s="77" t="s">
        <v>767</v>
      </c>
      <c r="AZ13" s="77" t="s">
        <v>768</v>
      </c>
      <c r="BA13" s="80" t="s">
        <v>632</v>
      </c>
      <c r="BB13" s="77" t="s">
        <v>78</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A086C-B833-40E8-8DE0-053C329D2789}">
  <sheetPr codeName="Sheet4">
    <tabColor rgb="FFFFC000"/>
  </sheetPr>
  <dimension ref="A1:L24"/>
  <sheetViews>
    <sheetView workbookViewId="0">
      <selection activeCell="A19" sqref="A19:H24"/>
    </sheetView>
  </sheetViews>
  <sheetFormatPr defaultColWidth="8.85546875" defaultRowHeight="15" x14ac:dyDescent="0.25"/>
  <cols>
    <col min="1" max="1" width="28.140625" style="7" bestFit="1" customWidth="1"/>
    <col min="2" max="2" width="10.5703125" style="7" bestFit="1" customWidth="1"/>
    <col min="3" max="3" width="9.140625" style="7" bestFit="1" customWidth="1"/>
    <col min="4" max="4" width="12.42578125" style="7" bestFit="1" customWidth="1"/>
    <col min="5" max="5" width="10.140625" style="7" bestFit="1" customWidth="1"/>
    <col min="6" max="6" width="7" style="7" bestFit="1" customWidth="1"/>
    <col min="7" max="7" width="9.7109375" style="7" bestFit="1" customWidth="1"/>
    <col min="8" max="8" width="11.42578125" style="7" bestFit="1" customWidth="1"/>
    <col min="9" max="9" width="25.28515625" style="7" bestFit="1" customWidth="1"/>
    <col min="10" max="10" width="17.85546875" style="7" bestFit="1" customWidth="1"/>
    <col min="11" max="11" width="9.140625" style="7" bestFit="1" customWidth="1"/>
    <col min="12" max="12" width="10.140625" style="7" bestFit="1" customWidth="1"/>
    <col min="13" max="16384" width="8.85546875" style="7"/>
  </cols>
  <sheetData>
    <row r="1" spans="1:12" x14ac:dyDescent="0.25">
      <c r="A1" s="72" t="s">
        <v>1</v>
      </c>
      <c r="B1" s="7" t="s">
        <v>132</v>
      </c>
      <c r="I1" s="72" t="s">
        <v>1</v>
      </c>
      <c r="J1" s="7" t="s">
        <v>217</v>
      </c>
    </row>
    <row r="2" spans="1:12" x14ac:dyDescent="0.25">
      <c r="A2" s="72" t="s">
        <v>10</v>
      </c>
      <c r="B2" s="7" t="s">
        <v>132</v>
      </c>
      <c r="I2" s="72" t="s">
        <v>10</v>
      </c>
      <c r="J2" s="7" t="s">
        <v>132</v>
      </c>
    </row>
    <row r="4" spans="1:12" x14ac:dyDescent="0.25">
      <c r="A4" s="72" t="s">
        <v>133</v>
      </c>
      <c r="B4" s="75" t="s">
        <v>5</v>
      </c>
      <c r="I4" s="72" t="s">
        <v>133</v>
      </c>
      <c r="J4" s="72" t="s">
        <v>5</v>
      </c>
    </row>
    <row r="5" spans="1:12" x14ac:dyDescent="0.25">
      <c r="A5" s="72" t="s">
        <v>2</v>
      </c>
      <c r="B5" s="76" t="s">
        <v>56</v>
      </c>
      <c r="C5" s="7" t="s">
        <v>192</v>
      </c>
      <c r="D5" s="7" t="s">
        <v>169</v>
      </c>
      <c r="E5" s="7" t="s">
        <v>115</v>
      </c>
      <c r="F5" s="7" t="s">
        <v>157</v>
      </c>
      <c r="G5" s="7" t="s">
        <v>81</v>
      </c>
      <c r="I5" s="72" t="s">
        <v>2</v>
      </c>
      <c r="J5" s="7" t="s">
        <v>56</v>
      </c>
      <c r="K5" s="7" t="s">
        <v>192</v>
      </c>
      <c r="L5" s="7" t="s">
        <v>115</v>
      </c>
    </row>
    <row r="6" spans="1:12" x14ac:dyDescent="0.25">
      <c r="A6" s="7" t="s">
        <v>168</v>
      </c>
      <c r="B6" s="115">
        <v>1</v>
      </c>
      <c r="C6" s="115"/>
      <c r="D6" s="115">
        <v>1</v>
      </c>
      <c r="E6" s="115"/>
      <c r="F6" s="115"/>
      <c r="G6" s="115"/>
      <c r="I6" s="7" t="s">
        <v>168</v>
      </c>
      <c r="J6" s="115">
        <v>1</v>
      </c>
      <c r="K6" s="115"/>
      <c r="L6" s="115"/>
    </row>
    <row r="7" spans="1:12" x14ac:dyDescent="0.25">
      <c r="A7" s="7" t="s">
        <v>146</v>
      </c>
      <c r="B7" s="115"/>
      <c r="C7" s="115">
        <v>1</v>
      </c>
      <c r="D7" s="115"/>
      <c r="E7" s="115"/>
      <c r="F7" s="115">
        <v>1</v>
      </c>
      <c r="G7" s="115">
        <v>1</v>
      </c>
      <c r="I7" s="7" t="s">
        <v>55</v>
      </c>
      <c r="J7" s="115">
        <v>1</v>
      </c>
      <c r="K7" s="115"/>
      <c r="L7" s="115"/>
    </row>
    <row r="8" spans="1:12" x14ac:dyDescent="0.25">
      <c r="A8" s="7" t="s">
        <v>55</v>
      </c>
      <c r="B8" s="115">
        <v>2</v>
      </c>
      <c r="C8" s="115"/>
      <c r="D8" s="115"/>
      <c r="E8" s="115">
        <v>1</v>
      </c>
      <c r="F8" s="115"/>
      <c r="G8" s="115"/>
      <c r="I8" s="7" t="s">
        <v>100</v>
      </c>
      <c r="J8" s="115"/>
      <c r="K8" s="115"/>
      <c r="L8" s="115">
        <v>2</v>
      </c>
    </row>
    <row r="9" spans="1:12" x14ac:dyDescent="0.25">
      <c r="A9" s="7" t="s">
        <v>100</v>
      </c>
      <c r="B9" s="115"/>
      <c r="C9" s="115"/>
      <c r="D9" s="115"/>
      <c r="E9" s="115">
        <v>3</v>
      </c>
      <c r="F9" s="115"/>
      <c r="G9" s="115"/>
      <c r="I9" s="7" t="s">
        <v>301</v>
      </c>
      <c r="J9" s="115"/>
      <c r="K9" s="115">
        <v>1</v>
      </c>
      <c r="L9" s="115"/>
    </row>
    <row r="10" spans="1:12" x14ac:dyDescent="0.25">
      <c r="A10" s="7" t="s">
        <v>301</v>
      </c>
      <c r="B10" s="115"/>
      <c r="C10" s="115">
        <v>1</v>
      </c>
      <c r="D10" s="115"/>
      <c r="E10" s="115"/>
      <c r="F10" s="115"/>
      <c r="G10" s="115"/>
    </row>
    <row r="11" spans="1:12" ht="26.25" x14ac:dyDescent="0.4">
      <c r="A11" s="108" t="s">
        <v>465</v>
      </c>
      <c r="B11" s="108"/>
      <c r="C11" s="108"/>
      <c r="D11" s="108"/>
      <c r="E11" s="108"/>
      <c r="F11" s="108"/>
      <c r="G11" s="108"/>
      <c r="H11" s="108"/>
    </row>
    <row r="12" spans="1:12" s="8" customFormat="1" ht="18.75" x14ac:dyDescent="0.3">
      <c r="A12" s="8" t="s">
        <v>458</v>
      </c>
      <c r="B12" s="8" t="s">
        <v>467</v>
      </c>
      <c r="C12" s="8" t="s">
        <v>459</v>
      </c>
      <c r="D12" s="8" t="s">
        <v>460</v>
      </c>
      <c r="E12" s="8" t="s">
        <v>461</v>
      </c>
      <c r="F12" s="8" t="s">
        <v>462</v>
      </c>
      <c r="G12" s="8" t="s">
        <v>463</v>
      </c>
      <c r="H12" s="8" t="s">
        <v>464</v>
      </c>
    </row>
    <row r="13" spans="1:12" s="10" customFormat="1" ht="15.75" x14ac:dyDescent="0.25">
      <c r="A13" s="9" t="s">
        <v>168</v>
      </c>
      <c r="B13" s="9"/>
      <c r="C13" s="10">
        <v>1</v>
      </c>
      <c r="E13" s="10">
        <v>1</v>
      </c>
    </row>
    <row r="14" spans="1:12" s="10" customFormat="1" ht="15.75" x14ac:dyDescent="0.25">
      <c r="A14" s="9" t="s">
        <v>146</v>
      </c>
      <c r="B14" s="9"/>
      <c r="D14" s="10">
        <v>1</v>
      </c>
      <c r="G14" s="10">
        <v>1</v>
      </c>
      <c r="H14" s="10">
        <v>1</v>
      </c>
    </row>
    <row r="15" spans="1:12" s="10" customFormat="1" ht="15.75" x14ac:dyDescent="0.25">
      <c r="A15" s="9" t="s">
        <v>55</v>
      </c>
      <c r="B15" s="9"/>
      <c r="C15" s="10">
        <v>2</v>
      </c>
      <c r="F15" s="10">
        <v>1</v>
      </c>
    </row>
    <row r="16" spans="1:12" s="10" customFormat="1" ht="15.75" x14ac:dyDescent="0.25">
      <c r="A16" s="9" t="s">
        <v>100</v>
      </c>
      <c r="B16" s="9"/>
      <c r="F16" s="10">
        <v>3</v>
      </c>
    </row>
    <row r="17" spans="1:8" s="10" customFormat="1" ht="15.75" x14ac:dyDescent="0.25">
      <c r="A17" s="116" t="s">
        <v>301</v>
      </c>
      <c r="B17" s="116"/>
      <c r="C17" s="55"/>
      <c r="D17" s="55">
        <v>1</v>
      </c>
      <c r="E17" s="55"/>
      <c r="F17" s="55"/>
      <c r="G17" s="55"/>
      <c r="H17" s="55"/>
    </row>
    <row r="18" spans="1:8" s="10" customFormat="1" ht="15.75" x14ac:dyDescent="0.25"/>
    <row r="19" spans="1:8" s="10" customFormat="1" ht="26.25" x14ac:dyDescent="0.4">
      <c r="A19" s="108" t="s">
        <v>466</v>
      </c>
      <c r="B19" s="108"/>
      <c r="C19" s="108"/>
      <c r="D19" s="108"/>
      <c r="E19" s="108"/>
      <c r="F19" s="108"/>
      <c r="G19" s="108"/>
      <c r="H19" s="108"/>
    </row>
    <row r="20" spans="1:8" s="10" customFormat="1" ht="18.75" x14ac:dyDescent="0.3">
      <c r="A20" s="8" t="s">
        <v>458</v>
      </c>
      <c r="B20" s="8" t="s">
        <v>467</v>
      </c>
      <c r="C20" s="8" t="s">
        <v>459</v>
      </c>
      <c r="D20" s="8" t="s">
        <v>460</v>
      </c>
      <c r="E20" s="8" t="s">
        <v>461</v>
      </c>
      <c r="F20" s="8" t="s">
        <v>462</v>
      </c>
      <c r="G20" s="8" t="s">
        <v>463</v>
      </c>
      <c r="H20" s="8" t="s">
        <v>464</v>
      </c>
    </row>
    <row r="21" spans="1:8" s="10" customFormat="1" ht="15.75" x14ac:dyDescent="0.25">
      <c r="A21" s="9" t="s">
        <v>168</v>
      </c>
      <c r="B21" s="9"/>
      <c r="C21" s="10">
        <v>1</v>
      </c>
      <c r="F21" s="55"/>
      <c r="G21" s="55"/>
      <c r="H21" s="55"/>
    </row>
    <row r="22" spans="1:8" s="10" customFormat="1" ht="15.75" x14ac:dyDescent="0.25">
      <c r="A22" s="9" t="s">
        <v>55</v>
      </c>
      <c r="B22" s="9"/>
      <c r="C22" s="10">
        <v>1</v>
      </c>
      <c r="F22" s="55"/>
      <c r="G22" s="55"/>
      <c r="H22" s="55"/>
    </row>
    <row r="23" spans="1:8" ht="15.75" x14ac:dyDescent="0.25">
      <c r="A23" s="9" t="s">
        <v>100</v>
      </c>
      <c r="B23" s="9"/>
      <c r="C23" s="10"/>
      <c r="D23" s="10"/>
      <c r="E23" s="10"/>
      <c r="F23" s="55">
        <v>2</v>
      </c>
      <c r="G23" s="55"/>
      <c r="H23" s="55"/>
    </row>
    <row r="24" spans="1:8" ht="15.75" x14ac:dyDescent="0.25">
      <c r="A24" s="9" t="s">
        <v>301</v>
      </c>
      <c r="B24" s="9"/>
      <c r="C24" s="10"/>
      <c r="D24" s="10">
        <v>1</v>
      </c>
      <c r="E24" s="10"/>
      <c r="F24" s="55"/>
      <c r="G24" s="55"/>
      <c r="H24" s="55"/>
    </row>
  </sheetData>
  <mergeCells count="2">
    <mergeCell ref="A11:H11"/>
    <mergeCell ref="A19:H19"/>
  </mergeCells>
  <pageMargins left="0.7" right="0.7" top="0.75" bottom="0.75" header="0.3" footer="0.3"/>
  <pageSetup orientation="portrait"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7A51-4A2C-44D9-B46A-57E546631B23}">
  <sheetPr>
    <tabColor rgb="FFFFC000"/>
  </sheetPr>
  <dimension ref="A1:U16"/>
  <sheetViews>
    <sheetView tabSelected="1" topLeftCell="H1" workbookViewId="0">
      <selection activeCell="R2" sqref="R2:U16"/>
    </sheetView>
  </sheetViews>
  <sheetFormatPr defaultColWidth="9.140625" defaultRowHeight="15.75" x14ac:dyDescent="0.25"/>
  <cols>
    <col min="1" max="1" width="16.5703125" style="77" bestFit="1" customWidth="1"/>
    <col min="2" max="2" width="32.5703125" style="77" bestFit="1" customWidth="1"/>
    <col min="3" max="3" width="16.42578125" style="77" bestFit="1" customWidth="1"/>
    <col min="4" max="4" width="21.140625" style="77" bestFit="1" customWidth="1"/>
    <col min="5" max="5" width="15.140625" style="77" bestFit="1" customWidth="1"/>
    <col min="6" max="6" width="35.5703125" style="77" bestFit="1" customWidth="1"/>
    <col min="7" max="7" width="33.42578125" style="77" bestFit="1" customWidth="1"/>
    <col min="8" max="8" width="23.5703125" style="77" bestFit="1" customWidth="1"/>
    <col min="9" max="9" width="23.5703125" style="77" customWidth="1"/>
    <col min="10" max="11" width="24.85546875" style="77" bestFit="1" customWidth="1"/>
    <col min="12" max="13" width="33.5703125" style="77" bestFit="1" customWidth="1"/>
    <col min="14" max="15" width="28.42578125" style="77" bestFit="1" customWidth="1"/>
    <col min="16" max="16" width="65" style="77" bestFit="1" customWidth="1"/>
    <col min="17" max="17" width="27.5703125" style="77" customWidth="1"/>
    <col min="18" max="18" width="35.5703125" style="77" bestFit="1" customWidth="1"/>
    <col min="19" max="19" width="29.140625" style="77" bestFit="1" customWidth="1"/>
    <col min="20" max="20" width="44" style="110" customWidth="1"/>
    <col min="21" max="21" width="28" style="77" bestFit="1" customWidth="1"/>
    <col min="22" max="16384" width="9.140625" style="77"/>
  </cols>
  <sheetData>
    <row r="1" spans="1:21" s="79" customFormat="1" ht="19.5" thickBot="1" x14ac:dyDescent="0.35">
      <c r="A1" s="79" t="s">
        <v>0</v>
      </c>
      <c r="B1" s="79" t="s">
        <v>712</v>
      </c>
      <c r="C1" s="79" t="s">
        <v>35</v>
      </c>
      <c r="D1" s="79" t="s">
        <v>734</v>
      </c>
      <c r="E1" s="79" t="s">
        <v>737</v>
      </c>
      <c r="F1" s="79" t="s">
        <v>713</v>
      </c>
      <c r="G1" s="79" t="s">
        <v>782</v>
      </c>
      <c r="H1" s="79" t="s">
        <v>711</v>
      </c>
      <c r="I1" s="79" t="s">
        <v>781</v>
      </c>
      <c r="J1" s="79" t="s">
        <v>783</v>
      </c>
      <c r="K1" s="79" t="s">
        <v>738</v>
      </c>
      <c r="L1" s="79" t="s">
        <v>739</v>
      </c>
      <c r="M1" s="79" t="s">
        <v>716</v>
      </c>
      <c r="N1" s="79" t="s">
        <v>717</v>
      </c>
      <c r="O1" s="79" t="s">
        <v>726</v>
      </c>
      <c r="P1" s="79" t="s">
        <v>474</v>
      </c>
      <c r="R1" s="195" t="s">
        <v>800</v>
      </c>
      <c r="S1" s="196" t="s">
        <v>801</v>
      </c>
      <c r="T1" s="197" t="s">
        <v>802</v>
      </c>
      <c r="U1" s="198" t="s">
        <v>803</v>
      </c>
    </row>
    <row r="2" spans="1:21" ht="18.75" x14ac:dyDescent="0.3">
      <c r="A2" s="80" t="s">
        <v>624</v>
      </c>
      <c r="B2" s="77" t="s">
        <v>501</v>
      </c>
      <c r="C2" s="91">
        <v>45743</v>
      </c>
      <c r="D2" s="77" t="s">
        <v>477</v>
      </c>
      <c r="E2" s="77" t="s">
        <v>115</v>
      </c>
      <c r="F2" s="77" t="s">
        <v>100</v>
      </c>
      <c r="G2" s="104" t="s">
        <v>784</v>
      </c>
      <c r="H2" s="104" t="s">
        <v>740</v>
      </c>
      <c r="I2" s="104" t="s">
        <v>785</v>
      </c>
      <c r="J2" s="104" t="s">
        <v>751</v>
      </c>
      <c r="K2" s="104" t="s">
        <v>787</v>
      </c>
      <c r="L2" s="104" t="s">
        <v>751</v>
      </c>
      <c r="M2" s="77" t="s">
        <v>786</v>
      </c>
      <c r="N2" s="88"/>
      <c r="O2" s="104" t="s">
        <v>745</v>
      </c>
      <c r="P2" s="104" t="s">
        <v>788</v>
      </c>
      <c r="R2" s="201" t="s">
        <v>0</v>
      </c>
      <c r="S2" s="203" t="s">
        <v>624</v>
      </c>
      <c r="T2" s="199" t="s">
        <v>633</v>
      </c>
      <c r="U2" s="209" t="s">
        <v>761</v>
      </c>
    </row>
    <row r="3" spans="1:21" ht="18.75" x14ac:dyDescent="0.3">
      <c r="A3" s="105" t="s">
        <v>633</v>
      </c>
      <c r="B3" s="77" t="s">
        <v>606</v>
      </c>
      <c r="C3" s="91">
        <v>45743</v>
      </c>
      <c r="D3" s="77" t="s">
        <v>477</v>
      </c>
      <c r="E3" s="77" t="s">
        <v>115</v>
      </c>
      <c r="F3" s="77" t="s">
        <v>100</v>
      </c>
      <c r="G3" s="104" t="s">
        <v>789</v>
      </c>
      <c r="H3" s="104" t="s">
        <v>790</v>
      </c>
      <c r="I3" s="104" t="s">
        <v>796</v>
      </c>
      <c r="J3" s="104" t="s">
        <v>791</v>
      </c>
      <c r="K3" s="104" t="s">
        <v>792</v>
      </c>
      <c r="L3" s="104" t="s">
        <v>751</v>
      </c>
      <c r="M3" s="104" t="s">
        <v>793</v>
      </c>
      <c r="N3" s="106">
        <v>50300</v>
      </c>
      <c r="O3" s="104" t="s">
        <v>745</v>
      </c>
      <c r="P3" s="104" t="s">
        <v>794</v>
      </c>
      <c r="R3" s="181" t="s">
        <v>712</v>
      </c>
      <c r="S3" s="204" t="s">
        <v>501</v>
      </c>
      <c r="T3" s="111" t="s">
        <v>606</v>
      </c>
      <c r="U3" s="210" t="s">
        <v>265</v>
      </c>
    </row>
    <row r="4" spans="1:21" ht="18.75" x14ac:dyDescent="0.3">
      <c r="A4" s="105" t="s">
        <v>761</v>
      </c>
      <c r="B4" s="77" t="s">
        <v>265</v>
      </c>
      <c r="C4" s="91">
        <v>45747</v>
      </c>
      <c r="D4" s="77" t="s">
        <v>477</v>
      </c>
      <c r="E4" s="77" t="s">
        <v>56</v>
      </c>
      <c r="F4" s="77" t="s">
        <v>55</v>
      </c>
      <c r="G4" s="104" t="s">
        <v>795</v>
      </c>
      <c r="H4" s="104" t="s">
        <v>797</v>
      </c>
      <c r="I4" s="104" t="s">
        <v>796</v>
      </c>
      <c r="J4" s="104" t="s">
        <v>751</v>
      </c>
      <c r="K4" s="104" t="s">
        <v>740</v>
      </c>
      <c r="L4" s="104" t="s">
        <v>751</v>
      </c>
      <c r="M4" s="104" t="s">
        <v>798</v>
      </c>
      <c r="N4" s="106">
        <v>200</v>
      </c>
      <c r="O4" s="104" t="s">
        <v>745</v>
      </c>
      <c r="P4" s="104"/>
      <c r="R4" s="181" t="s">
        <v>35</v>
      </c>
      <c r="S4" s="205">
        <v>45743</v>
      </c>
      <c r="T4" s="112">
        <v>45743</v>
      </c>
      <c r="U4" s="211">
        <v>45747</v>
      </c>
    </row>
    <row r="5" spans="1:21" ht="18.75" x14ac:dyDescent="0.3">
      <c r="A5"/>
      <c r="R5" s="181" t="s">
        <v>734</v>
      </c>
      <c r="S5" s="204" t="s">
        <v>477</v>
      </c>
      <c r="T5" s="111" t="s">
        <v>477</v>
      </c>
      <c r="U5" s="210" t="s">
        <v>477</v>
      </c>
    </row>
    <row r="6" spans="1:21" ht="18.75" x14ac:dyDescent="0.3">
      <c r="A6"/>
      <c r="R6" s="181" t="s">
        <v>737</v>
      </c>
      <c r="S6" s="204" t="s">
        <v>115</v>
      </c>
      <c r="T6" s="111" t="s">
        <v>115</v>
      </c>
      <c r="U6" s="210" t="s">
        <v>56</v>
      </c>
    </row>
    <row r="7" spans="1:21" ht="18.75" x14ac:dyDescent="0.3">
      <c r="A7"/>
      <c r="R7" s="181" t="s">
        <v>713</v>
      </c>
      <c r="S7" s="204" t="s">
        <v>100</v>
      </c>
      <c r="T7" s="111" t="s">
        <v>100</v>
      </c>
      <c r="U7" s="210" t="s">
        <v>55</v>
      </c>
    </row>
    <row r="8" spans="1:21" ht="18.75" x14ac:dyDescent="0.3">
      <c r="A8"/>
      <c r="R8" s="181" t="s">
        <v>782</v>
      </c>
      <c r="S8" s="204" t="s">
        <v>784</v>
      </c>
      <c r="T8" s="111" t="s">
        <v>789</v>
      </c>
      <c r="U8" s="210" t="s">
        <v>795</v>
      </c>
    </row>
    <row r="9" spans="1:21" ht="18.75" x14ac:dyDescent="0.3">
      <c r="A9"/>
      <c r="R9" s="181" t="s">
        <v>711</v>
      </c>
      <c r="S9" s="204" t="s">
        <v>740</v>
      </c>
      <c r="T9" s="111" t="s">
        <v>790</v>
      </c>
      <c r="U9" s="210" t="s">
        <v>797</v>
      </c>
    </row>
    <row r="10" spans="1:21" ht="18.75" x14ac:dyDescent="0.3">
      <c r="A10"/>
      <c r="R10" s="181" t="s">
        <v>781</v>
      </c>
      <c r="S10" s="204" t="s">
        <v>785</v>
      </c>
      <c r="T10" s="111" t="s">
        <v>796</v>
      </c>
      <c r="U10" s="210" t="s">
        <v>796</v>
      </c>
    </row>
    <row r="11" spans="1:21" ht="18.75" x14ac:dyDescent="0.3">
      <c r="A11"/>
      <c r="R11" s="181" t="s">
        <v>783</v>
      </c>
      <c r="S11" s="204" t="s">
        <v>751</v>
      </c>
      <c r="T11" s="111" t="s">
        <v>791</v>
      </c>
      <c r="U11" s="210" t="s">
        <v>751</v>
      </c>
    </row>
    <row r="12" spans="1:21" ht="31.5" x14ac:dyDescent="0.25">
      <c r="A12"/>
      <c r="R12" s="202" t="s">
        <v>738</v>
      </c>
      <c r="S12" s="206" t="s">
        <v>787</v>
      </c>
      <c r="T12" s="111" t="s">
        <v>792</v>
      </c>
      <c r="U12" s="212" t="s">
        <v>740</v>
      </c>
    </row>
    <row r="13" spans="1:21" ht="18.75" x14ac:dyDescent="0.3">
      <c r="A13"/>
      <c r="R13" s="181" t="s">
        <v>739</v>
      </c>
      <c r="S13" s="204" t="s">
        <v>751</v>
      </c>
      <c r="T13" s="111" t="s">
        <v>751</v>
      </c>
      <c r="U13" s="210" t="s">
        <v>751</v>
      </c>
    </row>
    <row r="14" spans="1:21" ht="18.75" x14ac:dyDescent="0.3">
      <c r="R14" s="181" t="s">
        <v>716</v>
      </c>
      <c r="S14" s="204" t="s">
        <v>786</v>
      </c>
      <c r="T14" s="111" t="s">
        <v>793</v>
      </c>
      <c r="U14" s="210" t="s">
        <v>798</v>
      </c>
    </row>
    <row r="15" spans="1:21" ht="18.75" x14ac:dyDescent="0.3">
      <c r="R15" s="181" t="s">
        <v>717</v>
      </c>
      <c r="S15" s="207"/>
      <c r="T15" s="113">
        <v>50300</v>
      </c>
      <c r="U15" s="213">
        <v>200</v>
      </c>
    </row>
    <row r="16" spans="1:21" ht="19.5" thickBot="1" x14ac:dyDescent="0.35">
      <c r="R16" s="182" t="s">
        <v>726</v>
      </c>
      <c r="S16" s="208" t="s">
        <v>745</v>
      </c>
      <c r="T16" s="200" t="s">
        <v>745</v>
      </c>
      <c r="U16" s="214" t="s">
        <v>745</v>
      </c>
    </row>
  </sheetData>
  <phoneticPr fontId="16" type="noConversion"/>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FE145-5DDC-4EB9-9999-3B50B564B026}">
  <sheetPr codeName="Sheet5">
    <tabColor rgb="FF0070C0"/>
  </sheetPr>
  <dimension ref="A1:BB15"/>
  <sheetViews>
    <sheetView workbookViewId="0">
      <selection sqref="A1:BB15"/>
    </sheetView>
  </sheetViews>
  <sheetFormatPr defaultColWidth="8.85546875" defaultRowHeight="15.75" x14ac:dyDescent="0.25"/>
  <cols>
    <col min="1" max="1" width="20.140625" style="22" bestFit="1" customWidth="1"/>
    <col min="2" max="2" width="16" style="30" bestFit="1" customWidth="1"/>
    <col min="3" max="3" width="24.28515625" style="23" bestFit="1" customWidth="1"/>
    <col min="4" max="4" width="18.7109375" style="22" bestFit="1" customWidth="1"/>
    <col min="5" max="5" width="15.42578125" style="22" bestFit="1" customWidth="1"/>
    <col min="6" max="6" width="16.28515625" style="3" bestFit="1" customWidth="1"/>
    <col min="7" max="7" width="19" style="3" bestFit="1" customWidth="1"/>
    <col min="8" max="8" width="31.5703125" style="3" bestFit="1" customWidth="1"/>
    <col min="9" max="9" width="26.5703125" style="3" bestFit="1" customWidth="1"/>
    <col min="10" max="10" width="22" style="3" bestFit="1" customWidth="1"/>
    <col min="11" max="11" width="42.7109375" style="3" bestFit="1" customWidth="1"/>
    <col min="12" max="12" width="24" style="3" bestFit="1" customWidth="1"/>
    <col min="13" max="13" width="22" style="3" bestFit="1" customWidth="1"/>
    <col min="14" max="14" width="48.85546875" style="3" bestFit="1" customWidth="1"/>
    <col min="15" max="15" width="10" style="22" bestFit="1" customWidth="1"/>
    <col min="16" max="16" width="10.7109375" style="22" bestFit="1" customWidth="1"/>
    <col min="17" max="17" width="80.85546875" style="3" bestFit="1" customWidth="1"/>
    <col min="18" max="18" width="24.42578125" style="3" bestFit="1" customWidth="1"/>
    <col min="19" max="19" width="26.42578125" style="3" bestFit="1" customWidth="1"/>
    <col min="20" max="20" width="20.28515625" style="22" bestFit="1" customWidth="1"/>
    <col min="21" max="21" width="12.42578125" style="22" bestFit="1" customWidth="1"/>
    <col min="22" max="22" width="13.28515625" style="22" bestFit="1" customWidth="1"/>
    <col min="23" max="23" width="17.140625" style="22" bestFit="1" customWidth="1"/>
    <col min="24" max="24" width="20.28515625" style="22" bestFit="1" customWidth="1"/>
    <col min="25" max="25" width="17.140625" style="22" bestFit="1" customWidth="1"/>
    <col min="26" max="26" width="12.42578125" style="22" bestFit="1" customWidth="1"/>
    <col min="27" max="27" width="13.28515625" style="22" bestFit="1" customWidth="1"/>
    <col min="28" max="28" width="18.85546875" style="3" bestFit="1" customWidth="1"/>
    <col min="29" max="29" width="20.85546875" style="3" bestFit="1" customWidth="1"/>
    <col min="30" max="30" width="28.42578125" style="3" bestFit="1" customWidth="1"/>
    <col min="31" max="31" width="12" style="22" bestFit="1" customWidth="1"/>
    <col min="32" max="32" width="25.28515625" style="3" bestFit="1" customWidth="1"/>
    <col min="33" max="33" width="28.42578125" style="3" bestFit="1" customWidth="1"/>
    <col min="34" max="34" width="27.42578125" style="3" bestFit="1" customWidth="1"/>
    <col min="35" max="35" width="31.7109375" style="3" bestFit="1" customWidth="1"/>
    <col min="36" max="36" width="19.7109375" style="30" bestFit="1" customWidth="1"/>
    <col min="37" max="37" width="19.85546875" style="33" bestFit="1" customWidth="1"/>
    <col min="38" max="38" width="30.28515625" style="30" bestFit="1" customWidth="1"/>
    <col min="39" max="39" width="30.5703125" style="33" bestFit="1" customWidth="1"/>
    <col min="40" max="40" width="18.140625" style="30" bestFit="1" customWidth="1"/>
    <col min="41" max="41" width="18.28515625" style="33" bestFit="1" customWidth="1"/>
    <col min="42" max="42" width="10.28515625" style="3" bestFit="1" customWidth="1"/>
    <col min="43" max="43" width="19.28515625" style="35" bestFit="1" customWidth="1"/>
    <col min="44" max="44" width="21.28515625" style="35" bestFit="1" customWidth="1"/>
    <col min="45" max="45" width="9.42578125" style="35" bestFit="1" customWidth="1"/>
    <col min="46" max="46" width="17.28515625" style="37" bestFit="1" customWidth="1"/>
    <col min="47" max="47" width="28.140625" style="39" bestFit="1" customWidth="1"/>
    <col min="48" max="48" width="8.7109375" style="22" bestFit="1" customWidth="1"/>
    <col min="49" max="49" width="80.85546875" style="3" bestFit="1" customWidth="1"/>
    <col min="50" max="50" width="38.7109375" style="3" bestFit="1" customWidth="1"/>
    <col min="51" max="52" width="80.85546875" style="3" bestFit="1" customWidth="1"/>
    <col min="53" max="53" width="22.28515625" style="22" bestFit="1" customWidth="1"/>
    <col min="54" max="54" width="25.7109375" style="22" bestFit="1" customWidth="1"/>
    <col min="55" max="55" width="26.85546875" style="3" bestFit="1" customWidth="1"/>
    <col min="56" max="16384" width="8.85546875" style="3"/>
  </cols>
  <sheetData>
    <row r="1" spans="1:54" s="27" customFormat="1" ht="18.75" x14ac:dyDescent="0.3">
      <c r="A1" s="27" t="s">
        <v>0</v>
      </c>
      <c r="B1" s="29" t="s">
        <v>1</v>
      </c>
      <c r="C1" s="27" t="s">
        <v>2</v>
      </c>
      <c r="D1" s="28" t="s">
        <v>3</v>
      </c>
      <c r="E1" s="28" t="s">
        <v>4</v>
      </c>
      <c r="F1" s="27" t="s">
        <v>5</v>
      </c>
      <c r="G1" s="27" t="s">
        <v>6</v>
      </c>
      <c r="H1" s="27" t="s">
        <v>7</v>
      </c>
      <c r="I1" s="27" t="s">
        <v>8</v>
      </c>
      <c r="J1" s="27" t="s">
        <v>9</v>
      </c>
      <c r="K1" s="27" t="s">
        <v>10</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29" t="s">
        <v>35</v>
      </c>
      <c r="AK1" s="31" t="s">
        <v>36</v>
      </c>
      <c r="AL1" s="29" t="s">
        <v>37</v>
      </c>
      <c r="AM1" s="31" t="s">
        <v>38</v>
      </c>
      <c r="AN1" s="29" t="s">
        <v>39</v>
      </c>
      <c r="AO1" s="31" t="s">
        <v>40</v>
      </c>
      <c r="AP1" s="27" t="s">
        <v>41</v>
      </c>
      <c r="AQ1" s="34" t="s">
        <v>42</v>
      </c>
      <c r="AR1" s="34" t="s">
        <v>43</v>
      </c>
      <c r="AS1" s="34" t="s">
        <v>44</v>
      </c>
      <c r="AT1" s="36" t="s">
        <v>45</v>
      </c>
      <c r="AU1" s="38" t="s">
        <v>46</v>
      </c>
      <c r="AV1" s="27" t="s">
        <v>47</v>
      </c>
      <c r="AW1" t="s">
        <v>474</v>
      </c>
      <c r="AX1" s="27" t="s">
        <v>49</v>
      </c>
      <c r="AY1" s="27" t="s">
        <v>50</v>
      </c>
      <c r="AZ1" s="27" t="s">
        <v>51</v>
      </c>
      <c r="BA1" s="27" t="s">
        <v>52</v>
      </c>
      <c r="BB1" s="27" t="s">
        <v>53</v>
      </c>
    </row>
    <row r="2" spans="1:54" x14ac:dyDescent="0.25">
      <c r="A2" s="59" t="s">
        <v>218</v>
      </c>
      <c r="B2" s="65">
        <v>45660</v>
      </c>
      <c r="C2" s="60" t="s">
        <v>100</v>
      </c>
      <c r="D2" s="66">
        <v>0.875</v>
      </c>
      <c r="E2" s="66">
        <v>0.89583333333333337</v>
      </c>
      <c r="F2" s="60" t="s">
        <v>157</v>
      </c>
      <c r="G2" s="60" t="s">
        <v>57</v>
      </c>
      <c r="H2" s="60" t="s">
        <v>219</v>
      </c>
      <c r="I2" s="60" t="s">
        <v>220</v>
      </c>
      <c r="J2" s="60" t="s">
        <v>221</v>
      </c>
      <c r="K2" s="60" t="s">
        <v>221</v>
      </c>
      <c r="L2" s="60" t="s">
        <v>61</v>
      </c>
      <c r="M2" s="60" t="s">
        <v>61</v>
      </c>
      <c r="N2" s="60" t="s">
        <v>222</v>
      </c>
      <c r="O2" s="59" t="s">
        <v>223</v>
      </c>
      <c r="P2" s="59">
        <v>9</v>
      </c>
      <c r="Q2" s="60" t="s">
        <v>224</v>
      </c>
      <c r="R2" s="60"/>
      <c r="S2" s="60"/>
      <c r="T2" s="59" t="s">
        <v>225</v>
      </c>
      <c r="U2" s="59" t="s">
        <v>65</v>
      </c>
      <c r="V2" s="59" t="s">
        <v>226</v>
      </c>
      <c r="W2" s="59" t="s">
        <v>67</v>
      </c>
      <c r="X2" s="59"/>
      <c r="Y2" s="59"/>
      <c r="Z2" s="59"/>
      <c r="AA2" s="59"/>
      <c r="AB2" s="60" t="s">
        <v>163</v>
      </c>
      <c r="AC2" s="60" t="s">
        <v>69</v>
      </c>
      <c r="AD2" s="60" t="s">
        <v>227</v>
      </c>
      <c r="AE2" s="59" t="s">
        <v>214</v>
      </c>
      <c r="AF2" s="60" t="s">
        <v>228</v>
      </c>
      <c r="AG2" s="60" t="s">
        <v>73</v>
      </c>
      <c r="AH2" s="60" t="s">
        <v>229</v>
      </c>
      <c r="AI2" s="60">
        <v>9</v>
      </c>
      <c r="AJ2" s="65">
        <v>45660</v>
      </c>
      <c r="AK2" s="61">
        <v>0.89583333333333337</v>
      </c>
      <c r="AL2" s="65">
        <v>45661</v>
      </c>
      <c r="AM2" s="61">
        <v>0.2673611111111111</v>
      </c>
      <c r="AN2" s="65">
        <v>45661</v>
      </c>
      <c r="AO2" s="61">
        <v>0.45774305555555556</v>
      </c>
      <c r="AP2" s="60">
        <v>2025</v>
      </c>
      <c r="AQ2" s="62">
        <v>1</v>
      </c>
      <c r="AR2" s="62">
        <v>1</v>
      </c>
      <c r="AS2" s="62">
        <v>3</v>
      </c>
      <c r="AT2" s="63">
        <v>3</v>
      </c>
      <c r="AU2" s="64">
        <v>45660.895833333336</v>
      </c>
      <c r="AV2" s="59">
        <v>309</v>
      </c>
      <c r="AW2" t="s">
        <v>224</v>
      </c>
      <c r="AX2" s="60" t="s">
        <v>230</v>
      </c>
      <c r="AY2" s="60" t="s">
        <v>231</v>
      </c>
      <c r="AZ2" s="60" t="s">
        <v>61</v>
      </c>
      <c r="BA2" s="59" t="s">
        <v>587</v>
      </c>
      <c r="BB2" s="60" t="s">
        <v>113</v>
      </c>
    </row>
    <row r="3" spans="1:54" x14ac:dyDescent="0.25">
      <c r="A3" s="59" t="s">
        <v>232</v>
      </c>
      <c r="B3" s="65">
        <v>45672</v>
      </c>
      <c r="C3" s="60" t="s">
        <v>55</v>
      </c>
      <c r="D3" s="66">
        <v>0.5</v>
      </c>
      <c r="E3" s="66">
        <v>0.53988425925925931</v>
      </c>
      <c r="F3" s="60" t="s">
        <v>169</v>
      </c>
      <c r="G3" s="60" t="s">
        <v>57</v>
      </c>
      <c r="H3" s="60" t="s">
        <v>233</v>
      </c>
      <c r="I3" s="60" t="s">
        <v>234</v>
      </c>
      <c r="J3" s="60" t="s">
        <v>221</v>
      </c>
      <c r="K3" s="60" t="s">
        <v>221</v>
      </c>
      <c r="L3" s="60" t="s">
        <v>61</v>
      </c>
      <c r="M3" s="60" t="s">
        <v>61</v>
      </c>
      <c r="N3" s="60" t="s">
        <v>235</v>
      </c>
      <c r="O3" s="59" t="s">
        <v>87</v>
      </c>
      <c r="P3" s="59">
        <v>8</v>
      </c>
      <c r="Q3" s="60" t="s">
        <v>236</v>
      </c>
      <c r="R3" s="60"/>
      <c r="S3" s="60"/>
      <c r="T3" s="59" t="s">
        <v>237</v>
      </c>
      <c r="U3" s="59" t="s">
        <v>65</v>
      </c>
      <c r="V3" s="59" t="s">
        <v>238</v>
      </c>
      <c r="W3" s="59" t="s">
        <v>67</v>
      </c>
      <c r="X3" s="59"/>
      <c r="Y3" s="59"/>
      <c r="Z3" s="59"/>
      <c r="AA3" s="59"/>
      <c r="AB3" s="60" t="s">
        <v>124</v>
      </c>
      <c r="AC3" s="60" t="s">
        <v>69</v>
      </c>
      <c r="AD3" s="60" t="s">
        <v>239</v>
      </c>
      <c r="AE3" s="59" t="s">
        <v>240</v>
      </c>
      <c r="AF3" s="60" t="s">
        <v>72</v>
      </c>
      <c r="AG3" s="60" t="s">
        <v>73</v>
      </c>
      <c r="AH3" s="60" t="s">
        <v>229</v>
      </c>
      <c r="AI3" s="60">
        <v>9</v>
      </c>
      <c r="AJ3" s="65">
        <v>45672</v>
      </c>
      <c r="AK3" s="61">
        <v>0.53988425925925931</v>
      </c>
      <c r="AL3" s="65"/>
      <c r="AM3" s="61"/>
      <c r="AN3" s="65">
        <v>45672</v>
      </c>
      <c r="AO3" s="61">
        <v>0.53988425925925931</v>
      </c>
      <c r="AP3" s="60">
        <v>2025</v>
      </c>
      <c r="AQ3" s="62">
        <v>3</v>
      </c>
      <c r="AR3" s="62">
        <v>3</v>
      </c>
      <c r="AS3" s="62">
        <v>15</v>
      </c>
      <c r="AT3" s="63">
        <v>15</v>
      </c>
      <c r="AU3" s="64">
        <v>45672.539583333331</v>
      </c>
      <c r="AV3" s="59">
        <v>244</v>
      </c>
      <c r="AW3" t="s">
        <v>236</v>
      </c>
      <c r="AX3" s="60" t="s">
        <v>241</v>
      </c>
      <c r="AY3" s="60" t="s">
        <v>242</v>
      </c>
      <c r="AZ3" s="60" t="s">
        <v>243</v>
      </c>
      <c r="BA3" s="59" t="s">
        <v>585</v>
      </c>
      <c r="BB3" s="60" t="s">
        <v>78</v>
      </c>
    </row>
    <row r="4" spans="1:54" x14ac:dyDescent="0.25">
      <c r="A4" s="59" t="s">
        <v>244</v>
      </c>
      <c r="B4" s="65">
        <v>45678</v>
      </c>
      <c r="C4" s="60" t="s">
        <v>80</v>
      </c>
      <c r="D4" s="66">
        <v>0.79166666666666663</v>
      </c>
      <c r="E4" s="66">
        <v>0.79166666666666663</v>
      </c>
      <c r="F4" s="60" t="s">
        <v>192</v>
      </c>
      <c r="G4" s="60" t="s">
        <v>57</v>
      </c>
      <c r="H4" s="60" t="s">
        <v>245</v>
      </c>
      <c r="I4" s="60" t="s">
        <v>246</v>
      </c>
      <c r="J4" s="60" t="s">
        <v>221</v>
      </c>
      <c r="K4" s="60" t="s">
        <v>221</v>
      </c>
      <c r="L4" s="60" t="s">
        <v>61</v>
      </c>
      <c r="M4" s="60" t="s">
        <v>61</v>
      </c>
      <c r="N4" s="60" t="s">
        <v>247</v>
      </c>
      <c r="O4" s="59" t="s">
        <v>185</v>
      </c>
      <c r="P4" s="59">
        <v>9</v>
      </c>
      <c r="Q4" s="60" t="s">
        <v>248</v>
      </c>
      <c r="R4" s="60"/>
      <c r="S4" s="60"/>
      <c r="T4" s="59" t="s">
        <v>249</v>
      </c>
      <c r="U4" s="59" t="s">
        <v>65</v>
      </c>
      <c r="V4" s="59" t="s">
        <v>250</v>
      </c>
      <c r="W4" s="59" t="s">
        <v>67</v>
      </c>
      <c r="X4" s="59"/>
      <c r="Y4" s="59"/>
      <c r="Z4" s="59"/>
      <c r="AA4" s="59"/>
      <c r="AB4" s="60" t="s">
        <v>251</v>
      </c>
      <c r="AC4" s="60" t="s">
        <v>69</v>
      </c>
      <c r="AD4" s="60" t="s">
        <v>252</v>
      </c>
      <c r="AE4" s="59" t="s">
        <v>214</v>
      </c>
      <c r="AF4" s="60" t="s">
        <v>166</v>
      </c>
      <c r="AG4" s="60" t="s">
        <v>73</v>
      </c>
      <c r="AH4" s="60" t="s">
        <v>229</v>
      </c>
      <c r="AI4" s="60">
        <v>9</v>
      </c>
      <c r="AJ4" s="65">
        <v>45678</v>
      </c>
      <c r="AK4" s="61">
        <v>0.79166666666666663</v>
      </c>
      <c r="AL4" s="65">
        <v>45679</v>
      </c>
      <c r="AM4" s="61">
        <v>0.13125000000000001</v>
      </c>
      <c r="AN4" s="65">
        <v>45679</v>
      </c>
      <c r="AO4" s="61">
        <v>0.13255787037037037</v>
      </c>
      <c r="AP4" s="60">
        <v>2025</v>
      </c>
      <c r="AQ4" s="62">
        <v>4</v>
      </c>
      <c r="AR4" s="62">
        <v>4</v>
      </c>
      <c r="AS4" s="62">
        <v>21</v>
      </c>
      <c r="AT4" s="63">
        <v>21</v>
      </c>
      <c r="AU4" s="64">
        <v>45678.791666666664</v>
      </c>
      <c r="AV4" s="59">
        <v>33</v>
      </c>
      <c r="AW4" t="s">
        <v>248</v>
      </c>
      <c r="AX4" s="60" t="s">
        <v>253</v>
      </c>
      <c r="AY4" s="60" t="s">
        <v>61</v>
      </c>
      <c r="AZ4" s="60" t="s">
        <v>61</v>
      </c>
      <c r="BA4" s="59" t="s">
        <v>584</v>
      </c>
      <c r="BB4" s="60" t="s">
        <v>98</v>
      </c>
    </row>
    <row r="5" spans="1:54" x14ac:dyDescent="0.25">
      <c r="A5" s="59" t="s">
        <v>254</v>
      </c>
      <c r="B5" s="65">
        <v>45679</v>
      </c>
      <c r="C5" s="60" t="s">
        <v>146</v>
      </c>
      <c r="D5" s="66">
        <v>0.33333333333333331</v>
      </c>
      <c r="E5" s="66">
        <v>0.33333333333333331</v>
      </c>
      <c r="F5" s="60" t="s">
        <v>169</v>
      </c>
      <c r="G5" s="60" t="s">
        <v>57</v>
      </c>
      <c r="H5" s="60" t="s">
        <v>255</v>
      </c>
      <c r="I5" s="60" t="s">
        <v>256</v>
      </c>
      <c r="J5" s="60" t="s">
        <v>221</v>
      </c>
      <c r="K5" s="60" t="s">
        <v>221</v>
      </c>
      <c r="L5" s="60" t="s">
        <v>61</v>
      </c>
      <c r="M5" s="60" t="s">
        <v>61</v>
      </c>
      <c r="N5" s="60" t="s">
        <v>257</v>
      </c>
      <c r="O5" s="59" t="s">
        <v>258</v>
      </c>
      <c r="P5" s="59">
        <v>5</v>
      </c>
      <c r="Q5" s="60" t="s">
        <v>259</v>
      </c>
      <c r="R5" s="60"/>
      <c r="S5" s="60"/>
      <c r="T5" s="59" t="s">
        <v>260</v>
      </c>
      <c r="U5" s="59" t="s">
        <v>261</v>
      </c>
      <c r="V5" s="59" t="s">
        <v>262</v>
      </c>
      <c r="W5" s="59" t="s">
        <v>67</v>
      </c>
      <c r="X5" s="59"/>
      <c r="Y5" s="59"/>
      <c r="Z5" s="59"/>
      <c r="AA5" s="59"/>
      <c r="AB5" s="60" t="s">
        <v>124</v>
      </c>
      <c r="AC5" s="60" t="s">
        <v>69</v>
      </c>
      <c r="AD5" s="60" t="s">
        <v>252</v>
      </c>
      <c r="AE5" s="59" t="s">
        <v>214</v>
      </c>
      <c r="AF5" s="60" t="s">
        <v>127</v>
      </c>
      <c r="AG5" s="60" t="s">
        <v>73</v>
      </c>
      <c r="AH5" s="60" t="s">
        <v>229</v>
      </c>
      <c r="AI5" s="60">
        <v>9</v>
      </c>
      <c r="AJ5" s="65">
        <v>45679</v>
      </c>
      <c r="AK5" s="61">
        <v>0.33333333333333331</v>
      </c>
      <c r="AL5" s="65">
        <v>45679</v>
      </c>
      <c r="AM5" s="61">
        <v>0.80069444444444449</v>
      </c>
      <c r="AN5" s="65">
        <v>45679</v>
      </c>
      <c r="AO5" s="61">
        <v>0.80203703703703699</v>
      </c>
      <c r="AP5" s="60">
        <v>2025</v>
      </c>
      <c r="AQ5" s="62">
        <v>4</v>
      </c>
      <c r="AR5" s="62">
        <v>4</v>
      </c>
      <c r="AS5" s="62">
        <v>22</v>
      </c>
      <c r="AT5" s="63">
        <v>22</v>
      </c>
      <c r="AU5" s="64">
        <v>45679.333333333336</v>
      </c>
      <c r="AV5" s="59">
        <v>443</v>
      </c>
      <c r="AW5" t="s">
        <v>259</v>
      </c>
      <c r="AX5" s="60" t="s">
        <v>263</v>
      </c>
      <c r="AY5" s="60" t="s">
        <v>61</v>
      </c>
      <c r="AZ5" s="60" t="s">
        <v>61</v>
      </c>
      <c r="BA5" s="59" t="s">
        <v>584</v>
      </c>
      <c r="BB5" s="60" t="s">
        <v>155</v>
      </c>
    </row>
    <row r="6" spans="1:54" x14ac:dyDescent="0.25">
      <c r="A6" s="59" t="s">
        <v>264</v>
      </c>
      <c r="B6" s="65">
        <v>45685</v>
      </c>
      <c r="C6" s="60" t="s">
        <v>55</v>
      </c>
      <c r="D6" s="66">
        <v>0.625</v>
      </c>
      <c r="E6" s="66">
        <v>0.625</v>
      </c>
      <c r="F6" s="60" t="s">
        <v>192</v>
      </c>
      <c r="G6" s="60" t="s">
        <v>57</v>
      </c>
      <c r="H6" s="60" t="s">
        <v>265</v>
      </c>
      <c r="I6" s="60" t="s">
        <v>266</v>
      </c>
      <c r="J6" s="60" t="s">
        <v>221</v>
      </c>
      <c r="K6" s="60" t="s">
        <v>267</v>
      </c>
      <c r="L6" s="60" t="s">
        <v>85</v>
      </c>
      <c r="M6" s="60" t="s">
        <v>61</v>
      </c>
      <c r="N6" s="60" t="s">
        <v>268</v>
      </c>
      <c r="O6" s="59" t="s">
        <v>269</v>
      </c>
      <c r="P6" s="59">
        <v>6</v>
      </c>
      <c r="Q6" s="60" t="s">
        <v>270</v>
      </c>
      <c r="R6" s="60"/>
      <c r="S6" s="60"/>
      <c r="T6" s="59" t="s">
        <v>271</v>
      </c>
      <c r="U6" s="59" t="s">
        <v>272</v>
      </c>
      <c r="V6" s="59" t="s">
        <v>273</v>
      </c>
      <c r="W6" s="59" t="s">
        <v>67</v>
      </c>
      <c r="X6" s="59"/>
      <c r="Y6" s="59"/>
      <c r="Z6" s="59"/>
      <c r="AA6" s="59"/>
      <c r="AB6" s="60" t="s">
        <v>124</v>
      </c>
      <c r="AC6" s="60" t="s">
        <v>69</v>
      </c>
      <c r="AD6" s="60" t="s">
        <v>252</v>
      </c>
      <c r="AE6" s="59" t="s">
        <v>214</v>
      </c>
      <c r="AF6" s="60" t="s">
        <v>72</v>
      </c>
      <c r="AG6" s="60" t="s">
        <v>274</v>
      </c>
      <c r="AH6" s="60" t="s">
        <v>229</v>
      </c>
      <c r="AI6" s="60">
        <v>9</v>
      </c>
      <c r="AJ6" s="65">
        <v>45685</v>
      </c>
      <c r="AK6" s="61">
        <v>0.625</v>
      </c>
      <c r="AL6" s="65">
        <v>45686</v>
      </c>
      <c r="AM6" s="61">
        <v>0.91736111111111107</v>
      </c>
      <c r="AN6" s="65">
        <v>45686</v>
      </c>
      <c r="AO6" s="61">
        <v>0.91833333333333333</v>
      </c>
      <c r="AP6" s="60">
        <v>2025</v>
      </c>
      <c r="AQ6" s="62">
        <v>5</v>
      </c>
      <c r="AR6" s="62">
        <v>5</v>
      </c>
      <c r="AS6" s="62">
        <v>28</v>
      </c>
      <c r="AT6" s="63">
        <v>28</v>
      </c>
      <c r="AU6" s="64">
        <v>45685.625</v>
      </c>
      <c r="AV6" s="59">
        <v>119</v>
      </c>
      <c r="AW6" t="s">
        <v>270</v>
      </c>
      <c r="AX6" s="60" t="s">
        <v>275</v>
      </c>
      <c r="AY6" s="60" t="s">
        <v>61</v>
      </c>
      <c r="AZ6" s="60" t="s">
        <v>276</v>
      </c>
      <c r="BA6" s="59" t="s">
        <v>583</v>
      </c>
      <c r="BB6" s="60" t="s">
        <v>78</v>
      </c>
    </row>
    <row r="7" spans="1:54" x14ac:dyDescent="0.25">
      <c r="A7" s="59" t="s">
        <v>313</v>
      </c>
      <c r="B7" s="65">
        <v>45688</v>
      </c>
      <c r="C7" s="60" t="s">
        <v>55</v>
      </c>
      <c r="D7" s="66">
        <v>0.5</v>
      </c>
      <c r="E7" s="66">
        <v>0.5</v>
      </c>
      <c r="F7" s="60" t="s">
        <v>157</v>
      </c>
      <c r="G7" s="60" t="s">
        <v>57</v>
      </c>
      <c r="H7" s="60" t="s">
        <v>314</v>
      </c>
      <c r="I7" s="60" t="s">
        <v>315</v>
      </c>
      <c r="J7" s="60" t="s">
        <v>221</v>
      </c>
      <c r="K7" s="60" t="s">
        <v>221</v>
      </c>
      <c r="L7" s="60" t="s">
        <v>61</v>
      </c>
      <c r="M7" s="60" t="s">
        <v>61</v>
      </c>
      <c r="N7" s="60" t="s">
        <v>316</v>
      </c>
      <c r="O7" s="59" t="s">
        <v>258</v>
      </c>
      <c r="P7" s="59">
        <v>5</v>
      </c>
      <c r="Q7" s="60" t="s">
        <v>317</v>
      </c>
      <c r="R7" s="60"/>
      <c r="S7" s="60"/>
      <c r="T7" s="59" t="s">
        <v>318</v>
      </c>
      <c r="U7" s="59"/>
      <c r="V7" s="59" t="s">
        <v>238</v>
      </c>
      <c r="W7" s="59" t="s">
        <v>67</v>
      </c>
      <c r="X7" s="59"/>
      <c r="Y7" s="59"/>
      <c r="Z7" s="59"/>
      <c r="AA7" s="59"/>
      <c r="AB7" s="60" t="s">
        <v>124</v>
      </c>
      <c r="AC7" s="60" t="s">
        <v>69</v>
      </c>
      <c r="AD7" s="60" t="s">
        <v>213</v>
      </c>
      <c r="AE7" s="59" t="s">
        <v>214</v>
      </c>
      <c r="AF7" s="60" t="s">
        <v>110</v>
      </c>
      <c r="AG7" s="60" t="s">
        <v>73</v>
      </c>
      <c r="AH7" s="60" t="s">
        <v>229</v>
      </c>
      <c r="AI7" s="60">
        <v>9</v>
      </c>
      <c r="AJ7" s="65">
        <v>45688</v>
      </c>
      <c r="AK7" s="61">
        <v>0.5</v>
      </c>
      <c r="AL7" s="65">
        <v>45695</v>
      </c>
      <c r="AM7" s="61">
        <v>0.54166666666666663</v>
      </c>
      <c r="AN7" s="65">
        <v>45696</v>
      </c>
      <c r="AO7" s="61">
        <v>0.3903240740740741</v>
      </c>
      <c r="AP7" s="60">
        <v>2025</v>
      </c>
      <c r="AQ7" s="62">
        <v>5</v>
      </c>
      <c r="AR7" s="62">
        <v>5</v>
      </c>
      <c r="AS7" s="62">
        <v>31</v>
      </c>
      <c r="AT7" s="63">
        <v>31</v>
      </c>
      <c r="AU7" s="64">
        <v>45688.5</v>
      </c>
      <c r="AV7" s="59">
        <v>535</v>
      </c>
      <c r="AW7" t="s">
        <v>317</v>
      </c>
      <c r="AX7" s="60" t="s">
        <v>319</v>
      </c>
      <c r="AY7" s="60" t="s">
        <v>61</v>
      </c>
      <c r="AZ7" s="60" t="s">
        <v>320</v>
      </c>
      <c r="BA7" s="59" t="s">
        <v>583</v>
      </c>
      <c r="BB7" s="60" t="s">
        <v>78</v>
      </c>
    </row>
    <row r="8" spans="1:54" x14ac:dyDescent="0.25">
      <c r="A8" s="59" t="s">
        <v>277</v>
      </c>
      <c r="B8" s="65">
        <v>45689</v>
      </c>
      <c r="C8" s="60" t="s">
        <v>168</v>
      </c>
      <c r="D8" s="66">
        <v>4.1666666666666664E-2</v>
      </c>
      <c r="E8" s="66">
        <v>4.1666666666666664E-2</v>
      </c>
      <c r="F8" s="60" t="s">
        <v>81</v>
      </c>
      <c r="G8" s="60" t="s">
        <v>116</v>
      </c>
      <c r="H8" s="60" t="s">
        <v>278</v>
      </c>
      <c r="I8" s="60" t="s">
        <v>279</v>
      </c>
      <c r="J8" s="60" t="s">
        <v>221</v>
      </c>
      <c r="K8" s="60" t="s">
        <v>221</v>
      </c>
      <c r="L8" s="60" t="s">
        <v>61</v>
      </c>
      <c r="M8" s="60" t="s">
        <v>61</v>
      </c>
      <c r="N8" s="60" t="s">
        <v>280</v>
      </c>
      <c r="O8" s="59" t="s">
        <v>281</v>
      </c>
      <c r="P8" s="59">
        <v>6</v>
      </c>
      <c r="Q8" s="60" t="s">
        <v>282</v>
      </c>
      <c r="R8" s="60"/>
      <c r="S8" s="60"/>
      <c r="T8" s="59" t="s">
        <v>283</v>
      </c>
      <c r="U8" s="59" t="s">
        <v>122</v>
      </c>
      <c r="V8" s="59" t="s">
        <v>284</v>
      </c>
      <c r="W8" s="59" t="s">
        <v>67</v>
      </c>
      <c r="X8" s="59"/>
      <c r="Y8" s="59"/>
      <c r="Z8" s="59"/>
      <c r="AA8" s="59"/>
      <c r="AB8" s="60" t="s">
        <v>124</v>
      </c>
      <c r="AC8" s="60" t="s">
        <v>69</v>
      </c>
      <c r="AD8" s="60" t="s">
        <v>252</v>
      </c>
      <c r="AE8" s="59" t="s">
        <v>214</v>
      </c>
      <c r="AF8" s="60" t="s">
        <v>127</v>
      </c>
      <c r="AG8" s="60" t="s">
        <v>73</v>
      </c>
      <c r="AH8" s="60" t="s">
        <v>229</v>
      </c>
      <c r="AI8" s="60">
        <v>9</v>
      </c>
      <c r="AJ8" s="65">
        <v>45689</v>
      </c>
      <c r="AK8" s="61">
        <v>4.1666666666666664E-2</v>
      </c>
      <c r="AL8" s="65"/>
      <c r="AM8" s="61">
        <v>0.10416666666666667</v>
      </c>
      <c r="AN8" s="65">
        <v>45689</v>
      </c>
      <c r="AO8" s="61">
        <v>0.11982638888888889</v>
      </c>
      <c r="AP8" s="60">
        <v>2025</v>
      </c>
      <c r="AQ8" s="62">
        <v>5</v>
      </c>
      <c r="AR8" s="62">
        <v>1</v>
      </c>
      <c r="AS8" s="62">
        <v>1</v>
      </c>
      <c r="AT8" s="63">
        <v>32</v>
      </c>
      <c r="AU8" s="64">
        <v>45689.041666666664</v>
      </c>
      <c r="AV8" s="59">
        <v>453</v>
      </c>
      <c r="AW8" t="s">
        <v>282</v>
      </c>
      <c r="AX8" s="60" t="s">
        <v>285</v>
      </c>
      <c r="AY8" s="60" t="s">
        <v>61</v>
      </c>
      <c r="AZ8" s="60" t="s">
        <v>286</v>
      </c>
      <c r="BA8" s="59" t="s">
        <v>583</v>
      </c>
      <c r="BB8" s="60" t="s">
        <v>179</v>
      </c>
    </row>
    <row r="9" spans="1:54" x14ac:dyDescent="0.25">
      <c r="A9" s="59" t="s">
        <v>287</v>
      </c>
      <c r="B9" s="65">
        <v>45691</v>
      </c>
      <c r="C9" s="60" t="s">
        <v>80</v>
      </c>
      <c r="D9" s="66">
        <v>0.75</v>
      </c>
      <c r="E9" s="66">
        <v>0.77083333333333337</v>
      </c>
      <c r="F9" s="60" t="s">
        <v>56</v>
      </c>
      <c r="G9" s="60" t="s">
        <v>116</v>
      </c>
      <c r="H9" s="60" t="s">
        <v>288</v>
      </c>
      <c r="I9" s="60" t="s">
        <v>289</v>
      </c>
      <c r="J9" s="60" t="s">
        <v>221</v>
      </c>
      <c r="K9" s="60" t="s">
        <v>221</v>
      </c>
      <c r="L9" s="60" t="s">
        <v>61</v>
      </c>
      <c r="M9" s="60" t="s">
        <v>61</v>
      </c>
      <c r="N9" s="60" t="s">
        <v>290</v>
      </c>
      <c r="O9" s="59" t="s">
        <v>291</v>
      </c>
      <c r="P9" s="59">
        <v>8</v>
      </c>
      <c r="Q9" s="60" t="s">
        <v>292</v>
      </c>
      <c r="R9" s="60"/>
      <c r="S9" s="60"/>
      <c r="T9" s="59" t="s">
        <v>293</v>
      </c>
      <c r="U9" s="59" t="s">
        <v>294</v>
      </c>
      <c r="V9" s="59" t="s">
        <v>295</v>
      </c>
      <c r="W9" s="59" t="s">
        <v>296</v>
      </c>
      <c r="X9" s="59"/>
      <c r="Y9" s="59"/>
      <c r="Z9" s="59"/>
      <c r="AA9" s="59"/>
      <c r="AB9" s="60" t="s">
        <v>68</v>
      </c>
      <c r="AC9" s="60" t="s">
        <v>69</v>
      </c>
      <c r="AD9" s="60" t="s">
        <v>109</v>
      </c>
      <c r="AE9" s="59" t="s">
        <v>71</v>
      </c>
      <c r="AF9" s="60" t="s">
        <v>72</v>
      </c>
      <c r="AG9" s="60" t="s">
        <v>203</v>
      </c>
      <c r="AH9" s="60" t="s">
        <v>229</v>
      </c>
      <c r="AI9" s="60">
        <v>9</v>
      </c>
      <c r="AJ9" s="65">
        <v>45691</v>
      </c>
      <c r="AK9" s="61">
        <v>0.77083333333333337</v>
      </c>
      <c r="AL9" s="65">
        <v>45692</v>
      </c>
      <c r="AM9" s="61">
        <v>0.79166666666666663</v>
      </c>
      <c r="AN9" s="65">
        <v>45692</v>
      </c>
      <c r="AO9" s="61">
        <v>0.53023148148148147</v>
      </c>
      <c r="AP9" s="60">
        <v>2025</v>
      </c>
      <c r="AQ9" s="62">
        <v>6</v>
      </c>
      <c r="AR9" s="62">
        <v>2</v>
      </c>
      <c r="AS9" s="62">
        <v>3</v>
      </c>
      <c r="AT9" s="63">
        <v>34</v>
      </c>
      <c r="AU9" s="64">
        <v>45691.770833333336</v>
      </c>
      <c r="AV9" s="59">
        <v>55</v>
      </c>
      <c r="AW9" t="s">
        <v>292</v>
      </c>
      <c r="AX9" s="60" t="s">
        <v>297</v>
      </c>
      <c r="AY9" s="60" t="s">
        <v>298</v>
      </c>
      <c r="AZ9" s="60" t="s">
        <v>299</v>
      </c>
      <c r="BA9" s="59" t="s">
        <v>583</v>
      </c>
      <c r="BB9" s="60" t="s">
        <v>98</v>
      </c>
    </row>
    <row r="10" spans="1:54" x14ac:dyDescent="0.25">
      <c r="A10" s="59" t="s">
        <v>300</v>
      </c>
      <c r="B10" s="65">
        <v>45695</v>
      </c>
      <c r="C10" s="60" t="s">
        <v>301</v>
      </c>
      <c r="D10" s="66">
        <v>0.25</v>
      </c>
      <c r="E10" s="66">
        <v>0.27430555555555558</v>
      </c>
      <c r="F10" s="60" t="s">
        <v>157</v>
      </c>
      <c r="G10" s="60" t="s">
        <v>116</v>
      </c>
      <c r="H10" s="60" t="s">
        <v>302</v>
      </c>
      <c r="I10" s="60" t="s">
        <v>303</v>
      </c>
      <c r="J10" s="60" t="s">
        <v>221</v>
      </c>
      <c r="K10" s="60" t="s">
        <v>221</v>
      </c>
      <c r="L10" s="60" t="s">
        <v>61</v>
      </c>
      <c r="M10" s="60" t="s">
        <v>61</v>
      </c>
      <c r="N10" s="60" t="s">
        <v>304</v>
      </c>
      <c r="O10" s="59" t="s">
        <v>211</v>
      </c>
      <c r="P10" s="59">
        <v>5</v>
      </c>
      <c r="Q10" s="60" t="s">
        <v>305</v>
      </c>
      <c r="R10" s="60"/>
      <c r="S10" s="60"/>
      <c r="T10" s="59" t="s">
        <v>306</v>
      </c>
      <c r="U10" s="59" t="s">
        <v>307</v>
      </c>
      <c r="V10" s="59" t="s">
        <v>308</v>
      </c>
      <c r="W10" s="59" t="s">
        <v>67</v>
      </c>
      <c r="X10" s="59"/>
      <c r="Y10" s="59"/>
      <c r="Z10" s="59"/>
      <c r="AA10" s="59"/>
      <c r="AB10" s="60" t="s">
        <v>124</v>
      </c>
      <c r="AC10" s="60" t="s">
        <v>69</v>
      </c>
      <c r="AD10" s="60" t="s">
        <v>309</v>
      </c>
      <c r="AE10" s="59" t="s">
        <v>126</v>
      </c>
      <c r="AF10" s="60" t="s">
        <v>187</v>
      </c>
      <c r="AG10" s="60" t="s">
        <v>95</v>
      </c>
      <c r="AH10" s="60" t="s">
        <v>229</v>
      </c>
      <c r="AI10" s="60">
        <v>9</v>
      </c>
      <c r="AJ10" s="65">
        <v>45695</v>
      </c>
      <c r="AK10" s="61">
        <v>0.27430555555555558</v>
      </c>
      <c r="AL10" s="65">
        <v>45695</v>
      </c>
      <c r="AM10" s="61">
        <v>0.28472222222222221</v>
      </c>
      <c r="AN10" s="65">
        <v>45695</v>
      </c>
      <c r="AO10" s="61">
        <v>0.30738425925925927</v>
      </c>
      <c r="AP10" s="60">
        <v>2025</v>
      </c>
      <c r="AQ10" s="62">
        <v>6</v>
      </c>
      <c r="AR10" s="62">
        <v>2</v>
      </c>
      <c r="AS10" s="62">
        <v>7</v>
      </c>
      <c r="AT10" s="63">
        <v>38</v>
      </c>
      <c r="AU10" s="64">
        <v>45695.274305555555</v>
      </c>
      <c r="AV10" s="59">
        <v>170</v>
      </c>
      <c r="AW10" t="s">
        <v>305</v>
      </c>
      <c r="AX10" s="60" t="s">
        <v>310</v>
      </c>
      <c r="AY10" s="60" t="s">
        <v>61</v>
      </c>
      <c r="AZ10" s="60" t="s">
        <v>311</v>
      </c>
      <c r="BA10" s="59" t="s">
        <v>582</v>
      </c>
      <c r="BB10" s="60" t="s">
        <v>312</v>
      </c>
    </row>
    <row r="11" spans="1:54" x14ac:dyDescent="0.25">
      <c r="A11" s="59" t="s">
        <v>321</v>
      </c>
      <c r="B11" s="65">
        <v>45705</v>
      </c>
      <c r="C11" s="60" t="s">
        <v>146</v>
      </c>
      <c r="D11" s="66">
        <v>0.33333333333333331</v>
      </c>
      <c r="E11" s="66">
        <v>0.34877314814814814</v>
      </c>
      <c r="F11" s="60" t="s">
        <v>56</v>
      </c>
      <c r="G11" s="60" t="s">
        <v>116</v>
      </c>
      <c r="H11" s="60" t="s">
        <v>322</v>
      </c>
      <c r="I11" s="60" t="s">
        <v>323</v>
      </c>
      <c r="J11" s="60" t="s">
        <v>221</v>
      </c>
      <c r="K11" s="60" t="s">
        <v>324</v>
      </c>
      <c r="L11" s="60" t="s">
        <v>325</v>
      </c>
      <c r="M11" s="60" t="s">
        <v>61</v>
      </c>
      <c r="N11" s="60" t="s">
        <v>326</v>
      </c>
      <c r="O11" s="59" t="s">
        <v>139</v>
      </c>
      <c r="P11" s="59">
        <v>7</v>
      </c>
      <c r="Q11" s="60" t="s">
        <v>327</v>
      </c>
      <c r="R11" s="60"/>
      <c r="S11" s="60"/>
      <c r="T11" s="59" t="s">
        <v>328</v>
      </c>
      <c r="U11" s="59" t="s">
        <v>65</v>
      </c>
      <c r="V11" s="59" t="s">
        <v>226</v>
      </c>
      <c r="W11" s="59" t="s">
        <v>67</v>
      </c>
      <c r="X11" s="59"/>
      <c r="Y11" s="59"/>
      <c r="Z11" s="59"/>
      <c r="AA11" s="59"/>
      <c r="AB11" s="60" t="s">
        <v>68</v>
      </c>
      <c r="AC11" s="60" t="s">
        <v>69</v>
      </c>
      <c r="AD11" s="60" t="s">
        <v>70</v>
      </c>
      <c r="AE11" s="59" t="s">
        <v>71</v>
      </c>
      <c r="AF11" s="60" t="s">
        <v>127</v>
      </c>
      <c r="AG11" s="60" t="s">
        <v>128</v>
      </c>
      <c r="AH11" s="60" t="s">
        <v>229</v>
      </c>
      <c r="AI11" s="60">
        <v>9</v>
      </c>
      <c r="AJ11" s="65">
        <v>45705</v>
      </c>
      <c r="AK11" s="61">
        <v>0.34877314814814814</v>
      </c>
      <c r="AL11" s="65"/>
      <c r="AM11" s="61"/>
      <c r="AN11" s="65">
        <v>45705</v>
      </c>
      <c r="AO11" s="61">
        <v>0.34877314814814814</v>
      </c>
      <c r="AP11" s="60">
        <v>2025</v>
      </c>
      <c r="AQ11" s="62">
        <v>8</v>
      </c>
      <c r="AR11" s="62">
        <v>4</v>
      </c>
      <c r="AS11" s="62">
        <v>17</v>
      </c>
      <c r="AT11" s="63">
        <v>48</v>
      </c>
      <c r="AU11" s="64">
        <v>45705.348611111112</v>
      </c>
      <c r="AV11" s="59">
        <v>100</v>
      </c>
      <c r="AW11" t="s">
        <v>327</v>
      </c>
      <c r="AX11" s="60" t="s">
        <v>329</v>
      </c>
      <c r="AY11" s="60" t="s">
        <v>330</v>
      </c>
      <c r="AZ11" s="60" t="s">
        <v>331</v>
      </c>
      <c r="BA11" s="59" t="s">
        <v>581</v>
      </c>
      <c r="BB11" s="60" t="s">
        <v>155</v>
      </c>
    </row>
    <row r="12" spans="1:54" x14ac:dyDescent="0.25">
      <c r="A12" s="59" t="s">
        <v>332</v>
      </c>
      <c r="B12" s="65">
        <v>45705</v>
      </c>
      <c r="C12" s="60" t="s">
        <v>146</v>
      </c>
      <c r="D12" s="66">
        <v>0.375</v>
      </c>
      <c r="E12" s="66">
        <v>0.39716435185185184</v>
      </c>
      <c r="F12" s="60" t="s">
        <v>56</v>
      </c>
      <c r="G12" s="60" t="s">
        <v>116</v>
      </c>
      <c r="H12" s="60" t="s">
        <v>58</v>
      </c>
      <c r="I12" s="60" t="s">
        <v>333</v>
      </c>
      <c r="J12" s="60" t="s">
        <v>221</v>
      </c>
      <c r="K12" s="60" t="s">
        <v>221</v>
      </c>
      <c r="L12" s="60" t="s">
        <v>61</v>
      </c>
      <c r="M12" s="60" t="s">
        <v>61</v>
      </c>
      <c r="N12" s="60" t="s">
        <v>334</v>
      </c>
      <c r="O12" s="59" t="s">
        <v>335</v>
      </c>
      <c r="P12" s="59">
        <v>7</v>
      </c>
      <c r="Q12" s="60" t="s">
        <v>336</v>
      </c>
      <c r="R12" s="60"/>
      <c r="S12" s="60"/>
      <c r="T12" s="59" t="s">
        <v>337</v>
      </c>
      <c r="U12" s="59" t="s">
        <v>65</v>
      </c>
      <c r="V12" s="59" t="s">
        <v>226</v>
      </c>
      <c r="W12" s="59" t="s">
        <v>67</v>
      </c>
      <c r="X12" s="59"/>
      <c r="Y12" s="59"/>
      <c r="Z12" s="59"/>
      <c r="AA12" s="59"/>
      <c r="AB12" s="60" t="s">
        <v>68</v>
      </c>
      <c r="AC12" s="60" t="s">
        <v>69</v>
      </c>
      <c r="AD12" s="60" t="s">
        <v>338</v>
      </c>
      <c r="AE12" s="59" t="s">
        <v>71</v>
      </c>
      <c r="AF12" s="60" t="s">
        <v>127</v>
      </c>
      <c r="AG12" s="60" t="s">
        <v>73</v>
      </c>
      <c r="AH12" s="60" t="s">
        <v>229</v>
      </c>
      <c r="AI12" s="60">
        <v>9</v>
      </c>
      <c r="AJ12" s="65">
        <v>45705</v>
      </c>
      <c r="AK12" s="61">
        <v>0.39716435185185184</v>
      </c>
      <c r="AL12" s="65"/>
      <c r="AM12" s="61"/>
      <c r="AN12" s="65">
        <v>45705</v>
      </c>
      <c r="AO12" s="61">
        <v>0.39716435185185184</v>
      </c>
      <c r="AP12" s="60">
        <v>2025</v>
      </c>
      <c r="AQ12" s="62">
        <v>8</v>
      </c>
      <c r="AR12" s="62">
        <v>4</v>
      </c>
      <c r="AS12" s="62">
        <v>17</v>
      </c>
      <c r="AT12" s="63">
        <v>48</v>
      </c>
      <c r="AU12" s="64">
        <v>45705.396527777775</v>
      </c>
      <c r="AV12" s="59">
        <v>30</v>
      </c>
      <c r="AW12" t="s">
        <v>336</v>
      </c>
      <c r="AX12" s="60" t="s">
        <v>339</v>
      </c>
      <c r="AY12" s="60" t="s">
        <v>61</v>
      </c>
      <c r="AZ12" s="60" t="s">
        <v>61</v>
      </c>
      <c r="BA12" s="59" t="s">
        <v>581</v>
      </c>
      <c r="BB12" s="60" t="s">
        <v>155</v>
      </c>
    </row>
    <row r="13" spans="1:54" x14ac:dyDescent="0.25">
      <c r="A13" s="59" t="s">
        <v>340</v>
      </c>
      <c r="B13" s="65">
        <v>45713</v>
      </c>
      <c r="C13" s="60" t="s">
        <v>146</v>
      </c>
      <c r="D13" s="66">
        <v>0.41666666666666669</v>
      </c>
      <c r="E13" s="66">
        <v>0.41666666666666669</v>
      </c>
      <c r="F13" s="60" t="s">
        <v>192</v>
      </c>
      <c r="G13" s="60" t="s">
        <v>116</v>
      </c>
      <c r="H13" s="60" t="s">
        <v>341</v>
      </c>
      <c r="I13" s="60" t="s">
        <v>342</v>
      </c>
      <c r="J13" s="60" t="s">
        <v>221</v>
      </c>
      <c r="K13" s="60" t="s">
        <v>221</v>
      </c>
      <c r="L13" s="60" t="s">
        <v>61</v>
      </c>
      <c r="M13" s="60" t="s">
        <v>61</v>
      </c>
      <c r="N13" s="60" t="s">
        <v>343</v>
      </c>
      <c r="O13" s="59" t="s">
        <v>258</v>
      </c>
      <c r="P13" s="59">
        <v>5</v>
      </c>
      <c r="Q13" s="60" t="s">
        <v>344</v>
      </c>
      <c r="R13" s="60"/>
      <c r="S13" s="60"/>
      <c r="T13" s="59" t="s">
        <v>345</v>
      </c>
      <c r="U13" s="59" t="s">
        <v>65</v>
      </c>
      <c r="V13" s="59" t="s">
        <v>346</v>
      </c>
      <c r="W13" s="59" t="s">
        <v>347</v>
      </c>
      <c r="X13" s="59"/>
      <c r="Y13" s="59"/>
      <c r="Z13" s="59"/>
      <c r="AA13" s="59"/>
      <c r="AB13" s="60" t="s">
        <v>163</v>
      </c>
      <c r="AC13" s="60" t="s">
        <v>69</v>
      </c>
      <c r="AD13" s="60" t="s">
        <v>164</v>
      </c>
      <c r="AE13" s="59" t="s">
        <v>165</v>
      </c>
      <c r="AF13" s="60"/>
      <c r="AG13" s="60"/>
      <c r="AH13" s="60"/>
      <c r="AI13" s="60">
        <v>9</v>
      </c>
      <c r="AJ13" s="65">
        <v>45713</v>
      </c>
      <c r="AK13" s="61">
        <v>0.41666666666666669</v>
      </c>
      <c r="AL13" s="65">
        <v>45713</v>
      </c>
      <c r="AM13" s="61">
        <v>0.95833333333333337</v>
      </c>
      <c r="AN13" s="65">
        <v>45712</v>
      </c>
      <c r="AO13" s="61">
        <v>0.99136574074074069</v>
      </c>
      <c r="AP13" s="60">
        <v>2025</v>
      </c>
      <c r="AQ13" s="62">
        <v>9</v>
      </c>
      <c r="AR13" s="62">
        <v>5</v>
      </c>
      <c r="AS13" s="62">
        <v>25</v>
      </c>
      <c r="AT13" s="63">
        <v>56</v>
      </c>
      <c r="AU13" s="64">
        <v>45713.416666666664</v>
      </c>
      <c r="AV13" s="59">
        <v>430</v>
      </c>
      <c r="AW13" t="s">
        <v>344</v>
      </c>
      <c r="AX13" s="60" t="s">
        <v>348</v>
      </c>
      <c r="AY13" s="60" t="s">
        <v>61</v>
      </c>
      <c r="AZ13" s="60" t="s">
        <v>61</v>
      </c>
      <c r="BA13" s="59" t="s">
        <v>579</v>
      </c>
      <c r="BB13" s="60" t="s">
        <v>155</v>
      </c>
    </row>
    <row r="14" spans="1:54" x14ac:dyDescent="0.25">
      <c r="A14" s="59" t="s">
        <v>640</v>
      </c>
      <c r="B14" s="65">
        <v>45737</v>
      </c>
      <c r="C14" s="60" t="s">
        <v>301</v>
      </c>
      <c r="D14" s="66">
        <v>0.29166666666666669</v>
      </c>
      <c r="E14" s="66">
        <v>0.32500000000000001</v>
      </c>
      <c r="F14" s="60" t="s">
        <v>157</v>
      </c>
      <c r="G14" s="60" t="s">
        <v>477</v>
      </c>
      <c r="H14" s="60" t="s">
        <v>641</v>
      </c>
      <c r="I14" s="60" t="s">
        <v>642</v>
      </c>
      <c r="J14" s="60" t="s">
        <v>221</v>
      </c>
      <c r="K14" s="60" t="s">
        <v>221</v>
      </c>
      <c r="L14" s="60" t="s">
        <v>61</v>
      </c>
      <c r="M14" s="60" t="s">
        <v>61</v>
      </c>
      <c r="N14" s="60" t="s">
        <v>643</v>
      </c>
      <c r="O14" s="59" t="s">
        <v>269</v>
      </c>
      <c r="P14" s="59">
        <v>6</v>
      </c>
      <c r="Q14" s="60" t="s">
        <v>644</v>
      </c>
      <c r="R14" s="60"/>
      <c r="S14" s="60"/>
      <c r="T14" s="59" t="s">
        <v>645</v>
      </c>
      <c r="U14" s="59" t="s">
        <v>646</v>
      </c>
      <c r="V14" s="59"/>
      <c r="W14" s="59" t="s">
        <v>67</v>
      </c>
      <c r="X14" s="59"/>
      <c r="Y14" s="59"/>
      <c r="Z14" s="59"/>
      <c r="AA14" s="59"/>
      <c r="AB14" s="60" t="s">
        <v>484</v>
      </c>
      <c r="AC14" s="60" t="s">
        <v>69</v>
      </c>
      <c r="AD14" s="60" t="s">
        <v>152</v>
      </c>
      <c r="AE14" s="59" t="s">
        <v>93</v>
      </c>
      <c r="AF14" s="60" t="s">
        <v>187</v>
      </c>
      <c r="AG14" s="60" t="s">
        <v>188</v>
      </c>
      <c r="AH14" s="60"/>
      <c r="AI14" s="60">
        <v>9</v>
      </c>
      <c r="AJ14" s="65">
        <v>45737</v>
      </c>
      <c r="AK14" s="61">
        <v>0.32500000000000001</v>
      </c>
      <c r="AL14" s="65"/>
      <c r="AM14" s="61"/>
      <c r="AN14" s="65">
        <v>45737</v>
      </c>
      <c r="AO14" s="61">
        <v>0.59714120370370372</v>
      </c>
      <c r="AP14" s="60">
        <v>2025</v>
      </c>
      <c r="AQ14" s="62">
        <v>12</v>
      </c>
      <c r="AR14" s="62">
        <v>4</v>
      </c>
      <c r="AS14" s="62">
        <v>21</v>
      </c>
      <c r="AT14" s="63">
        <v>80</v>
      </c>
      <c r="AU14" s="64">
        <v>45737.324999999997</v>
      </c>
      <c r="AV14" s="59">
        <v>171</v>
      </c>
      <c r="AW14" t="s">
        <v>644</v>
      </c>
      <c r="AX14" s="60" t="s">
        <v>647</v>
      </c>
      <c r="AY14" s="60" t="s">
        <v>648</v>
      </c>
      <c r="AZ14" s="60" t="s">
        <v>649</v>
      </c>
      <c r="BA14" s="59" t="s">
        <v>623</v>
      </c>
      <c r="BB14" s="60" t="s">
        <v>312</v>
      </c>
    </row>
    <row r="15" spans="1:54" x14ac:dyDescent="0.25">
      <c r="A15" s="59" t="s">
        <v>673</v>
      </c>
      <c r="B15" s="65">
        <v>45744</v>
      </c>
      <c r="C15" s="60" t="s">
        <v>100</v>
      </c>
      <c r="D15" s="66">
        <v>0.83333333333333337</v>
      </c>
      <c r="E15" s="66">
        <v>0.85416666666666663</v>
      </c>
      <c r="F15" s="60" t="s">
        <v>157</v>
      </c>
      <c r="G15" s="60" t="s">
        <v>477</v>
      </c>
      <c r="H15" s="60" t="s">
        <v>674</v>
      </c>
      <c r="I15" s="60" t="s">
        <v>675</v>
      </c>
      <c r="J15" s="60" t="s">
        <v>221</v>
      </c>
      <c r="K15" s="60" t="s">
        <v>221</v>
      </c>
      <c r="L15" s="60" t="s">
        <v>61</v>
      </c>
      <c r="M15" s="60" t="s">
        <v>61</v>
      </c>
      <c r="N15" s="60" t="s">
        <v>676</v>
      </c>
      <c r="O15" s="59" t="s">
        <v>435</v>
      </c>
      <c r="P15" s="59">
        <v>8</v>
      </c>
      <c r="Q15" s="60" t="s">
        <v>677</v>
      </c>
      <c r="R15" s="60"/>
      <c r="S15" s="60"/>
      <c r="T15" s="59" t="s">
        <v>678</v>
      </c>
      <c r="U15" s="59" t="s">
        <v>679</v>
      </c>
      <c r="V15" s="59" t="s">
        <v>680</v>
      </c>
      <c r="W15" s="59" t="s">
        <v>67</v>
      </c>
      <c r="X15" s="59"/>
      <c r="Y15" s="59"/>
      <c r="Z15" s="59"/>
      <c r="AA15" s="59"/>
      <c r="AB15" s="60" t="s">
        <v>659</v>
      </c>
      <c r="AC15" s="60" t="s">
        <v>69</v>
      </c>
      <c r="AD15" s="60" t="s">
        <v>681</v>
      </c>
      <c r="AE15" s="59" t="s">
        <v>682</v>
      </c>
      <c r="AF15" s="60"/>
      <c r="AG15" s="60"/>
      <c r="AH15" s="60"/>
      <c r="AI15" s="60">
        <v>9</v>
      </c>
      <c r="AJ15" s="65">
        <v>45744</v>
      </c>
      <c r="AK15" s="61">
        <v>0.85416666666666663</v>
      </c>
      <c r="AL15" s="65">
        <v>45745</v>
      </c>
      <c r="AM15" s="61">
        <v>0.41666666666666669</v>
      </c>
      <c r="AN15" s="65">
        <v>45745</v>
      </c>
      <c r="AO15" s="61">
        <v>0.42986111111111114</v>
      </c>
      <c r="AP15" s="60">
        <v>2025</v>
      </c>
      <c r="AQ15" s="62">
        <v>13</v>
      </c>
      <c r="AR15" s="62">
        <v>5</v>
      </c>
      <c r="AS15" s="62">
        <v>28</v>
      </c>
      <c r="AT15" s="63">
        <v>87</v>
      </c>
      <c r="AU15" s="64">
        <v>45744.854166666664</v>
      </c>
      <c r="AV15" s="59">
        <v>296</v>
      </c>
      <c r="AW15" t="s">
        <v>677</v>
      </c>
      <c r="AX15" s="60" t="s">
        <v>683</v>
      </c>
      <c r="AY15" s="60" t="s">
        <v>61</v>
      </c>
      <c r="AZ15" s="60" t="s">
        <v>684</v>
      </c>
      <c r="BA15" s="59" t="s">
        <v>632</v>
      </c>
      <c r="BB15" s="60" t="s">
        <v>113</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CD316-DDA1-46F7-AB89-D901E0709519}">
  <sheetPr>
    <tabColor theme="8" tint="-0.249977111117893"/>
  </sheetPr>
  <dimension ref="A1:BC14"/>
  <sheetViews>
    <sheetView workbookViewId="0">
      <selection sqref="A1:N4"/>
    </sheetView>
  </sheetViews>
  <sheetFormatPr defaultColWidth="9.140625" defaultRowHeight="15.75" x14ac:dyDescent="0.25"/>
  <cols>
    <col min="1" max="1" width="16.5703125" style="77" bestFit="1" customWidth="1"/>
    <col min="2" max="2" width="32.5703125" style="77" bestFit="1" customWidth="1"/>
    <col min="3" max="3" width="16.42578125" style="77" bestFit="1" customWidth="1"/>
    <col min="4" max="4" width="21.140625" style="77" bestFit="1" customWidth="1"/>
    <col min="5" max="5" width="15.140625" style="77" bestFit="1" customWidth="1"/>
    <col min="6" max="6" width="35.5703125" style="77" bestFit="1" customWidth="1"/>
    <col min="7" max="7" width="33.42578125" style="77" bestFit="1" customWidth="1"/>
    <col min="8" max="8" width="23.5703125" style="77" bestFit="1" customWidth="1"/>
    <col min="9" max="9" width="23.5703125" style="77" customWidth="1"/>
    <col min="10" max="10" width="24.85546875" style="77" bestFit="1" customWidth="1"/>
    <col min="11" max="13" width="33.5703125" style="77" bestFit="1" customWidth="1"/>
    <col min="14" max="15" width="28.42578125" style="77" bestFit="1" customWidth="1"/>
    <col min="16" max="16" width="35.5703125" style="77" bestFit="1" customWidth="1"/>
    <col min="17" max="17" width="23" style="77" bestFit="1" customWidth="1"/>
    <col min="18" max="16384" width="9.140625" style="77"/>
  </cols>
  <sheetData>
    <row r="1" spans="1:55" s="79" customFormat="1" ht="18.75" x14ac:dyDescent="0.3">
      <c r="A1" s="79" t="s">
        <v>0</v>
      </c>
      <c r="B1" s="79" t="s">
        <v>712</v>
      </c>
      <c r="C1" s="79" t="s">
        <v>35</v>
      </c>
      <c r="D1" s="79" t="s">
        <v>734</v>
      </c>
      <c r="E1" s="79" t="s">
        <v>737</v>
      </c>
      <c r="F1" s="79" t="s">
        <v>713</v>
      </c>
      <c r="G1" s="79" t="s">
        <v>725</v>
      </c>
      <c r="H1" s="79" t="s">
        <v>714</v>
      </c>
      <c r="I1" s="79" t="s">
        <v>711</v>
      </c>
      <c r="J1" s="79" t="s">
        <v>738</v>
      </c>
      <c r="K1" s="79" t="s">
        <v>739</v>
      </c>
      <c r="L1" s="79" t="s">
        <v>718</v>
      </c>
      <c r="M1" s="79" t="s">
        <v>726</v>
      </c>
      <c r="N1" s="79" t="s">
        <v>474</v>
      </c>
      <c r="O1"/>
      <c r="P1" s="154" t="s">
        <v>0</v>
      </c>
      <c r="Q1" s="147" t="s">
        <v>673</v>
      </c>
      <c r="R1"/>
    </row>
    <row r="2" spans="1:55" ht="18.75" x14ac:dyDescent="0.3">
      <c r="A2" s="59" t="s">
        <v>673</v>
      </c>
      <c r="B2" s="60" t="s">
        <v>674</v>
      </c>
      <c r="C2" s="65">
        <v>45744</v>
      </c>
      <c r="D2" s="60" t="s">
        <v>477</v>
      </c>
      <c r="E2" s="60" t="s">
        <v>157</v>
      </c>
      <c r="F2" s="60" t="s">
        <v>100</v>
      </c>
      <c r="G2" s="104" t="s">
        <v>799</v>
      </c>
      <c r="H2" s="104" t="s">
        <v>747</v>
      </c>
      <c r="I2" s="104" t="s">
        <v>740</v>
      </c>
      <c r="J2" s="104" t="s">
        <v>740</v>
      </c>
      <c r="K2" s="104" t="s">
        <v>740</v>
      </c>
      <c r="L2" s="104" t="s">
        <v>753</v>
      </c>
      <c r="M2" s="104" t="s">
        <v>745</v>
      </c>
      <c r="N2" s="107"/>
      <c r="O2"/>
      <c r="P2" s="155" t="s">
        <v>712</v>
      </c>
      <c r="Q2" s="148" t="s">
        <v>674</v>
      </c>
      <c r="R2"/>
    </row>
    <row r="3" spans="1:55" ht="18.75" x14ac:dyDescent="0.3">
      <c r="A3" s="105"/>
      <c r="C3" s="91"/>
      <c r="G3" s="104"/>
      <c r="H3" s="104"/>
      <c r="I3" s="104"/>
      <c r="J3" s="104"/>
      <c r="K3" s="104"/>
      <c r="L3" s="104"/>
      <c r="M3" s="104"/>
      <c r="N3" s="107"/>
      <c r="O3"/>
      <c r="P3" s="156" t="s">
        <v>35</v>
      </c>
      <c r="Q3" s="149">
        <v>45744</v>
      </c>
      <c r="R3"/>
    </row>
    <row r="4" spans="1:55" ht="18.75" x14ac:dyDescent="0.3">
      <c r="A4" s="105"/>
      <c r="C4" s="91"/>
      <c r="G4" s="104"/>
      <c r="H4" s="104"/>
      <c r="I4" s="104"/>
      <c r="J4" s="104"/>
      <c r="K4" s="104"/>
      <c r="L4" s="104"/>
      <c r="M4" s="104"/>
      <c r="N4" s="107"/>
      <c r="O4"/>
      <c r="P4" s="156" t="s">
        <v>734</v>
      </c>
      <c r="Q4" s="150" t="s">
        <v>477</v>
      </c>
      <c r="R4"/>
    </row>
    <row r="5" spans="1:55" ht="18.75" x14ac:dyDescent="0.3">
      <c r="A5"/>
      <c r="O5"/>
      <c r="P5" s="155" t="s">
        <v>737</v>
      </c>
      <c r="Q5" s="148" t="s">
        <v>157</v>
      </c>
      <c r="R5"/>
      <c r="S5"/>
      <c r="T5"/>
      <c r="U5"/>
      <c r="V5"/>
      <c r="W5"/>
      <c r="X5"/>
      <c r="Y5"/>
      <c r="Z5"/>
      <c r="AA5"/>
      <c r="AB5"/>
      <c r="AC5"/>
      <c r="AD5"/>
      <c r="AE5"/>
      <c r="AF5"/>
      <c r="AG5"/>
      <c r="AH5"/>
      <c r="AI5"/>
      <c r="AJ5"/>
      <c r="AK5"/>
      <c r="AL5"/>
      <c r="AM5"/>
      <c r="AN5"/>
      <c r="AO5"/>
      <c r="AP5"/>
      <c r="AQ5"/>
      <c r="AR5"/>
      <c r="AS5"/>
      <c r="AT5"/>
      <c r="AU5"/>
      <c r="AV5"/>
      <c r="AW5"/>
      <c r="AX5"/>
      <c r="AY5"/>
      <c r="AZ5"/>
      <c r="BA5"/>
      <c r="BB5"/>
      <c r="BC5"/>
    </row>
    <row r="6" spans="1:55" ht="18.75" x14ac:dyDescent="0.3">
      <c r="A6"/>
      <c r="O6"/>
      <c r="P6" s="156" t="s">
        <v>713</v>
      </c>
      <c r="Q6" s="150" t="s">
        <v>100</v>
      </c>
      <c r="R6"/>
      <c r="S6"/>
      <c r="T6"/>
      <c r="U6"/>
      <c r="V6"/>
      <c r="W6"/>
      <c r="X6"/>
      <c r="Y6"/>
      <c r="Z6"/>
      <c r="AA6"/>
      <c r="AB6"/>
      <c r="AC6"/>
      <c r="AD6"/>
      <c r="AE6"/>
      <c r="AF6"/>
      <c r="AG6"/>
      <c r="AH6"/>
      <c r="AI6"/>
      <c r="AJ6"/>
      <c r="AK6"/>
      <c r="AL6"/>
      <c r="AM6"/>
      <c r="AN6"/>
      <c r="AO6"/>
      <c r="AP6"/>
      <c r="AQ6"/>
      <c r="AR6"/>
      <c r="AS6"/>
      <c r="AT6"/>
      <c r="AU6"/>
      <c r="AV6"/>
      <c r="AW6"/>
      <c r="AX6"/>
      <c r="AY6"/>
      <c r="AZ6"/>
      <c r="BA6"/>
      <c r="BB6"/>
      <c r="BC6"/>
    </row>
    <row r="7" spans="1:55" ht="18.75" x14ac:dyDescent="0.3">
      <c r="A7"/>
      <c r="O7"/>
      <c r="P7" s="155" t="s">
        <v>725</v>
      </c>
      <c r="Q7" s="148" t="s">
        <v>799</v>
      </c>
      <c r="R7"/>
      <c r="S7"/>
      <c r="T7"/>
      <c r="U7"/>
      <c r="V7"/>
      <c r="W7"/>
      <c r="X7"/>
      <c r="Y7"/>
      <c r="Z7"/>
      <c r="AA7"/>
      <c r="AB7"/>
      <c r="AC7"/>
      <c r="AD7"/>
      <c r="AE7"/>
      <c r="AF7"/>
      <c r="AG7"/>
      <c r="AH7"/>
      <c r="AI7"/>
      <c r="AJ7"/>
      <c r="AK7"/>
      <c r="AL7"/>
      <c r="AM7"/>
      <c r="AN7"/>
      <c r="AO7"/>
      <c r="AP7"/>
      <c r="AQ7"/>
      <c r="AR7"/>
      <c r="AS7"/>
      <c r="AT7"/>
      <c r="AU7"/>
      <c r="AV7"/>
      <c r="AW7"/>
      <c r="AX7"/>
      <c r="AY7"/>
      <c r="AZ7"/>
      <c r="BA7"/>
      <c r="BB7"/>
      <c r="BC7"/>
    </row>
    <row r="8" spans="1:55" ht="18.75" x14ac:dyDescent="0.3">
      <c r="A8"/>
      <c r="O8"/>
      <c r="P8" s="156" t="s">
        <v>714</v>
      </c>
      <c r="Q8" s="150" t="s">
        <v>747</v>
      </c>
      <c r="R8"/>
      <c r="S8"/>
      <c r="T8"/>
      <c r="U8"/>
      <c r="V8"/>
      <c r="W8"/>
      <c r="X8"/>
      <c r="Y8"/>
      <c r="Z8"/>
      <c r="AA8"/>
      <c r="AB8"/>
      <c r="AC8"/>
      <c r="AD8"/>
      <c r="AE8"/>
      <c r="AF8"/>
      <c r="AG8"/>
      <c r="AH8"/>
      <c r="AI8"/>
      <c r="AJ8"/>
      <c r="AK8"/>
      <c r="AL8"/>
      <c r="AM8"/>
      <c r="AN8"/>
      <c r="AO8"/>
      <c r="AP8"/>
      <c r="AQ8"/>
      <c r="AR8"/>
      <c r="AS8"/>
      <c r="AT8"/>
      <c r="AU8"/>
      <c r="AV8"/>
      <c r="AW8"/>
      <c r="AX8"/>
      <c r="AY8"/>
      <c r="AZ8"/>
      <c r="BA8"/>
      <c r="BB8"/>
      <c r="BC8"/>
    </row>
    <row r="9" spans="1:55" ht="18.75" x14ac:dyDescent="0.3">
      <c r="A9"/>
      <c r="O9"/>
      <c r="P9" s="155" t="s">
        <v>711</v>
      </c>
      <c r="Q9" s="148" t="s">
        <v>740</v>
      </c>
      <c r="R9"/>
      <c r="S9"/>
      <c r="T9"/>
      <c r="U9"/>
      <c r="V9"/>
      <c r="W9"/>
      <c r="X9"/>
      <c r="Y9"/>
      <c r="Z9"/>
      <c r="AA9"/>
      <c r="AB9"/>
      <c r="AC9"/>
      <c r="AD9"/>
      <c r="AE9"/>
      <c r="AF9"/>
      <c r="AG9"/>
      <c r="AH9"/>
      <c r="AI9"/>
      <c r="AJ9"/>
      <c r="AK9"/>
      <c r="AL9"/>
      <c r="AM9"/>
      <c r="AN9"/>
      <c r="AO9"/>
      <c r="AP9"/>
      <c r="AQ9"/>
      <c r="AR9"/>
      <c r="AS9"/>
      <c r="AT9"/>
      <c r="AU9"/>
      <c r="AV9"/>
      <c r="AW9"/>
      <c r="AX9"/>
      <c r="AY9"/>
      <c r="AZ9"/>
      <c r="BA9"/>
      <c r="BB9"/>
      <c r="BC9"/>
    </row>
    <row r="10" spans="1:55" ht="18.75" x14ac:dyDescent="0.25">
      <c r="A10"/>
      <c r="O10"/>
      <c r="P10" s="157" t="s">
        <v>738</v>
      </c>
      <c r="Q10" s="151" t="s">
        <v>740</v>
      </c>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row>
    <row r="11" spans="1:55" ht="18.75" x14ac:dyDescent="0.3">
      <c r="P11" s="155" t="s">
        <v>739</v>
      </c>
      <c r="Q11" s="148" t="s">
        <v>740</v>
      </c>
    </row>
    <row r="12" spans="1:55" ht="18.75" x14ac:dyDescent="0.3">
      <c r="P12" s="156" t="s">
        <v>718</v>
      </c>
      <c r="Q12" s="150" t="s">
        <v>753</v>
      </c>
    </row>
    <row r="13" spans="1:55" ht="18.75" x14ac:dyDescent="0.3">
      <c r="P13" s="155" t="s">
        <v>726</v>
      </c>
      <c r="Q13" s="152" t="s">
        <v>745</v>
      </c>
    </row>
    <row r="14" spans="1:55" ht="18.75" x14ac:dyDescent="0.3">
      <c r="P14" s="156" t="s">
        <v>474</v>
      </c>
      <c r="Q14" s="150"/>
    </row>
  </sheetData>
  <phoneticPr fontId="16"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3A0C6-86F4-40CE-9797-6BEBBE859FFD}">
  <sheetPr codeName="Sheet6">
    <tabColor rgb="FF0070C0"/>
  </sheetPr>
  <dimension ref="A1:Y35"/>
  <sheetViews>
    <sheetView workbookViewId="0">
      <selection activeCell="A28" sqref="A28:G31"/>
    </sheetView>
  </sheetViews>
  <sheetFormatPr defaultColWidth="8.85546875" defaultRowHeight="15.75" x14ac:dyDescent="0.25"/>
  <cols>
    <col min="1" max="1" width="28.140625" style="10" bestFit="1" customWidth="1"/>
    <col min="2" max="2" width="14.28515625" style="10" bestFit="1" customWidth="1"/>
    <col min="3" max="3" width="9.85546875" style="10" bestFit="1" customWidth="1"/>
    <col min="4" max="4" width="13.5703125" style="10" bestFit="1" customWidth="1"/>
    <col min="5" max="5" width="7.7109375" style="10" bestFit="1" customWidth="1"/>
    <col min="6" max="7" width="10.7109375" style="10" bestFit="1" customWidth="1"/>
    <col min="8" max="8" width="8.85546875" style="10"/>
    <col min="9" max="9" width="25" style="10" bestFit="1" customWidth="1"/>
    <col min="10" max="10" width="19.140625" style="10" bestFit="1" customWidth="1"/>
    <col min="11" max="11" width="9.85546875" style="10" bestFit="1" customWidth="1"/>
    <col min="12" max="12" width="7.7109375" style="10" bestFit="1" customWidth="1"/>
    <col min="13" max="13" width="10.7109375" style="10" bestFit="1" customWidth="1"/>
    <col min="14" max="15" width="1.7109375" style="10" customWidth="1"/>
    <col min="16" max="16" width="8.85546875" style="10"/>
    <col min="17" max="17" width="25" style="10" bestFit="1" customWidth="1"/>
    <col min="18" max="18" width="14.28515625" style="10" bestFit="1" customWidth="1"/>
    <col min="19" max="19" width="9.42578125" style="10" bestFit="1" customWidth="1"/>
    <col min="20" max="20" width="13.140625" style="10" bestFit="1" customWidth="1"/>
    <col min="21" max="21" width="7.28515625" style="10" bestFit="1" customWidth="1"/>
    <col min="22" max="22" width="16.7109375" style="10" bestFit="1" customWidth="1"/>
    <col min="23" max="23" width="28.85546875" style="10" bestFit="1" customWidth="1"/>
    <col min="24" max="24" width="25.7109375" style="17" customWidth="1"/>
    <col min="25" max="16384" width="8.85546875" style="10"/>
  </cols>
  <sheetData>
    <row r="1" spans="1:24" ht="18.75" x14ac:dyDescent="0.3">
      <c r="A1" s="73" t="s">
        <v>1</v>
      </c>
      <c r="B1" s="55" t="s">
        <v>132</v>
      </c>
      <c r="I1" s="73" t="s">
        <v>1</v>
      </c>
      <c r="J1" s="55" t="s">
        <v>217</v>
      </c>
      <c r="Q1" s="73" t="s">
        <v>1</v>
      </c>
      <c r="R1" s="74">
        <v>45744</v>
      </c>
      <c r="T1" s="8" t="s">
        <v>469</v>
      </c>
      <c r="U1" s="8" t="s">
        <v>470</v>
      </c>
      <c r="V1" s="8" t="s">
        <v>8</v>
      </c>
      <c r="W1" s="8" t="s">
        <v>471</v>
      </c>
      <c r="X1" s="18" t="s">
        <v>474</v>
      </c>
    </row>
    <row r="2" spans="1:24" ht="31.5" x14ac:dyDescent="0.25">
      <c r="A2" s="73" t="s">
        <v>10</v>
      </c>
      <c r="B2" s="55" t="s">
        <v>132</v>
      </c>
      <c r="I2" s="73" t="s">
        <v>10</v>
      </c>
      <c r="J2" s="55" t="s">
        <v>132</v>
      </c>
      <c r="Q2" s="73" t="s">
        <v>10</v>
      </c>
      <c r="R2" s="55" t="s">
        <v>132</v>
      </c>
      <c r="T2" s="20">
        <f>MV_Theft!B15</f>
        <v>45744</v>
      </c>
      <c r="U2" s="21">
        <f>MV_Theft!D15</f>
        <v>0.83333333333333337</v>
      </c>
      <c r="V2" s="10" t="s">
        <v>475</v>
      </c>
      <c r="W2" s="10" t="s">
        <v>472</v>
      </c>
      <c r="X2" s="17" t="s">
        <v>473</v>
      </c>
    </row>
    <row r="4" spans="1:24" x14ac:dyDescent="0.25">
      <c r="A4" s="73" t="s">
        <v>133</v>
      </c>
      <c r="B4" s="73" t="s">
        <v>5</v>
      </c>
      <c r="C4" s="55"/>
      <c r="D4" s="55"/>
      <c r="E4" s="55"/>
      <c r="F4" s="55"/>
      <c r="I4" s="73" t="s">
        <v>133</v>
      </c>
      <c r="J4" s="73" t="s">
        <v>5</v>
      </c>
      <c r="K4"/>
      <c r="L4"/>
      <c r="M4"/>
      <c r="Q4" s="73" t="s">
        <v>133</v>
      </c>
      <c r="R4" s="73" t="s">
        <v>5</v>
      </c>
      <c r="S4"/>
      <c r="T4"/>
      <c r="U4"/>
      <c r="V4"/>
    </row>
    <row r="5" spans="1:24" x14ac:dyDescent="0.25">
      <c r="A5" s="73" t="s">
        <v>2</v>
      </c>
      <c r="B5" s="55" t="s">
        <v>56</v>
      </c>
      <c r="C5" s="55" t="s">
        <v>192</v>
      </c>
      <c r="D5" s="55" t="s">
        <v>169</v>
      </c>
      <c r="E5" s="55" t="s">
        <v>157</v>
      </c>
      <c r="F5" s="55" t="s">
        <v>81</v>
      </c>
      <c r="I5" s="73" t="s">
        <v>2</v>
      </c>
      <c r="J5" s="55" t="s">
        <v>157</v>
      </c>
      <c r="K5"/>
      <c r="L5"/>
      <c r="M5"/>
      <c r="Q5" s="73" t="s">
        <v>2</v>
      </c>
      <c r="R5" s="55" t="s">
        <v>157</v>
      </c>
      <c r="S5"/>
      <c r="T5"/>
      <c r="U5"/>
      <c r="V5"/>
    </row>
    <row r="6" spans="1:24" x14ac:dyDescent="0.25">
      <c r="A6" s="55" t="s">
        <v>168</v>
      </c>
      <c r="B6" s="174"/>
      <c r="C6" s="174"/>
      <c r="D6" s="174"/>
      <c r="E6" s="174"/>
      <c r="F6" s="174">
        <v>1</v>
      </c>
      <c r="I6" s="55" t="s">
        <v>301</v>
      </c>
      <c r="J6" s="174">
        <v>1</v>
      </c>
      <c r="K6"/>
      <c r="L6"/>
      <c r="M6"/>
      <c r="Q6" s="55" t="s">
        <v>100</v>
      </c>
      <c r="R6" s="174">
        <v>1</v>
      </c>
      <c r="S6"/>
      <c r="T6"/>
      <c r="U6"/>
      <c r="V6"/>
    </row>
    <row r="7" spans="1:24" x14ac:dyDescent="0.25">
      <c r="A7" s="55" t="s">
        <v>301</v>
      </c>
      <c r="B7" s="174"/>
      <c r="C7" s="174"/>
      <c r="D7" s="174"/>
      <c r="E7" s="174">
        <v>2</v>
      </c>
      <c r="F7" s="174"/>
      <c r="I7" s="55" t="s">
        <v>100</v>
      </c>
      <c r="J7" s="174">
        <v>1</v>
      </c>
      <c r="K7"/>
      <c r="L7"/>
      <c r="M7"/>
      <c r="Q7"/>
      <c r="R7"/>
      <c r="S7"/>
      <c r="T7"/>
      <c r="U7"/>
      <c r="V7"/>
    </row>
    <row r="8" spans="1:24" x14ac:dyDescent="0.25">
      <c r="A8" s="55" t="s">
        <v>146</v>
      </c>
      <c r="B8" s="174">
        <v>2</v>
      </c>
      <c r="C8" s="174">
        <v>1</v>
      </c>
      <c r="D8" s="174">
        <v>1</v>
      </c>
      <c r="E8" s="174"/>
      <c r="F8" s="174"/>
      <c r="I8"/>
      <c r="J8"/>
      <c r="K8"/>
      <c r="L8"/>
      <c r="M8"/>
      <c r="Q8"/>
      <c r="R8"/>
      <c r="S8"/>
      <c r="T8"/>
      <c r="U8"/>
      <c r="V8"/>
    </row>
    <row r="9" spans="1:24" x14ac:dyDescent="0.25">
      <c r="A9" s="55" t="s">
        <v>55</v>
      </c>
      <c r="B9" s="174"/>
      <c r="C9" s="174">
        <v>1</v>
      </c>
      <c r="D9" s="174">
        <v>1</v>
      </c>
      <c r="E9" s="174">
        <v>1</v>
      </c>
      <c r="F9" s="174"/>
      <c r="I9"/>
      <c r="J9"/>
      <c r="K9"/>
      <c r="L9"/>
      <c r="M9"/>
      <c r="Q9"/>
      <c r="R9"/>
      <c r="S9"/>
      <c r="T9"/>
      <c r="U9"/>
      <c r="V9"/>
    </row>
    <row r="10" spans="1:24" x14ac:dyDescent="0.25">
      <c r="A10" s="55" t="s">
        <v>80</v>
      </c>
      <c r="B10" s="174">
        <v>1</v>
      </c>
      <c r="C10" s="174">
        <v>1</v>
      </c>
      <c r="D10" s="174"/>
      <c r="E10" s="174"/>
      <c r="F10" s="174"/>
      <c r="I10"/>
      <c r="J10"/>
      <c r="K10"/>
      <c r="L10"/>
      <c r="M10"/>
      <c r="Q10"/>
      <c r="R10"/>
      <c r="S10"/>
      <c r="T10"/>
      <c r="U10"/>
      <c r="V10"/>
    </row>
    <row r="11" spans="1:24" x14ac:dyDescent="0.25">
      <c r="A11" s="55" t="s">
        <v>100</v>
      </c>
      <c r="B11" s="174"/>
      <c r="C11" s="174"/>
      <c r="D11" s="174"/>
      <c r="E11" s="174">
        <v>2</v>
      </c>
      <c r="F11" s="174"/>
      <c r="Q11"/>
      <c r="R11"/>
      <c r="S11"/>
      <c r="T11"/>
      <c r="U11"/>
      <c r="V11"/>
    </row>
    <row r="17" spans="1:25" ht="24" x14ac:dyDescent="0.4">
      <c r="A17" s="109" t="s">
        <v>465</v>
      </c>
      <c r="B17" s="109"/>
      <c r="C17" s="109"/>
      <c r="D17" s="109"/>
      <c r="E17" s="109"/>
      <c r="F17" s="109"/>
      <c r="G17" s="109"/>
    </row>
    <row r="18" spans="1:25" s="8" customFormat="1" ht="18.75" x14ac:dyDescent="0.3">
      <c r="A18" s="8" t="s">
        <v>458</v>
      </c>
      <c r="B18" s="8" t="s">
        <v>467</v>
      </c>
      <c r="C18" s="12" t="s">
        <v>459</v>
      </c>
      <c r="D18" s="12" t="s">
        <v>460</v>
      </c>
      <c r="E18" s="12" t="s">
        <v>461</v>
      </c>
      <c r="F18" s="12" t="s">
        <v>463</v>
      </c>
      <c r="G18" s="8" t="s">
        <v>464</v>
      </c>
      <c r="Y18" s="18"/>
    </row>
    <row r="19" spans="1:25" x14ac:dyDescent="0.25">
      <c r="A19" s="9" t="s">
        <v>168</v>
      </c>
      <c r="B19" s="9"/>
      <c r="G19" s="10">
        <v>1</v>
      </c>
      <c r="X19" s="10"/>
      <c r="Y19" s="17"/>
    </row>
    <row r="20" spans="1:25" x14ac:dyDescent="0.25">
      <c r="A20" s="9" t="s">
        <v>301</v>
      </c>
      <c r="B20" s="9"/>
      <c r="F20" s="10">
        <v>2</v>
      </c>
      <c r="X20" s="10"/>
      <c r="Y20" s="17"/>
    </row>
    <row r="21" spans="1:25" x14ac:dyDescent="0.25">
      <c r="A21" s="9" t="s">
        <v>146</v>
      </c>
      <c r="B21" s="9"/>
      <c r="C21" s="10">
        <v>2</v>
      </c>
      <c r="D21" s="10">
        <v>1</v>
      </c>
      <c r="E21" s="10">
        <v>1</v>
      </c>
      <c r="X21" s="10"/>
      <c r="Y21" s="17"/>
    </row>
    <row r="22" spans="1:25" x14ac:dyDescent="0.25">
      <c r="A22" s="9" t="s">
        <v>55</v>
      </c>
      <c r="B22" s="9"/>
      <c r="D22" s="10">
        <v>1</v>
      </c>
      <c r="E22" s="10">
        <v>1</v>
      </c>
      <c r="F22" s="10">
        <v>1</v>
      </c>
      <c r="X22" s="10"/>
      <c r="Y22" s="17"/>
    </row>
    <row r="23" spans="1:25" x14ac:dyDescent="0.25">
      <c r="A23" s="9" t="s">
        <v>80</v>
      </c>
      <c r="B23" s="9"/>
      <c r="C23" s="10">
        <v>1</v>
      </c>
      <c r="D23" s="10">
        <v>1</v>
      </c>
      <c r="X23" s="10"/>
      <c r="Y23" s="17"/>
    </row>
    <row r="24" spans="1:25" x14ac:dyDescent="0.25">
      <c r="A24" s="9" t="s">
        <v>100</v>
      </c>
      <c r="B24" s="9"/>
      <c r="F24" s="10">
        <v>2</v>
      </c>
      <c r="X24" s="10"/>
      <c r="Y24" s="17"/>
    </row>
    <row r="28" spans="1:25" ht="24" x14ac:dyDescent="0.4">
      <c r="A28" s="109" t="s">
        <v>466</v>
      </c>
      <c r="B28" s="109"/>
      <c r="C28" s="109"/>
      <c r="D28" s="109"/>
      <c r="E28" s="109"/>
      <c r="F28" s="109"/>
      <c r="G28" s="109"/>
    </row>
    <row r="29" spans="1:25" s="13" customFormat="1" ht="18.75" x14ac:dyDescent="0.3">
      <c r="A29" s="8" t="s">
        <v>458</v>
      </c>
      <c r="B29" s="8" t="s">
        <v>467</v>
      </c>
      <c r="C29" s="8" t="s">
        <v>459</v>
      </c>
      <c r="D29" s="8" t="s">
        <v>460</v>
      </c>
      <c r="E29" s="8" t="s">
        <v>461</v>
      </c>
      <c r="F29" s="8" t="s">
        <v>463</v>
      </c>
      <c r="G29" s="8" t="s">
        <v>464</v>
      </c>
      <c r="X29" s="19"/>
    </row>
    <row r="30" spans="1:25" x14ac:dyDescent="0.25">
      <c r="A30" s="9" t="s">
        <v>301</v>
      </c>
      <c r="F30" s="55">
        <v>1</v>
      </c>
      <c r="G30" s="55"/>
    </row>
    <row r="31" spans="1:25" x14ac:dyDescent="0.25">
      <c r="A31" s="9" t="s">
        <v>100</v>
      </c>
      <c r="F31" s="55">
        <v>1</v>
      </c>
      <c r="G31" s="55"/>
    </row>
    <row r="33" spans="1:2" ht="24" x14ac:dyDescent="0.4">
      <c r="A33" s="109" t="s">
        <v>468</v>
      </c>
      <c r="B33" s="109"/>
    </row>
    <row r="34" spans="1:2" ht="18.75" x14ac:dyDescent="0.3">
      <c r="A34" s="8" t="s">
        <v>458</v>
      </c>
      <c r="B34" s="8" t="s">
        <v>460</v>
      </c>
    </row>
    <row r="35" spans="1:2" x14ac:dyDescent="0.25">
      <c r="A35" s="14" t="s">
        <v>146</v>
      </c>
      <c r="B35" s="15">
        <v>1</v>
      </c>
    </row>
  </sheetData>
  <mergeCells count="3">
    <mergeCell ref="A33:B33"/>
    <mergeCell ref="A17:G17"/>
    <mergeCell ref="A28:G28"/>
  </mergeCells>
  <pageMargins left="0.7" right="0.7" top="0.75" bottom="0.75" header="0.3" footer="0.3"/>
  <pageSetup orientation="portrait" horizontalDpi="1200" verticalDpi="1200" r:id="rId4"/>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C89F-74B4-45C7-B3B7-14885757E5DE}">
  <sheetPr>
    <tabColor rgb="FFEE0000"/>
  </sheetPr>
  <dimension ref="A1:CQ42"/>
  <sheetViews>
    <sheetView topLeftCell="BF6" workbookViewId="0">
      <selection activeCell="BI26" sqref="BI26:BP27"/>
    </sheetView>
  </sheetViews>
  <sheetFormatPr defaultRowHeight="15" x14ac:dyDescent="0.25"/>
  <cols>
    <col min="1" max="1" width="15.140625" bestFit="1" customWidth="1"/>
    <col min="2" max="2" width="12" style="169" bestFit="1" customWidth="1"/>
    <col min="3" max="3" width="23.85546875" bestFit="1" customWidth="1"/>
    <col min="4" max="4" width="14.42578125" style="168" bestFit="1" customWidth="1"/>
    <col min="5" max="5" width="11.85546875" style="168" bestFit="1" customWidth="1"/>
    <col min="6" max="6" width="12.28515625" bestFit="1" customWidth="1"/>
    <col min="7" max="7" width="15" bestFit="1" customWidth="1"/>
    <col min="8" max="8" width="35.85546875" bestFit="1" customWidth="1"/>
    <col min="9" max="9" width="30" bestFit="1" customWidth="1"/>
    <col min="10" max="10" width="48.85546875" bestFit="1" customWidth="1"/>
    <col min="11" max="11" width="18.85546875" bestFit="1" customWidth="1"/>
    <col min="12" max="12" width="26.5703125" bestFit="1" customWidth="1"/>
    <col min="13" max="13" width="17.42578125" bestFit="1" customWidth="1"/>
    <col min="14" max="14" width="70.5703125" bestFit="1" customWidth="1"/>
    <col min="15" max="15" width="7.140625" bestFit="1" customWidth="1"/>
    <col min="16" max="16" width="7.7109375" bestFit="1" customWidth="1"/>
    <col min="17" max="17" width="81.140625" bestFit="1" customWidth="1"/>
    <col min="18" max="18" width="19.7109375" bestFit="1" customWidth="1"/>
    <col min="19" max="19" width="21.140625" bestFit="1" customWidth="1"/>
    <col min="20" max="20" width="15.5703125" bestFit="1" customWidth="1"/>
    <col min="21" max="21" width="9.28515625" bestFit="1" customWidth="1"/>
    <col min="22" max="22" width="10.140625" bestFit="1" customWidth="1"/>
    <col min="23" max="23" width="13" bestFit="1" customWidth="1"/>
    <col min="24" max="24" width="15.5703125" bestFit="1" customWidth="1"/>
    <col min="25" max="25" width="13" bestFit="1" customWidth="1"/>
    <col min="26" max="26" width="9.28515625" bestFit="1" customWidth="1"/>
    <col min="27" max="27" width="10.140625" bestFit="1" customWidth="1"/>
    <col min="28" max="28" width="14.7109375" bestFit="1" customWidth="1"/>
    <col min="29" max="29" width="15.7109375" bestFit="1" customWidth="1"/>
    <col min="30" max="30" width="27.140625" bestFit="1" customWidth="1"/>
    <col min="31" max="31" width="8.7109375" bestFit="1" customWidth="1"/>
    <col min="32" max="32" width="24.7109375" bestFit="1" customWidth="1"/>
    <col min="33" max="33" width="29.140625" bestFit="1" customWidth="1"/>
    <col min="34" max="34" width="21" bestFit="1" customWidth="1"/>
    <col min="35" max="35" width="25.140625" bestFit="1" customWidth="1"/>
    <col min="36" max="36" width="15.140625" style="169" bestFit="1" customWidth="1"/>
    <col min="37" max="37" width="15.5703125" style="168" bestFit="1" customWidth="1"/>
    <col min="38" max="38" width="24.5703125" style="169" bestFit="1" customWidth="1"/>
    <col min="39" max="39" width="24.85546875" style="168" bestFit="1" customWidth="1"/>
    <col min="40" max="40" width="13.85546875" style="169" bestFit="1" customWidth="1"/>
    <col min="41" max="41" width="14.140625" style="168" bestFit="1" customWidth="1"/>
    <col min="42" max="42" width="7.28515625" bestFit="1" customWidth="1"/>
    <col min="43" max="43" width="15.42578125" bestFit="1" customWidth="1"/>
    <col min="44" max="44" width="17.42578125" bestFit="1" customWidth="1"/>
    <col min="45" max="45" width="6.5703125" bestFit="1" customWidth="1"/>
    <col min="46" max="46" width="13.28515625" bestFit="1" customWidth="1"/>
    <col min="47" max="47" width="22.7109375" bestFit="1" customWidth="1"/>
    <col min="48" max="48" width="6" bestFit="1" customWidth="1"/>
    <col min="49" max="49" width="81.140625" bestFit="1" customWidth="1"/>
    <col min="50" max="50" width="32.7109375" bestFit="1" customWidth="1"/>
    <col min="51" max="52" width="81.140625" bestFit="1" customWidth="1"/>
    <col min="53" max="53" width="16.5703125" bestFit="1" customWidth="1"/>
    <col min="54" max="54" width="25.28515625" bestFit="1" customWidth="1"/>
    <col min="55" max="55" width="48.85546875" bestFit="1" customWidth="1"/>
    <col min="61" max="61" width="27.7109375" bestFit="1" customWidth="1"/>
    <col min="62" max="68" width="11.28515625" customWidth="1"/>
    <col min="70" max="70" width="23.85546875" bestFit="1" customWidth="1"/>
    <col min="71" max="71" width="17.85546875" bestFit="1" customWidth="1"/>
    <col min="79" max="79" width="40.140625" bestFit="1" customWidth="1"/>
    <col min="80" max="80" width="37.140625" bestFit="1" customWidth="1"/>
    <col min="81" max="81" width="21" bestFit="1" customWidth="1"/>
    <col min="82" max="82" width="25.7109375" bestFit="1" customWidth="1"/>
    <col min="83" max="83" width="35.5703125" bestFit="1" customWidth="1"/>
    <col min="84" max="84" width="40.140625" bestFit="1" customWidth="1"/>
    <col min="85" max="85" width="38" bestFit="1" customWidth="1"/>
    <col min="86" max="86" width="33.5703125" bestFit="1" customWidth="1"/>
    <col min="87" max="87" width="20.7109375" bestFit="1" customWidth="1"/>
    <col min="88" max="88" width="29" bestFit="1" customWidth="1"/>
    <col min="89" max="89" width="38.140625" bestFit="1" customWidth="1"/>
    <col min="90" max="90" width="34.28515625" bestFit="1" customWidth="1"/>
    <col min="91" max="91" width="40.140625" bestFit="1" customWidth="1"/>
    <col min="92" max="92" width="43.28515625" bestFit="1" customWidth="1"/>
    <col min="93" max="93" width="33.5703125" bestFit="1" customWidth="1"/>
    <col min="94" max="94" width="23.85546875" bestFit="1" customWidth="1"/>
    <col min="95" max="95" width="54.28515625" customWidth="1"/>
  </cols>
  <sheetData>
    <row r="1" spans="1:95" ht="18.75" x14ac:dyDescent="0.3">
      <c r="A1" t="s">
        <v>0</v>
      </c>
      <c r="B1" s="169" t="s">
        <v>1</v>
      </c>
      <c r="C1" t="s">
        <v>2</v>
      </c>
      <c r="D1" s="168" t="s">
        <v>3</v>
      </c>
      <c r="E1" s="168" t="s">
        <v>4</v>
      </c>
      <c r="F1" t="s">
        <v>5</v>
      </c>
      <c r="G1" t="s">
        <v>6</v>
      </c>
      <c r="H1" t="s">
        <v>7</v>
      </c>
      <c r="I1" t="s">
        <v>8</v>
      </c>
      <c r="J1" t="s">
        <v>10</v>
      </c>
      <c r="K1" t="s">
        <v>9</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s="169" t="s">
        <v>35</v>
      </c>
      <c r="AK1" s="168" t="s">
        <v>36</v>
      </c>
      <c r="AL1" s="169" t="s">
        <v>37</v>
      </c>
      <c r="AM1" s="168" t="s">
        <v>38</v>
      </c>
      <c r="AN1" s="169" t="s">
        <v>39</v>
      </c>
      <c r="AO1" s="168" t="s">
        <v>40</v>
      </c>
      <c r="AP1" t="s">
        <v>41</v>
      </c>
      <c r="AQ1" t="s">
        <v>42</v>
      </c>
      <c r="AR1" t="s">
        <v>43</v>
      </c>
      <c r="AS1" t="s">
        <v>44</v>
      </c>
      <c r="AT1" t="s">
        <v>45</v>
      </c>
      <c r="AU1" t="s">
        <v>46</v>
      </c>
      <c r="AV1" t="s">
        <v>47</v>
      </c>
      <c r="AW1" t="s">
        <v>474</v>
      </c>
      <c r="AX1" t="s">
        <v>49</v>
      </c>
      <c r="AY1" t="s">
        <v>50</v>
      </c>
      <c r="AZ1" t="s">
        <v>51</v>
      </c>
      <c r="BA1" t="s">
        <v>52</v>
      </c>
      <c r="BB1" t="s">
        <v>53</v>
      </c>
      <c r="BC1" t="s">
        <v>815</v>
      </c>
      <c r="CA1" s="79" t="s">
        <v>0</v>
      </c>
      <c r="CB1" s="79" t="s">
        <v>712</v>
      </c>
      <c r="CC1" s="79" t="s">
        <v>35</v>
      </c>
      <c r="CD1" s="79" t="s">
        <v>737</v>
      </c>
      <c r="CE1" s="79" t="s">
        <v>713</v>
      </c>
      <c r="CF1" s="79" t="s">
        <v>820</v>
      </c>
      <c r="CG1" s="79" t="s">
        <v>738</v>
      </c>
      <c r="CH1" s="79" t="s">
        <v>739</v>
      </c>
      <c r="CI1" s="79" t="s">
        <v>821</v>
      </c>
      <c r="CJ1" s="79" t="s">
        <v>822</v>
      </c>
      <c r="CK1" s="79" t="s">
        <v>823</v>
      </c>
      <c r="CL1" s="79" t="s">
        <v>824</v>
      </c>
      <c r="CM1" s="79" t="s">
        <v>825</v>
      </c>
      <c r="CN1" s="79" t="s">
        <v>826</v>
      </c>
      <c r="CO1" s="79" t="s">
        <v>827</v>
      </c>
      <c r="CP1" s="79" t="s">
        <v>726</v>
      </c>
      <c r="CQ1" s="79" t="s">
        <v>474</v>
      </c>
    </row>
    <row r="2" spans="1:95" ht="15.75" x14ac:dyDescent="0.25">
      <c r="A2" s="114" t="s">
        <v>349</v>
      </c>
      <c r="B2" s="169">
        <v>45670</v>
      </c>
      <c r="C2" t="s">
        <v>55</v>
      </c>
      <c r="D2" s="168">
        <v>0.5</v>
      </c>
      <c r="E2" s="168">
        <v>0.50347222222222221</v>
      </c>
      <c r="F2" s="114" t="s">
        <v>459</v>
      </c>
      <c r="G2" s="114" t="s">
        <v>817</v>
      </c>
      <c r="H2" t="s">
        <v>350</v>
      </c>
      <c r="I2" t="s">
        <v>351</v>
      </c>
      <c r="J2" t="s">
        <v>353</v>
      </c>
      <c r="K2" s="114" t="s">
        <v>352</v>
      </c>
      <c r="L2" s="114" t="s">
        <v>354</v>
      </c>
      <c r="M2" s="114" t="s">
        <v>355</v>
      </c>
      <c r="N2" s="114" t="s">
        <v>356</v>
      </c>
      <c r="O2" s="114" t="s">
        <v>87</v>
      </c>
      <c r="P2">
        <v>8</v>
      </c>
      <c r="Q2" s="114" t="s">
        <v>357</v>
      </c>
      <c r="T2" s="114"/>
      <c r="U2" s="114"/>
      <c r="V2" s="114"/>
      <c r="W2" s="114"/>
      <c r="AB2" s="114" t="s">
        <v>163</v>
      </c>
      <c r="AC2" s="114" t="s">
        <v>69</v>
      </c>
      <c r="AD2" s="114" t="s">
        <v>358</v>
      </c>
      <c r="AE2" s="114" t="s">
        <v>359</v>
      </c>
      <c r="AF2" s="114" t="s">
        <v>360</v>
      </c>
      <c r="AG2" s="114" t="s">
        <v>128</v>
      </c>
      <c r="AH2" s="114" t="s">
        <v>361</v>
      </c>
      <c r="AI2">
        <v>9</v>
      </c>
      <c r="AJ2" s="169">
        <v>45670</v>
      </c>
      <c r="AK2" s="168">
        <v>0.50347222222222221</v>
      </c>
      <c r="AN2" s="169">
        <v>45670</v>
      </c>
      <c r="AO2" s="168">
        <v>0.50537037037037036</v>
      </c>
      <c r="AP2">
        <v>2025</v>
      </c>
      <c r="AQ2">
        <v>3</v>
      </c>
      <c r="AR2">
        <v>3</v>
      </c>
      <c r="AS2">
        <v>13</v>
      </c>
      <c r="AT2">
        <v>13</v>
      </c>
      <c r="AU2" s="2">
        <v>45670.503472222219</v>
      </c>
      <c r="AV2">
        <v>204</v>
      </c>
      <c r="AW2" t="s">
        <v>357</v>
      </c>
      <c r="AY2" t="s">
        <v>362</v>
      </c>
      <c r="AZ2" t="s">
        <v>363</v>
      </c>
      <c r="BA2" t="s">
        <v>586</v>
      </c>
      <c r="BB2" t="s">
        <v>78</v>
      </c>
      <c r="BC2" s="114" t="s">
        <v>353</v>
      </c>
      <c r="BI2" s="5" t="s">
        <v>1</v>
      </c>
      <c r="BJ2" t="s">
        <v>132</v>
      </c>
      <c r="BR2" s="5" t="s">
        <v>1</v>
      </c>
      <c r="BS2" t="s">
        <v>217</v>
      </c>
      <c r="CA2" s="59" t="s">
        <v>663</v>
      </c>
      <c r="CB2" s="60" t="s">
        <v>365</v>
      </c>
      <c r="CC2" s="65">
        <v>45741</v>
      </c>
      <c r="CD2" s="126" t="s">
        <v>460</v>
      </c>
      <c r="CE2" s="60" t="s">
        <v>146</v>
      </c>
      <c r="CF2" s="104"/>
      <c r="CG2" s="126" t="s">
        <v>828</v>
      </c>
      <c r="CH2" s="126" t="s">
        <v>829</v>
      </c>
      <c r="CI2" s="104" t="s">
        <v>830</v>
      </c>
      <c r="CJ2" s="104" t="s">
        <v>831</v>
      </c>
      <c r="CK2" s="104" t="s">
        <v>832</v>
      </c>
      <c r="CL2" s="126" t="s">
        <v>833</v>
      </c>
      <c r="CM2" s="104"/>
      <c r="CN2" s="126" t="s">
        <v>740</v>
      </c>
      <c r="CO2" s="104" t="s">
        <v>834</v>
      </c>
      <c r="CP2" s="126" t="s">
        <v>753</v>
      </c>
      <c r="CQ2" s="107"/>
    </row>
    <row r="3" spans="1:95" ht="15.75" x14ac:dyDescent="0.25">
      <c r="A3" s="114" t="s">
        <v>364</v>
      </c>
      <c r="B3" s="169">
        <v>45671</v>
      </c>
      <c r="C3" t="s">
        <v>55</v>
      </c>
      <c r="D3" s="168">
        <v>0.625</v>
      </c>
      <c r="E3" s="168">
        <v>0.64067129629629627</v>
      </c>
      <c r="F3" s="114" t="s">
        <v>460</v>
      </c>
      <c r="G3" s="114" t="s">
        <v>817</v>
      </c>
      <c r="H3" t="s">
        <v>365</v>
      </c>
      <c r="I3" t="s">
        <v>366</v>
      </c>
      <c r="J3" t="s">
        <v>367</v>
      </c>
      <c r="K3" s="114" t="s">
        <v>355</v>
      </c>
      <c r="L3" s="114" t="s">
        <v>368</v>
      </c>
      <c r="M3" s="114" t="s">
        <v>369</v>
      </c>
      <c r="N3" s="114" t="s">
        <v>370</v>
      </c>
      <c r="O3" s="114" t="s">
        <v>371</v>
      </c>
      <c r="P3">
        <v>9</v>
      </c>
      <c r="Q3" s="114" t="s">
        <v>372</v>
      </c>
      <c r="T3" s="114" t="s">
        <v>373</v>
      </c>
      <c r="U3" s="114" t="s">
        <v>374</v>
      </c>
      <c r="V3" s="114" t="s">
        <v>375</v>
      </c>
      <c r="W3" s="114" t="s">
        <v>67</v>
      </c>
      <c r="AB3" s="114" t="s">
        <v>124</v>
      </c>
      <c r="AC3" s="114" t="s">
        <v>69</v>
      </c>
      <c r="AD3" s="114" t="s">
        <v>227</v>
      </c>
      <c r="AE3" s="114" t="s">
        <v>376</v>
      </c>
      <c r="AF3" s="114" t="s">
        <v>166</v>
      </c>
      <c r="AG3" s="114" t="s">
        <v>128</v>
      </c>
      <c r="AH3" s="114" t="s">
        <v>361</v>
      </c>
      <c r="AI3">
        <v>9</v>
      </c>
      <c r="AJ3" s="169">
        <v>45671</v>
      </c>
      <c r="AK3" s="168">
        <v>0.64067129629629627</v>
      </c>
      <c r="AN3" s="169">
        <v>45671</v>
      </c>
      <c r="AO3" s="168">
        <v>0.64067129629629627</v>
      </c>
      <c r="AP3">
        <v>2025</v>
      </c>
      <c r="AQ3">
        <v>3</v>
      </c>
      <c r="AR3">
        <v>3</v>
      </c>
      <c r="AS3">
        <v>14</v>
      </c>
      <c r="AT3">
        <v>14</v>
      </c>
      <c r="AU3" s="2">
        <v>45671.640277777777</v>
      </c>
      <c r="AV3">
        <v>450</v>
      </c>
      <c r="AW3" t="s">
        <v>372</v>
      </c>
      <c r="AX3" t="s">
        <v>377</v>
      </c>
      <c r="AY3" t="s">
        <v>61</v>
      </c>
      <c r="AZ3" t="s">
        <v>378</v>
      </c>
      <c r="BA3" t="s">
        <v>585</v>
      </c>
      <c r="BB3" t="s">
        <v>78</v>
      </c>
      <c r="BC3" s="114" t="s">
        <v>367</v>
      </c>
      <c r="BI3" s="5" t="s">
        <v>815</v>
      </c>
      <c r="BJ3" t="s">
        <v>132</v>
      </c>
      <c r="BR3" s="5" t="s">
        <v>815</v>
      </c>
      <c r="BS3" t="s">
        <v>132</v>
      </c>
      <c r="CA3" s="105"/>
      <c r="CB3" s="77"/>
      <c r="CC3" s="91"/>
      <c r="CD3" s="77"/>
      <c r="CE3" s="77"/>
      <c r="CF3" s="104"/>
      <c r="CG3" s="104"/>
      <c r="CH3" s="104"/>
      <c r="CI3" s="104"/>
      <c r="CJ3" s="104"/>
      <c r="CK3" s="104"/>
      <c r="CL3" s="104"/>
      <c r="CM3" s="104"/>
      <c r="CN3" s="104"/>
      <c r="CO3" s="104"/>
      <c r="CP3" s="104"/>
      <c r="CQ3" s="107"/>
    </row>
    <row r="4" spans="1:95" ht="15.75" x14ac:dyDescent="0.25">
      <c r="A4" s="114" t="s">
        <v>379</v>
      </c>
      <c r="B4" s="169">
        <v>45673</v>
      </c>
      <c r="C4" t="s">
        <v>100</v>
      </c>
      <c r="D4" s="168">
        <v>0.875</v>
      </c>
      <c r="E4" s="168">
        <v>0.87708333333333333</v>
      </c>
      <c r="F4" s="114" t="s">
        <v>818</v>
      </c>
      <c r="G4" s="114" t="s">
        <v>817</v>
      </c>
      <c r="H4" t="s">
        <v>380</v>
      </c>
      <c r="I4" t="s">
        <v>381</v>
      </c>
      <c r="J4" t="s">
        <v>355</v>
      </c>
      <c r="K4" s="114" t="s">
        <v>355</v>
      </c>
      <c r="L4" s="114" t="s">
        <v>61</v>
      </c>
      <c r="M4" s="114" t="s">
        <v>61</v>
      </c>
      <c r="N4" s="114" t="s">
        <v>382</v>
      </c>
      <c r="O4" s="114" t="s">
        <v>185</v>
      </c>
      <c r="P4">
        <v>9</v>
      </c>
      <c r="Q4" s="114" t="s">
        <v>383</v>
      </c>
      <c r="T4" s="114"/>
      <c r="U4" s="114" t="s">
        <v>384</v>
      </c>
      <c r="V4" s="114" t="s">
        <v>385</v>
      </c>
      <c r="W4" s="114"/>
      <c r="AB4" s="114" t="s">
        <v>68</v>
      </c>
      <c r="AC4" s="114" t="s">
        <v>69</v>
      </c>
      <c r="AD4" s="114" t="s">
        <v>92</v>
      </c>
      <c r="AE4" s="114" t="s">
        <v>93</v>
      </c>
      <c r="AF4" s="114" t="s">
        <v>386</v>
      </c>
      <c r="AG4" s="114" t="s">
        <v>203</v>
      </c>
      <c r="AH4" s="114" t="s">
        <v>361</v>
      </c>
      <c r="AI4">
        <v>9</v>
      </c>
      <c r="AJ4" s="169">
        <v>45673</v>
      </c>
      <c r="AK4" s="168">
        <v>0.87708333333333333</v>
      </c>
      <c r="AL4" s="169">
        <v>45673</v>
      </c>
      <c r="AM4" s="168">
        <v>0.88611111111111107</v>
      </c>
      <c r="AN4" s="169">
        <v>45674</v>
      </c>
      <c r="AO4" s="168">
        <v>0.51179398148148147</v>
      </c>
      <c r="AP4">
        <v>2025</v>
      </c>
      <c r="AQ4">
        <v>3</v>
      </c>
      <c r="AR4">
        <v>3</v>
      </c>
      <c r="AS4">
        <v>16</v>
      </c>
      <c r="AT4">
        <v>16</v>
      </c>
      <c r="AU4" s="2">
        <v>45673.877083333333</v>
      </c>
      <c r="AV4">
        <v>630</v>
      </c>
      <c r="AW4" t="s">
        <v>383</v>
      </c>
      <c r="AX4" t="s">
        <v>387</v>
      </c>
      <c r="AY4" t="s">
        <v>388</v>
      </c>
      <c r="AZ4" t="s">
        <v>389</v>
      </c>
      <c r="BA4" t="s">
        <v>585</v>
      </c>
      <c r="BB4" t="s">
        <v>113</v>
      </c>
      <c r="BC4" s="114" t="s">
        <v>355</v>
      </c>
      <c r="CA4" s="105"/>
      <c r="CB4" s="77"/>
      <c r="CC4" s="91"/>
      <c r="CD4" s="77"/>
      <c r="CE4" s="77"/>
      <c r="CF4" s="104"/>
      <c r="CG4" s="104"/>
      <c r="CH4" s="104"/>
      <c r="CI4" s="104"/>
      <c r="CJ4" s="104"/>
      <c r="CK4" s="104"/>
      <c r="CL4" s="104"/>
      <c r="CM4" s="104"/>
      <c r="CN4" s="104"/>
      <c r="CO4" s="104"/>
      <c r="CP4" s="104"/>
      <c r="CQ4" s="107"/>
    </row>
    <row r="5" spans="1:95" x14ac:dyDescent="0.25">
      <c r="A5" s="114" t="s">
        <v>390</v>
      </c>
      <c r="B5" s="169">
        <v>45690</v>
      </c>
      <c r="C5" t="s">
        <v>80</v>
      </c>
      <c r="D5" s="168">
        <v>0.70833333333333337</v>
      </c>
      <c r="E5" s="168">
        <v>0.72569444444444442</v>
      </c>
      <c r="F5" s="114" t="s">
        <v>467</v>
      </c>
      <c r="G5" s="114" t="s">
        <v>735</v>
      </c>
      <c r="H5" t="s">
        <v>302</v>
      </c>
      <c r="I5" t="s">
        <v>391</v>
      </c>
      <c r="J5" t="s">
        <v>392</v>
      </c>
      <c r="K5" s="114" t="s">
        <v>183</v>
      </c>
      <c r="L5" s="114" t="s">
        <v>355</v>
      </c>
      <c r="M5" s="114" t="s">
        <v>61</v>
      </c>
      <c r="N5" s="114" t="s">
        <v>393</v>
      </c>
      <c r="O5" s="114" t="s">
        <v>150</v>
      </c>
      <c r="P5">
        <v>5</v>
      </c>
      <c r="Q5" s="114" t="s">
        <v>394</v>
      </c>
      <c r="T5" s="114"/>
      <c r="U5" s="114"/>
      <c r="V5" s="114"/>
      <c r="W5" s="114"/>
      <c r="AB5" s="114" t="s">
        <v>68</v>
      </c>
      <c r="AC5" s="114" t="s">
        <v>69</v>
      </c>
      <c r="AD5" s="114" t="s">
        <v>109</v>
      </c>
      <c r="AE5" s="114" t="s">
        <v>71</v>
      </c>
      <c r="AF5" s="114" t="s">
        <v>187</v>
      </c>
      <c r="AG5" s="114" t="s">
        <v>95</v>
      </c>
      <c r="AH5" s="114"/>
      <c r="AI5">
        <v>9</v>
      </c>
      <c r="AJ5" s="169">
        <v>45690</v>
      </c>
      <c r="AK5" s="168">
        <v>0.72569444444444442</v>
      </c>
      <c r="AL5" s="169">
        <v>45690</v>
      </c>
      <c r="AM5" s="168">
        <v>0.75</v>
      </c>
      <c r="AN5" s="169">
        <v>45691</v>
      </c>
      <c r="AO5" s="168">
        <v>0.50143518518518515</v>
      </c>
      <c r="AP5">
        <v>2025</v>
      </c>
      <c r="AQ5">
        <v>6</v>
      </c>
      <c r="AR5">
        <v>2</v>
      </c>
      <c r="AS5">
        <v>2</v>
      </c>
      <c r="AT5">
        <v>33</v>
      </c>
      <c r="AU5" s="2">
        <v>45690.725694444445</v>
      </c>
      <c r="AV5">
        <v>144</v>
      </c>
      <c r="AW5" t="s">
        <v>394</v>
      </c>
      <c r="AY5" t="s">
        <v>395</v>
      </c>
      <c r="AZ5" t="s">
        <v>61</v>
      </c>
      <c r="BA5" t="s">
        <v>583</v>
      </c>
      <c r="BB5" t="s">
        <v>98</v>
      </c>
      <c r="BC5" s="114" t="s">
        <v>392</v>
      </c>
      <c r="BI5" s="5" t="s">
        <v>819</v>
      </c>
      <c r="BJ5" s="5" t="s">
        <v>402</v>
      </c>
      <c r="BR5" s="5" t="s">
        <v>819</v>
      </c>
      <c r="BS5" s="5" t="s">
        <v>402</v>
      </c>
    </row>
    <row r="6" spans="1:95" x14ac:dyDescent="0.25">
      <c r="A6" s="114" t="s">
        <v>396</v>
      </c>
      <c r="B6" s="169">
        <v>45691</v>
      </c>
      <c r="C6" t="s">
        <v>80</v>
      </c>
      <c r="D6" s="168">
        <v>0.66666666666666663</v>
      </c>
      <c r="E6" s="168">
        <v>0.694849537037037</v>
      </c>
      <c r="F6" s="114" t="s">
        <v>459</v>
      </c>
      <c r="G6" s="114" t="s">
        <v>735</v>
      </c>
      <c r="H6" t="s">
        <v>365</v>
      </c>
      <c r="I6" t="s">
        <v>397</v>
      </c>
      <c r="J6" t="s">
        <v>355</v>
      </c>
      <c r="K6" s="114" t="s">
        <v>355</v>
      </c>
      <c r="L6" s="114" t="s">
        <v>61</v>
      </c>
      <c r="M6" s="114" t="s">
        <v>61</v>
      </c>
      <c r="N6" s="114" t="s">
        <v>398</v>
      </c>
      <c r="O6" s="114" t="s">
        <v>371</v>
      </c>
      <c r="P6">
        <v>9</v>
      </c>
      <c r="Q6" s="114" t="s">
        <v>399</v>
      </c>
      <c r="T6" s="114"/>
      <c r="U6" s="114"/>
      <c r="V6" s="114"/>
      <c r="W6" s="114"/>
      <c r="AB6" s="114" t="s">
        <v>91</v>
      </c>
      <c r="AC6" s="114" t="s">
        <v>69</v>
      </c>
      <c r="AD6" s="114" t="s">
        <v>141</v>
      </c>
      <c r="AE6" s="114" t="s">
        <v>71</v>
      </c>
      <c r="AF6" s="114" t="s">
        <v>110</v>
      </c>
      <c r="AG6" s="114" t="s">
        <v>73</v>
      </c>
      <c r="AH6" s="114" t="s">
        <v>361</v>
      </c>
      <c r="AI6">
        <v>9</v>
      </c>
      <c r="AN6" s="169">
        <v>45691</v>
      </c>
      <c r="AO6" s="168">
        <v>0.694849537037037</v>
      </c>
      <c r="AP6">
        <v>2025</v>
      </c>
      <c r="AQ6">
        <v>6</v>
      </c>
      <c r="AR6">
        <v>2</v>
      </c>
      <c r="AS6">
        <v>3</v>
      </c>
      <c r="AT6">
        <v>34</v>
      </c>
      <c r="AU6" s="2">
        <v>45691.694444444445</v>
      </c>
      <c r="AV6">
        <v>400</v>
      </c>
      <c r="AW6" t="s">
        <v>399</v>
      </c>
      <c r="AY6" t="s">
        <v>400</v>
      </c>
      <c r="AZ6" t="s">
        <v>401</v>
      </c>
      <c r="BA6" t="s">
        <v>583</v>
      </c>
      <c r="BB6" t="s">
        <v>98</v>
      </c>
      <c r="BC6" s="114" t="s">
        <v>355</v>
      </c>
      <c r="BI6" s="5" t="s">
        <v>403</v>
      </c>
      <c r="BJ6" t="s">
        <v>467</v>
      </c>
      <c r="BK6" t="s">
        <v>459</v>
      </c>
      <c r="BL6" t="s">
        <v>460</v>
      </c>
      <c r="BM6" t="s">
        <v>818</v>
      </c>
      <c r="BR6" s="5" t="s">
        <v>403</v>
      </c>
      <c r="BS6" t="s">
        <v>460</v>
      </c>
    </row>
    <row r="7" spans="1:95" x14ac:dyDescent="0.25">
      <c r="A7" s="114" t="s">
        <v>446</v>
      </c>
      <c r="B7" s="169">
        <v>45701</v>
      </c>
      <c r="C7" t="s">
        <v>168</v>
      </c>
      <c r="D7" s="168">
        <v>8.3333333333333329E-2</v>
      </c>
      <c r="E7" s="168">
        <v>8.3333333333333329E-2</v>
      </c>
      <c r="F7" s="114" t="s">
        <v>818</v>
      </c>
      <c r="G7" s="114" t="s">
        <v>735</v>
      </c>
      <c r="H7" t="s">
        <v>447</v>
      </c>
      <c r="I7" t="s">
        <v>448</v>
      </c>
      <c r="J7" t="s">
        <v>450</v>
      </c>
      <c r="K7" s="114" t="s">
        <v>449</v>
      </c>
      <c r="L7" s="114" t="s">
        <v>451</v>
      </c>
      <c r="M7" s="114" t="s">
        <v>355</v>
      </c>
      <c r="N7" s="114" t="s">
        <v>452</v>
      </c>
      <c r="O7" s="114" t="s">
        <v>199</v>
      </c>
      <c r="P7">
        <v>9</v>
      </c>
      <c r="Q7" s="114" t="s">
        <v>453</v>
      </c>
      <c r="T7" s="114"/>
      <c r="U7" s="114"/>
      <c r="V7" s="114"/>
      <c r="W7" s="114"/>
      <c r="AB7" s="114" t="s">
        <v>454</v>
      </c>
      <c r="AC7" s="114" t="s">
        <v>69</v>
      </c>
      <c r="AD7" s="114" t="s">
        <v>125</v>
      </c>
      <c r="AE7" s="114" t="s">
        <v>126</v>
      </c>
      <c r="AF7" s="114" t="s">
        <v>386</v>
      </c>
      <c r="AG7" s="114" t="s">
        <v>455</v>
      </c>
      <c r="AH7" s="114"/>
      <c r="AI7">
        <v>9</v>
      </c>
      <c r="AJ7" s="169">
        <v>45701</v>
      </c>
      <c r="AK7" s="168">
        <v>8.3333333333333329E-2</v>
      </c>
      <c r="AN7" s="169">
        <v>45701</v>
      </c>
      <c r="AO7" s="168">
        <v>0.51225694444444447</v>
      </c>
      <c r="AP7">
        <v>2025</v>
      </c>
      <c r="AQ7">
        <v>7</v>
      </c>
      <c r="AR7">
        <v>3</v>
      </c>
      <c r="AS7">
        <v>13</v>
      </c>
      <c r="AT7">
        <v>44</v>
      </c>
      <c r="AU7" s="2">
        <v>45701.083333333336</v>
      </c>
      <c r="AV7">
        <v>128</v>
      </c>
      <c r="AW7" t="s">
        <v>453</v>
      </c>
      <c r="AY7" t="s">
        <v>456</v>
      </c>
      <c r="AZ7" t="s">
        <v>457</v>
      </c>
      <c r="BA7" t="s">
        <v>581</v>
      </c>
      <c r="BB7" t="s">
        <v>179</v>
      </c>
      <c r="BC7" s="114" t="s">
        <v>450</v>
      </c>
      <c r="BI7" s="54" t="s">
        <v>168</v>
      </c>
      <c r="BJ7" s="114"/>
      <c r="BK7" s="114"/>
      <c r="BL7" s="114"/>
      <c r="BM7" s="114">
        <v>1</v>
      </c>
      <c r="BR7" s="54" t="s">
        <v>146</v>
      </c>
      <c r="BS7" s="114">
        <v>1</v>
      </c>
    </row>
    <row r="8" spans="1:95" x14ac:dyDescent="0.25">
      <c r="A8" s="114" t="s">
        <v>500</v>
      </c>
      <c r="B8" s="169">
        <v>45720</v>
      </c>
      <c r="C8" t="s">
        <v>80</v>
      </c>
      <c r="D8" s="168">
        <v>0.75</v>
      </c>
      <c r="E8" s="168">
        <v>0.79126157407407405</v>
      </c>
      <c r="F8" s="114" t="s">
        <v>460</v>
      </c>
      <c r="G8" s="114" t="s">
        <v>736</v>
      </c>
      <c r="H8" t="s">
        <v>501</v>
      </c>
      <c r="I8" t="s">
        <v>502</v>
      </c>
      <c r="J8" t="s">
        <v>355</v>
      </c>
      <c r="K8" s="114" t="s">
        <v>355</v>
      </c>
      <c r="L8" s="114" t="s">
        <v>61</v>
      </c>
      <c r="M8" s="114" t="s">
        <v>61</v>
      </c>
      <c r="N8" s="114" t="s">
        <v>503</v>
      </c>
      <c r="O8" s="114" t="s">
        <v>269</v>
      </c>
      <c r="P8">
        <v>6</v>
      </c>
      <c r="Q8" s="114" t="s">
        <v>504</v>
      </c>
      <c r="T8" s="114"/>
      <c r="U8" s="114"/>
      <c r="V8" s="114"/>
      <c r="W8" s="114"/>
      <c r="AB8" s="114" t="s">
        <v>425</v>
      </c>
      <c r="AC8" s="114" t="s">
        <v>69</v>
      </c>
      <c r="AD8" s="114" t="s">
        <v>505</v>
      </c>
      <c r="AE8" s="114" t="s">
        <v>214</v>
      </c>
      <c r="AF8" s="114" t="s">
        <v>72</v>
      </c>
      <c r="AG8" s="114" t="s">
        <v>128</v>
      </c>
      <c r="AH8" s="114" t="s">
        <v>361</v>
      </c>
      <c r="AI8">
        <v>9</v>
      </c>
      <c r="AJ8" s="169">
        <v>45720</v>
      </c>
      <c r="AK8" s="168">
        <v>0.79126157407407405</v>
      </c>
      <c r="AN8" s="169">
        <v>45720</v>
      </c>
      <c r="AO8" s="168">
        <v>0.79126157407407405</v>
      </c>
      <c r="AP8">
        <v>2025</v>
      </c>
      <c r="AQ8">
        <v>10</v>
      </c>
      <c r="AR8">
        <v>2</v>
      </c>
      <c r="AS8">
        <v>4</v>
      </c>
      <c r="AT8">
        <v>63</v>
      </c>
      <c r="AU8" s="2">
        <v>45720.790972222225</v>
      </c>
      <c r="AV8">
        <v>216</v>
      </c>
      <c r="AW8" t="s">
        <v>504</v>
      </c>
      <c r="AY8" t="s">
        <v>506</v>
      </c>
      <c r="AZ8" t="s">
        <v>507</v>
      </c>
      <c r="BA8" t="s">
        <v>578</v>
      </c>
      <c r="BB8" t="s">
        <v>98</v>
      </c>
      <c r="BC8" s="114" t="s">
        <v>355</v>
      </c>
      <c r="BI8" s="54" t="s">
        <v>146</v>
      </c>
      <c r="BJ8" s="114"/>
      <c r="BK8" s="114"/>
      <c r="BL8" s="114">
        <v>1</v>
      </c>
      <c r="BM8" s="114"/>
      <c r="BR8" s="54" t="s">
        <v>55</v>
      </c>
      <c r="BS8" s="114">
        <v>1</v>
      </c>
    </row>
    <row r="9" spans="1:95" x14ac:dyDescent="0.25">
      <c r="A9" s="114" t="s">
        <v>508</v>
      </c>
      <c r="B9" s="169">
        <v>45720</v>
      </c>
      <c r="C9" t="s">
        <v>55</v>
      </c>
      <c r="D9" s="168">
        <v>0.625</v>
      </c>
      <c r="E9" s="168">
        <v>0.64097222222222228</v>
      </c>
      <c r="F9" s="114" t="s">
        <v>460</v>
      </c>
      <c r="G9" s="114" t="s">
        <v>736</v>
      </c>
      <c r="H9" t="s">
        <v>509</v>
      </c>
      <c r="I9" t="s">
        <v>510</v>
      </c>
      <c r="J9" t="s">
        <v>511</v>
      </c>
      <c r="K9" s="114" t="s">
        <v>355</v>
      </c>
      <c r="L9" s="114" t="s">
        <v>512</v>
      </c>
      <c r="M9" s="114" t="s">
        <v>352</v>
      </c>
      <c r="N9" s="114" t="s">
        <v>513</v>
      </c>
      <c r="O9" s="114" t="s">
        <v>87</v>
      </c>
      <c r="P9">
        <v>8</v>
      </c>
      <c r="Q9" s="114" t="s">
        <v>514</v>
      </c>
      <c r="T9" s="114" t="s">
        <v>515</v>
      </c>
      <c r="U9" s="114" t="s">
        <v>516</v>
      </c>
      <c r="V9" s="114" t="s">
        <v>517</v>
      </c>
      <c r="W9" s="114" t="s">
        <v>67</v>
      </c>
      <c r="AB9" s="114" t="s">
        <v>425</v>
      </c>
      <c r="AC9" s="114" t="s">
        <v>69</v>
      </c>
      <c r="AD9" s="114" t="s">
        <v>518</v>
      </c>
      <c r="AE9" s="114" t="s">
        <v>165</v>
      </c>
      <c r="AF9" s="114" t="s">
        <v>386</v>
      </c>
      <c r="AG9" s="114" t="s">
        <v>203</v>
      </c>
      <c r="AH9" s="114" t="s">
        <v>361</v>
      </c>
      <c r="AI9">
        <v>9</v>
      </c>
      <c r="AJ9" s="169">
        <v>45720</v>
      </c>
      <c r="AK9" s="168">
        <v>0.64097222222222228</v>
      </c>
      <c r="AN9" s="169">
        <v>45720</v>
      </c>
      <c r="AO9" s="168">
        <v>0.64444444444444449</v>
      </c>
      <c r="AP9">
        <v>2025</v>
      </c>
      <c r="AQ9">
        <v>10</v>
      </c>
      <c r="AR9">
        <v>2</v>
      </c>
      <c r="AS9">
        <v>4</v>
      </c>
      <c r="AT9">
        <v>63</v>
      </c>
      <c r="AU9" s="2">
        <v>45720.640972222223</v>
      </c>
      <c r="AV9">
        <v>195</v>
      </c>
      <c r="AW9" t="s">
        <v>514</v>
      </c>
      <c r="AX9" t="s">
        <v>519</v>
      </c>
      <c r="AY9" t="s">
        <v>520</v>
      </c>
      <c r="AZ9" t="s">
        <v>61</v>
      </c>
      <c r="BA9" t="s">
        <v>578</v>
      </c>
      <c r="BB9" t="s">
        <v>78</v>
      </c>
      <c r="BC9" s="114" t="s">
        <v>511</v>
      </c>
      <c r="BI9" s="54" t="s">
        <v>55</v>
      </c>
      <c r="BJ9" s="114"/>
      <c r="BK9" s="114">
        <v>1</v>
      </c>
      <c r="BL9" s="114">
        <v>2</v>
      </c>
      <c r="BM9" s="114"/>
      <c r="BR9" s="54" t="s">
        <v>80</v>
      </c>
      <c r="BS9" s="114">
        <v>1</v>
      </c>
    </row>
    <row r="10" spans="1:95" x14ac:dyDescent="0.25">
      <c r="A10" s="114" t="s">
        <v>663</v>
      </c>
      <c r="B10" s="169">
        <v>45741</v>
      </c>
      <c r="C10" t="s">
        <v>146</v>
      </c>
      <c r="D10" s="168">
        <v>0.45833333333333331</v>
      </c>
      <c r="E10" s="168">
        <v>0.48402777777777778</v>
      </c>
      <c r="F10" s="114" t="s">
        <v>460</v>
      </c>
      <c r="G10" s="114" t="s">
        <v>736</v>
      </c>
      <c r="H10" t="s">
        <v>365</v>
      </c>
      <c r="I10" t="s">
        <v>366</v>
      </c>
      <c r="J10" t="s">
        <v>664</v>
      </c>
      <c r="K10" s="114" t="s">
        <v>355</v>
      </c>
      <c r="L10" s="114" t="s">
        <v>85</v>
      </c>
      <c r="M10" s="114" t="s">
        <v>665</v>
      </c>
      <c r="N10" s="114" t="s">
        <v>370</v>
      </c>
      <c r="O10" s="114" t="s">
        <v>371</v>
      </c>
      <c r="P10">
        <v>9</v>
      </c>
      <c r="Q10" s="114" t="s">
        <v>666</v>
      </c>
      <c r="T10" s="114" t="s">
        <v>667</v>
      </c>
      <c r="U10" s="114" t="s">
        <v>598</v>
      </c>
      <c r="V10" s="114" t="s">
        <v>668</v>
      </c>
      <c r="W10" s="114" t="s">
        <v>67</v>
      </c>
      <c r="AB10" s="114" t="s">
        <v>163</v>
      </c>
      <c r="AC10" s="114" t="s">
        <v>69</v>
      </c>
      <c r="AD10" s="114" t="s">
        <v>669</v>
      </c>
      <c r="AE10" s="114" t="s">
        <v>359</v>
      </c>
      <c r="AF10" s="114" t="s">
        <v>166</v>
      </c>
      <c r="AG10" s="114" t="s">
        <v>128</v>
      </c>
      <c r="AH10" s="114"/>
      <c r="AI10">
        <v>9</v>
      </c>
      <c r="AJ10" s="169">
        <v>45741</v>
      </c>
      <c r="AK10" s="168">
        <v>0.48402777777777778</v>
      </c>
      <c r="AN10" s="169">
        <v>45741</v>
      </c>
      <c r="AO10" s="168">
        <v>0.50343749999999998</v>
      </c>
      <c r="AP10">
        <v>2025</v>
      </c>
      <c r="AQ10">
        <v>13</v>
      </c>
      <c r="AR10">
        <v>5</v>
      </c>
      <c r="AS10">
        <v>25</v>
      </c>
      <c r="AT10">
        <v>84</v>
      </c>
      <c r="AU10" s="2">
        <v>45741.484027777777</v>
      </c>
      <c r="AV10">
        <v>450</v>
      </c>
      <c r="AW10" t="s">
        <v>666</v>
      </c>
      <c r="AX10" t="s">
        <v>670</v>
      </c>
      <c r="AY10" t="s">
        <v>671</v>
      </c>
      <c r="AZ10" t="s">
        <v>672</v>
      </c>
      <c r="BA10" t="s">
        <v>632</v>
      </c>
      <c r="BB10" t="s">
        <v>155</v>
      </c>
      <c r="BC10" s="114" t="s">
        <v>664</v>
      </c>
      <c r="BI10" s="54" t="s">
        <v>80</v>
      </c>
      <c r="BJ10" s="114">
        <v>1</v>
      </c>
      <c r="BK10" s="114">
        <v>1</v>
      </c>
      <c r="BL10" s="114">
        <v>1</v>
      </c>
      <c r="BM10" s="114"/>
    </row>
    <row r="11" spans="1:95" ht="15.75" thickBot="1" x14ac:dyDescent="0.3">
      <c r="BI11" s="54" t="s">
        <v>100</v>
      </c>
      <c r="BJ11" s="114"/>
      <c r="BK11" s="114"/>
      <c r="BL11" s="114"/>
      <c r="BM11" s="114">
        <v>1</v>
      </c>
    </row>
    <row r="12" spans="1:95" ht="18.75" x14ac:dyDescent="0.3">
      <c r="CA12" s="190" t="s">
        <v>0</v>
      </c>
      <c r="CB12" s="183" t="s">
        <v>663</v>
      </c>
    </row>
    <row r="13" spans="1:95" ht="18.75" x14ac:dyDescent="0.3">
      <c r="CA13" s="191" t="s">
        <v>712</v>
      </c>
      <c r="CB13" s="184" t="s">
        <v>365</v>
      </c>
    </row>
    <row r="14" spans="1:95" ht="18.75" x14ac:dyDescent="0.3">
      <c r="CA14" s="192" t="s">
        <v>35</v>
      </c>
      <c r="CB14" s="185">
        <v>45741</v>
      </c>
    </row>
    <row r="15" spans="1:95" ht="18.75" x14ac:dyDescent="0.3">
      <c r="CA15" s="191" t="s">
        <v>737</v>
      </c>
      <c r="CB15" s="184" t="s">
        <v>460</v>
      </c>
      <c r="CL15" t="s">
        <v>827</v>
      </c>
    </row>
    <row r="16" spans="1:95" ht="18.75" x14ac:dyDescent="0.3">
      <c r="CA16" s="192" t="s">
        <v>713</v>
      </c>
      <c r="CB16" s="186" t="s">
        <v>146</v>
      </c>
    </row>
    <row r="17" spans="61:80" ht="18.75" x14ac:dyDescent="0.3">
      <c r="CA17" s="191" t="s">
        <v>820</v>
      </c>
      <c r="CB17" s="184"/>
    </row>
    <row r="18" spans="61:80" ht="18.75" x14ac:dyDescent="0.3">
      <c r="CA18" s="192" t="s">
        <v>738</v>
      </c>
      <c r="CB18" s="186" t="s">
        <v>828</v>
      </c>
    </row>
    <row r="19" spans="61:80" ht="18.75" x14ac:dyDescent="0.3">
      <c r="CA19" s="191" t="s">
        <v>739</v>
      </c>
      <c r="CB19" s="184" t="s">
        <v>829</v>
      </c>
    </row>
    <row r="20" spans="61:80" ht="18.75" x14ac:dyDescent="0.3">
      <c r="CA20" s="192" t="s">
        <v>821</v>
      </c>
      <c r="CB20" s="186" t="s">
        <v>830</v>
      </c>
    </row>
    <row r="21" spans="61:80" ht="18.75" x14ac:dyDescent="0.3">
      <c r="CA21" s="191" t="s">
        <v>822</v>
      </c>
      <c r="CB21" s="184" t="s">
        <v>831</v>
      </c>
    </row>
    <row r="22" spans="61:80" ht="18.75" x14ac:dyDescent="0.25">
      <c r="CA22" s="193" t="s">
        <v>823</v>
      </c>
      <c r="CB22" s="187" t="s">
        <v>832</v>
      </c>
    </row>
    <row r="23" spans="61:80" ht="18.75" x14ac:dyDescent="0.3">
      <c r="CA23" s="191" t="s">
        <v>824</v>
      </c>
      <c r="CB23" s="184" t="s">
        <v>833</v>
      </c>
    </row>
    <row r="24" spans="61:80" ht="18.75" x14ac:dyDescent="0.3">
      <c r="CA24" s="192" t="s">
        <v>825</v>
      </c>
      <c r="CB24" s="186"/>
    </row>
    <row r="25" spans="61:80" ht="18.75" x14ac:dyDescent="0.3">
      <c r="CA25" s="191" t="s">
        <v>826</v>
      </c>
      <c r="CB25" s="188" t="s">
        <v>740</v>
      </c>
    </row>
    <row r="26" spans="61:80" ht="24" x14ac:dyDescent="0.4">
      <c r="BI26" s="109" t="s">
        <v>465</v>
      </c>
      <c r="BJ26" s="109"/>
      <c r="BK26" s="109"/>
      <c r="BL26" s="109"/>
      <c r="BM26" s="109"/>
      <c r="BN26" s="109"/>
      <c r="BO26" s="109"/>
      <c r="BP26" s="109"/>
      <c r="CA26" s="192" t="s">
        <v>827</v>
      </c>
      <c r="CB26" s="186" t="s">
        <v>834</v>
      </c>
    </row>
    <row r="27" spans="61:80" ht="18.75" x14ac:dyDescent="0.3">
      <c r="BI27" s="8" t="s">
        <v>458</v>
      </c>
      <c r="BJ27" s="12" t="s">
        <v>467</v>
      </c>
      <c r="BK27" s="12" t="s">
        <v>459</v>
      </c>
      <c r="BL27" s="12" t="s">
        <v>460</v>
      </c>
      <c r="BM27" s="12" t="s">
        <v>461</v>
      </c>
      <c r="BN27" s="12" t="s">
        <v>462</v>
      </c>
      <c r="BO27" s="8" t="s">
        <v>463</v>
      </c>
      <c r="BP27" s="8" t="s">
        <v>464</v>
      </c>
      <c r="CA27" s="192" t="s">
        <v>726</v>
      </c>
      <c r="CB27" s="186" t="s">
        <v>753</v>
      </c>
    </row>
    <row r="28" spans="61:80" ht="19.5" thickBot="1" x14ac:dyDescent="0.35">
      <c r="BI28" s="9" t="s">
        <v>168</v>
      </c>
      <c r="BJ28" s="10"/>
      <c r="BK28" s="10"/>
      <c r="BL28" s="10"/>
      <c r="BN28" s="10">
        <v>1</v>
      </c>
      <c r="BO28" s="10"/>
      <c r="BP28" s="10"/>
      <c r="CA28" s="194" t="s">
        <v>474</v>
      </c>
      <c r="CB28" s="189"/>
    </row>
    <row r="29" spans="61:80" ht="15.75" x14ac:dyDescent="0.25">
      <c r="BI29" s="9" t="s">
        <v>146</v>
      </c>
      <c r="BJ29" s="10"/>
      <c r="BK29" s="10"/>
      <c r="BL29" s="10">
        <v>1</v>
      </c>
      <c r="BN29" s="10"/>
      <c r="BO29" s="10"/>
      <c r="BP29" s="10"/>
    </row>
    <row r="30" spans="61:80" ht="15.75" x14ac:dyDescent="0.25">
      <c r="BI30" s="9" t="s">
        <v>55</v>
      </c>
      <c r="BJ30" s="10"/>
      <c r="BK30" s="10">
        <v>1</v>
      </c>
      <c r="BL30" s="10">
        <v>2</v>
      </c>
      <c r="BN30" s="10"/>
      <c r="BO30" s="10"/>
      <c r="BP30" s="10"/>
    </row>
    <row r="31" spans="61:80" ht="15.75" x14ac:dyDescent="0.25">
      <c r="BI31" s="116" t="s">
        <v>80</v>
      </c>
      <c r="BJ31" s="55">
        <v>1</v>
      </c>
      <c r="BK31" s="55">
        <v>1</v>
      </c>
      <c r="BL31" s="55">
        <v>1</v>
      </c>
      <c r="BN31" s="55"/>
      <c r="BO31" s="55"/>
      <c r="BP31" s="55"/>
    </row>
    <row r="32" spans="61:80" ht="15.75" x14ac:dyDescent="0.25">
      <c r="BI32" s="116" t="s">
        <v>100</v>
      </c>
      <c r="BJ32" s="55"/>
      <c r="BK32" s="55"/>
      <c r="BL32" s="55"/>
      <c r="BN32" s="55">
        <v>1</v>
      </c>
      <c r="BO32" s="55"/>
      <c r="BP32" s="55"/>
    </row>
    <row r="38" spans="61:68" ht="24" x14ac:dyDescent="0.4">
      <c r="BI38" s="109" t="s">
        <v>466</v>
      </c>
      <c r="BJ38" s="109"/>
      <c r="BK38" s="109"/>
      <c r="BL38" s="109"/>
      <c r="BM38" s="109"/>
      <c r="BN38" s="109"/>
      <c r="BO38" s="109"/>
      <c r="BP38" s="109"/>
    </row>
    <row r="39" spans="61:68" ht="18.75" x14ac:dyDescent="0.3">
      <c r="BI39" s="8" t="s">
        <v>458</v>
      </c>
      <c r="BJ39" s="12" t="s">
        <v>467</v>
      </c>
      <c r="BK39" s="12" t="s">
        <v>459</v>
      </c>
      <c r="BL39" s="8" t="s">
        <v>460</v>
      </c>
      <c r="BM39" s="8" t="s">
        <v>461</v>
      </c>
      <c r="BN39" s="8" t="s">
        <v>462</v>
      </c>
      <c r="BO39" s="8" t="s">
        <v>463</v>
      </c>
      <c r="BP39" s="8" t="s">
        <v>464</v>
      </c>
    </row>
    <row r="40" spans="61:68" ht="15.75" x14ac:dyDescent="0.25">
      <c r="BI40" s="9" t="s">
        <v>146</v>
      </c>
      <c r="BJ40" s="10"/>
      <c r="BK40" s="10"/>
      <c r="BL40" s="55">
        <v>1</v>
      </c>
      <c r="BM40" s="55"/>
      <c r="BN40" s="55"/>
      <c r="BO40" s="55"/>
      <c r="BP40" s="55"/>
    </row>
    <row r="41" spans="61:68" ht="15.75" x14ac:dyDescent="0.25">
      <c r="BI41" s="116" t="s">
        <v>55</v>
      </c>
      <c r="BJ41" s="55"/>
      <c r="BK41" s="55"/>
      <c r="BL41" s="55">
        <v>1</v>
      </c>
      <c r="BM41" s="55"/>
      <c r="BN41" s="55"/>
      <c r="BO41" s="55"/>
      <c r="BP41" s="55"/>
    </row>
    <row r="42" spans="61:68" ht="15.75" x14ac:dyDescent="0.25">
      <c r="BI42" s="116" t="s">
        <v>80</v>
      </c>
      <c r="BJ42" s="55"/>
      <c r="BK42" s="55"/>
      <c r="BL42" s="55">
        <v>1</v>
      </c>
      <c r="BM42" s="55"/>
      <c r="BN42" s="55"/>
      <c r="BO42" s="55"/>
      <c r="BP42" s="55"/>
    </row>
  </sheetData>
  <mergeCells count="2">
    <mergeCell ref="BI26:BP26"/>
    <mergeCell ref="BI38:BP38"/>
  </mergeCells>
  <phoneticPr fontId="16" type="noConversion"/>
  <pageMargins left="0.7" right="0.7" top="0.75" bottom="0.75" header="0.3" footer="0.3"/>
  <pageSetup orientation="portrait" r:id="rId3"/>
  <drawing r:id="rId4"/>
  <tableParts count="4">
    <tablePart r:id="rId5"/>
    <tablePart r:id="rId6"/>
    <tablePart r:id="rId7"/>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6BF18-A1EA-43E6-91DC-D346AD1D8BBD}">
  <sheetPr codeName="Sheet10">
    <tabColor rgb="FF7030A0"/>
  </sheetPr>
  <dimension ref="A1:BH5"/>
  <sheetViews>
    <sheetView workbookViewId="0"/>
  </sheetViews>
  <sheetFormatPr defaultColWidth="8.85546875" defaultRowHeight="15.75" x14ac:dyDescent="0.25"/>
  <cols>
    <col min="1" max="1" width="20.140625" style="22" bestFit="1" customWidth="1"/>
    <col min="2" max="2" width="16" style="41" bestFit="1" customWidth="1"/>
    <col min="3" max="3" width="21.140625" style="26" bestFit="1" customWidth="1"/>
    <col min="4" max="4" width="18.7109375" style="3" bestFit="1" customWidth="1"/>
    <col min="5" max="5" width="15.42578125" style="3" bestFit="1" customWidth="1"/>
    <col min="6" max="6" width="16.28515625" style="3" bestFit="1" customWidth="1"/>
    <col min="7" max="7" width="19" style="3" bestFit="1" customWidth="1"/>
    <col min="8" max="8" width="23.28515625" style="3" bestFit="1" customWidth="1"/>
    <col min="9" max="9" width="20.42578125" style="3" bestFit="1" customWidth="1"/>
    <col min="10" max="10" width="27.7109375" style="3" bestFit="1" customWidth="1"/>
    <col min="11" max="11" width="43.140625" style="3" bestFit="1" customWidth="1"/>
    <col min="12" max="13" width="22" style="3" bestFit="1" customWidth="1"/>
    <col min="14" max="14" width="42.85546875" style="3" bestFit="1" customWidth="1"/>
    <col min="15" max="15" width="10" style="3" bestFit="1" customWidth="1"/>
    <col min="16" max="16" width="10.7109375" style="3" bestFit="1" customWidth="1"/>
    <col min="17" max="17" width="80.85546875" style="3" bestFit="1" customWidth="1"/>
    <col min="18" max="18" width="24.42578125" style="3" bestFit="1" customWidth="1"/>
    <col min="19" max="19" width="26.42578125" style="3" bestFit="1" customWidth="1"/>
    <col min="20" max="20" width="20.28515625" style="3" bestFit="1" customWidth="1"/>
    <col min="21" max="21" width="12.42578125" style="3" bestFit="1" customWidth="1"/>
    <col min="22" max="22" width="13.28515625" style="3" bestFit="1" customWidth="1"/>
    <col min="23" max="23" width="17.140625" style="3" bestFit="1" customWidth="1"/>
    <col min="24" max="24" width="20.28515625" style="3" bestFit="1" customWidth="1"/>
    <col min="25" max="25" width="17.140625" style="3" bestFit="1" customWidth="1"/>
    <col min="26" max="26" width="12.42578125" style="3" bestFit="1" customWidth="1"/>
    <col min="27" max="27" width="13.28515625" style="3" bestFit="1" customWidth="1"/>
    <col min="28" max="28" width="18.85546875" style="3" bestFit="1" customWidth="1"/>
    <col min="29" max="29" width="20.85546875" style="3" bestFit="1" customWidth="1"/>
    <col min="30" max="30" width="28.28515625" style="3" bestFit="1" customWidth="1"/>
    <col min="31" max="31" width="12" style="3" bestFit="1" customWidth="1"/>
    <col min="32" max="32" width="23.140625" style="3" bestFit="1" customWidth="1"/>
    <col min="33" max="33" width="28.42578125" style="3" bestFit="1" customWidth="1"/>
    <col min="34" max="34" width="27.42578125" style="3" bestFit="1" customWidth="1"/>
    <col min="35" max="35" width="31.7109375" style="3" bestFit="1" customWidth="1"/>
    <col min="36" max="36" width="19.7109375" style="3" bestFit="1" customWidth="1"/>
    <col min="37" max="37" width="19.85546875" style="3" bestFit="1" customWidth="1"/>
    <col min="38" max="38" width="30.28515625" style="3" bestFit="1" customWidth="1"/>
    <col min="39" max="39" width="30.5703125" style="3" bestFit="1" customWidth="1"/>
    <col min="40" max="40" width="18.140625" style="3" bestFit="1" customWidth="1"/>
    <col min="41" max="41" width="18.28515625" style="3" bestFit="1" customWidth="1"/>
    <col min="42" max="42" width="10.28515625" style="3" bestFit="1" customWidth="1"/>
    <col min="43" max="43" width="19.28515625" style="3" bestFit="1" customWidth="1"/>
    <col min="44" max="44" width="21.28515625" style="3" bestFit="1" customWidth="1"/>
    <col min="45" max="45" width="9.42578125" style="3" bestFit="1" customWidth="1"/>
    <col min="46" max="46" width="17.28515625" style="3" bestFit="1" customWidth="1"/>
    <col min="47" max="47" width="28.140625" style="3" bestFit="1" customWidth="1"/>
    <col min="48" max="48" width="8.7109375" style="3" bestFit="1" customWidth="1"/>
    <col min="49" max="49" width="80.85546875" style="3" bestFit="1" customWidth="1"/>
    <col min="50" max="50" width="14.7109375" style="3" bestFit="1" customWidth="1"/>
    <col min="51" max="51" width="80.85546875" style="3" bestFit="1" customWidth="1"/>
    <col min="52" max="52" width="32.140625" style="3" bestFit="1" customWidth="1"/>
    <col min="53" max="53" width="22.28515625" style="3" bestFit="1" customWidth="1"/>
    <col min="54" max="54" width="22.5703125" style="3" bestFit="1" customWidth="1"/>
    <col min="55" max="55" width="18.7109375" style="3" bestFit="1" customWidth="1"/>
    <col min="56" max="56" width="23.5703125" style="3" bestFit="1" customWidth="1"/>
    <col min="57" max="57" width="22.85546875" style="3" bestFit="1" customWidth="1"/>
    <col min="58" max="58" width="17.85546875" style="3" bestFit="1" customWidth="1"/>
    <col min="59" max="59" width="21.7109375" style="3" bestFit="1" customWidth="1"/>
    <col min="60" max="60" width="24" style="3" bestFit="1" customWidth="1"/>
    <col min="61" max="61" width="23.28515625" style="3" bestFit="1" customWidth="1"/>
    <col min="62" max="16384" width="8.85546875" style="3"/>
  </cols>
  <sheetData>
    <row r="1" spans="1:60" s="27" customFormat="1" ht="18.75" x14ac:dyDescent="0.3">
      <c r="A1" s="27" t="s">
        <v>0</v>
      </c>
      <c r="B1" s="40" t="s">
        <v>1</v>
      </c>
      <c r="C1" s="27" t="s">
        <v>2</v>
      </c>
      <c r="D1" s="28" t="s">
        <v>3</v>
      </c>
      <c r="E1" s="28" t="s">
        <v>4</v>
      </c>
      <c r="F1" s="27" t="s">
        <v>5</v>
      </c>
      <c r="G1" s="27" t="s">
        <v>6</v>
      </c>
      <c r="H1" s="27" t="s">
        <v>7</v>
      </c>
      <c r="I1" s="27" t="s">
        <v>8</v>
      </c>
      <c r="J1" s="27" t="s">
        <v>9</v>
      </c>
      <c r="K1" s="27" t="s">
        <v>10</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27" t="s">
        <v>35</v>
      </c>
      <c r="AK1" s="27" t="s">
        <v>36</v>
      </c>
      <c r="AL1" s="27" t="s">
        <v>37</v>
      </c>
      <c r="AM1" s="27" t="s">
        <v>38</v>
      </c>
      <c r="AN1" s="27" t="s">
        <v>39</v>
      </c>
      <c r="AO1" s="27" t="s">
        <v>40</v>
      </c>
      <c r="AP1" s="27" t="s">
        <v>41</v>
      </c>
      <c r="AQ1" s="27" t="s">
        <v>42</v>
      </c>
      <c r="AR1" s="27" t="s">
        <v>43</v>
      </c>
      <c r="AS1" s="27" t="s">
        <v>44</v>
      </c>
      <c r="AT1" s="27" t="s">
        <v>45</v>
      </c>
      <c r="AU1" s="27" t="s">
        <v>46</v>
      </c>
      <c r="AV1" s="27" t="s">
        <v>47</v>
      </c>
      <c r="AW1" t="s">
        <v>474</v>
      </c>
      <c r="AX1" s="27" t="s">
        <v>49</v>
      </c>
      <c r="AY1" s="27" t="s">
        <v>50</v>
      </c>
      <c r="AZ1" s="27" t="s">
        <v>51</v>
      </c>
      <c r="BA1" s="27" t="s">
        <v>52</v>
      </c>
      <c r="BB1" s="27" t="s">
        <v>53</v>
      </c>
      <c r="BC1" t="s">
        <v>705</v>
      </c>
      <c r="BD1" t="s">
        <v>706</v>
      </c>
      <c r="BE1" t="s">
        <v>707</v>
      </c>
      <c r="BF1" t="s">
        <v>708</v>
      </c>
      <c r="BG1" t="s">
        <v>709</v>
      </c>
      <c r="BH1" t="s">
        <v>710</v>
      </c>
    </row>
    <row r="2" spans="1:60" x14ac:dyDescent="0.25">
      <c r="A2" s="22" t="s">
        <v>404</v>
      </c>
      <c r="B2" s="41">
        <v>45664</v>
      </c>
      <c r="C2" s="3" t="s">
        <v>55</v>
      </c>
      <c r="D2" s="26">
        <v>0.58333333333333337</v>
      </c>
      <c r="E2" s="26">
        <v>0.58333333333333337</v>
      </c>
      <c r="F2" s="3" t="s">
        <v>192</v>
      </c>
      <c r="G2" s="3" t="s">
        <v>57</v>
      </c>
      <c r="H2" s="3" t="s">
        <v>405</v>
      </c>
      <c r="I2" s="3" t="s">
        <v>406</v>
      </c>
      <c r="J2" s="3" t="s">
        <v>407</v>
      </c>
      <c r="K2" s="3" t="s">
        <v>408</v>
      </c>
      <c r="L2" s="3" t="s">
        <v>409</v>
      </c>
      <c r="M2" s="3" t="s">
        <v>61</v>
      </c>
      <c r="N2" s="3" t="s">
        <v>410</v>
      </c>
      <c r="O2" s="3" t="s">
        <v>139</v>
      </c>
      <c r="P2" s="3">
        <v>7</v>
      </c>
      <c r="Q2" s="3" t="s">
        <v>411</v>
      </c>
      <c r="AB2" s="3" t="s">
        <v>412</v>
      </c>
      <c r="AC2" s="3" t="s">
        <v>69</v>
      </c>
      <c r="AD2" s="3" t="s">
        <v>413</v>
      </c>
      <c r="AE2" s="3" t="s">
        <v>414</v>
      </c>
      <c r="AF2" s="3" t="s">
        <v>415</v>
      </c>
      <c r="AG2" s="3" t="s">
        <v>73</v>
      </c>
      <c r="AH2" s="3" t="s">
        <v>416</v>
      </c>
      <c r="AI2" s="3">
        <v>9</v>
      </c>
      <c r="AJ2" s="24">
        <v>45664</v>
      </c>
      <c r="AK2" s="25">
        <v>0.58333333333333337</v>
      </c>
      <c r="AL2" s="24"/>
      <c r="AM2" s="25"/>
      <c r="AN2" s="24">
        <v>45667</v>
      </c>
      <c r="AO2" s="25">
        <v>0.59781249999999997</v>
      </c>
      <c r="AP2" s="3">
        <v>2025</v>
      </c>
      <c r="AQ2" s="3">
        <v>2</v>
      </c>
      <c r="AR2" s="3">
        <v>2</v>
      </c>
      <c r="AS2" s="3">
        <v>7</v>
      </c>
      <c r="AT2" s="3">
        <v>7</v>
      </c>
      <c r="AU2" s="25">
        <v>45664.583333333336</v>
      </c>
      <c r="AV2" s="3">
        <v>135</v>
      </c>
      <c r="AW2" t="s">
        <v>411</v>
      </c>
      <c r="AY2" s="3" t="s">
        <v>417</v>
      </c>
      <c r="AZ2" s="3" t="s">
        <v>61</v>
      </c>
      <c r="BA2" s="3" t="s">
        <v>586</v>
      </c>
      <c r="BB2" s="3" t="s">
        <v>78</v>
      </c>
      <c r="BC2"/>
      <c r="BD2"/>
      <c r="BE2"/>
      <c r="BF2"/>
      <c r="BG2"/>
      <c r="BH2"/>
    </row>
    <row r="3" spans="1:60" x14ac:dyDescent="0.25">
      <c r="A3" s="22" t="s">
        <v>418</v>
      </c>
      <c r="B3" s="41">
        <v>45680</v>
      </c>
      <c r="C3" s="3" t="s">
        <v>55</v>
      </c>
      <c r="D3" s="26">
        <v>0.625</v>
      </c>
      <c r="E3" s="26">
        <v>0.625</v>
      </c>
      <c r="F3" s="3" t="s">
        <v>115</v>
      </c>
      <c r="G3" s="3" t="s">
        <v>57</v>
      </c>
      <c r="H3" s="3" t="s">
        <v>419</v>
      </c>
      <c r="I3" s="3" t="s">
        <v>420</v>
      </c>
      <c r="J3" s="3" t="s">
        <v>421</v>
      </c>
      <c r="K3" s="3" t="s">
        <v>422</v>
      </c>
      <c r="L3" s="3" t="s">
        <v>409</v>
      </c>
      <c r="M3" s="3" t="s">
        <v>61</v>
      </c>
      <c r="N3" s="3" t="s">
        <v>423</v>
      </c>
      <c r="O3" s="3" t="s">
        <v>87</v>
      </c>
      <c r="P3" s="3">
        <v>8</v>
      </c>
      <c r="Q3" s="3" t="s">
        <v>424</v>
      </c>
      <c r="AB3" s="3" t="s">
        <v>425</v>
      </c>
      <c r="AC3" s="3" t="s">
        <v>69</v>
      </c>
      <c r="AD3" s="3" t="s">
        <v>360</v>
      </c>
      <c r="AE3" s="3" t="s">
        <v>426</v>
      </c>
      <c r="AF3" s="3" t="s">
        <v>415</v>
      </c>
      <c r="AG3" s="3" t="s">
        <v>427</v>
      </c>
      <c r="AI3" s="3">
        <v>9</v>
      </c>
      <c r="AJ3" s="24">
        <v>45680</v>
      </c>
      <c r="AK3" s="25">
        <v>0.625</v>
      </c>
      <c r="AL3" s="24"/>
      <c r="AM3" s="25"/>
      <c r="AN3" s="24">
        <v>45680</v>
      </c>
      <c r="AO3" s="25">
        <v>0.66545138888888888</v>
      </c>
      <c r="AP3" s="3">
        <v>2025</v>
      </c>
      <c r="AQ3" s="3">
        <v>4</v>
      </c>
      <c r="AR3" s="3">
        <v>4</v>
      </c>
      <c r="AS3" s="3">
        <v>23</v>
      </c>
      <c r="AT3" s="3">
        <v>23</v>
      </c>
      <c r="AU3" s="25">
        <v>45680.625</v>
      </c>
      <c r="AV3" s="3">
        <v>176</v>
      </c>
      <c r="AW3" t="s">
        <v>424</v>
      </c>
      <c r="AY3" s="3" t="s">
        <v>428</v>
      </c>
      <c r="AZ3" s="3" t="s">
        <v>61</v>
      </c>
      <c r="BA3" s="3" t="s">
        <v>584</v>
      </c>
      <c r="BB3" s="3" t="s">
        <v>78</v>
      </c>
      <c r="BC3"/>
      <c r="BD3"/>
      <c r="BE3"/>
      <c r="BF3"/>
      <c r="BG3"/>
      <c r="BH3"/>
    </row>
    <row r="4" spans="1:60" x14ac:dyDescent="0.25">
      <c r="A4" s="22" t="s">
        <v>429</v>
      </c>
      <c r="B4" s="41">
        <v>45705</v>
      </c>
      <c r="C4" s="3" t="s">
        <v>100</v>
      </c>
      <c r="D4" s="26">
        <v>0.83333333333333337</v>
      </c>
      <c r="E4" s="26">
        <v>0.83333333333333337</v>
      </c>
      <c r="F4" s="3" t="s">
        <v>56</v>
      </c>
      <c r="G4" s="3" t="s">
        <v>116</v>
      </c>
      <c r="H4" s="3" t="s">
        <v>430</v>
      </c>
      <c r="I4" s="3" t="s">
        <v>431</v>
      </c>
      <c r="J4" s="3" t="s">
        <v>432</v>
      </c>
      <c r="K4" s="3" t="s">
        <v>433</v>
      </c>
      <c r="L4" s="3" t="s">
        <v>421</v>
      </c>
      <c r="M4" s="3" t="s">
        <v>61</v>
      </c>
      <c r="N4" s="3" t="s">
        <v>434</v>
      </c>
      <c r="O4" s="3" t="s">
        <v>435</v>
      </c>
      <c r="P4" s="3">
        <v>8</v>
      </c>
      <c r="Q4" s="3" t="s">
        <v>436</v>
      </c>
      <c r="AB4" s="3" t="s">
        <v>425</v>
      </c>
      <c r="AC4" s="3" t="s">
        <v>69</v>
      </c>
      <c r="AD4" s="3" t="s">
        <v>110</v>
      </c>
      <c r="AE4" s="3" t="s">
        <v>426</v>
      </c>
      <c r="AF4" s="3" t="s">
        <v>110</v>
      </c>
      <c r="AG4" s="3" t="s">
        <v>274</v>
      </c>
      <c r="AI4" s="3">
        <v>9</v>
      </c>
      <c r="AJ4" s="24">
        <v>45705</v>
      </c>
      <c r="AK4" s="25">
        <v>0.83333333333333337</v>
      </c>
      <c r="AL4" s="24">
        <v>45705</v>
      </c>
      <c r="AM4" s="25">
        <v>0.98958333333333337</v>
      </c>
      <c r="AN4" s="24">
        <v>45706</v>
      </c>
      <c r="AO4" s="25">
        <v>0.73564814814814816</v>
      </c>
      <c r="AP4" s="3">
        <v>2025</v>
      </c>
      <c r="AQ4" s="3">
        <v>8</v>
      </c>
      <c r="AR4" s="3">
        <v>4</v>
      </c>
      <c r="AS4" s="3">
        <v>17</v>
      </c>
      <c r="AT4" s="3">
        <v>48</v>
      </c>
      <c r="AU4" s="25">
        <v>45705.833333333336</v>
      </c>
      <c r="AV4" s="3">
        <v>240</v>
      </c>
      <c r="AW4" t="s">
        <v>436</v>
      </c>
      <c r="AY4" s="3" t="s">
        <v>437</v>
      </c>
      <c r="AZ4" s="3" t="s">
        <v>61</v>
      </c>
      <c r="BA4" s="3" t="s">
        <v>581</v>
      </c>
      <c r="BB4" s="3" t="s">
        <v>113</v>
      </c>
      <c r="BC4"/>
      <c r="BD4"/>
      <c r="BE4"/>
      <c r="BF4"/>
      <c r="BG4"/>
      <c r="BH4"/>
    </row>
    <row r="5" spans="1:60" x14ac:dyDescent="0.25">
      <c r="A5" s="22" t="s">
        <v>438</v>
      </c>
      <c r="B5" s="41">
        <v>45708</v>
      </c>
      <c r="C5" s="3" t="s">
        <v>55</v>
      </c>
      <c r="D5" s="26">
        <v>0.5</v>
      </c>
      <c r="E5" s="26">
        <v>0.53615740740740736</v>
      </c>
      <c r="F5" s="3" t="s">
        <v>192</v>
      </c>
      <c r="G5" s="3" t="s">
        <v>116</v>
      </c>
      <c r="H5" s="3" t="s">
        <v>439</v>
      </c>
      <c r="I5" s="3" t="s">
        <v>440</v>
      </c>
      <c r="J5" s="3" t="s">
        <v>421</v>
      </c>
      <c r="K5" s="3" t="s">
        <v>421</v>
      </c>
      <c r="L5" s="3" t="s">
        <v>61</v>
      </c>
      <c r="M5" s="3" t="s">
        <v>61</v>
      </c>
      <c r="N5" s="3" t="s">
        <v>441</v>
      </c>
      <c r="O5" s="3" t="s">
        <v>105</v>
      </c>
      <c r="P5" s="3">
        <v>8</v>
      </c>
      <c r="Q5" s="3" t="s">
        <v>442</v>
      </c>
      <c r="AB5" s="3" t="s">
        <v>68</v>
      </c>
      <c r="AC5" s="3" t="s">
        <v>69</v>
      </c>
      <c r="AD5" s="3" t="s">
        <v>443</v>
      </c>
      <c r="AE5" s="3" t="s">
        <v>71</v>
      </c>
      <c r="AF5" s="3" t="s">
        <v>360</v>
      </c>
      <c r="AG5" s="3" t="s">
        <v>444</v>
      </c>
      <c r="AH5" s="3" t="s">
        <v>445</v>
      </c>
      <c r="AI5" s="3">
        <v>9</v>
      </c>
      <c r="AJ5" s="24">
        <v>42906</v>
      </c>
      <c r="AK5" s="25">
        <v>0.53615740740740736</v>
      </c>
      <c r="AL5" s="24">
        <v>45555</v>
      </c>
      <c r="AM5" s="25"/>
      <c r="AN5" s="24">
        <v>45708</v>
      </c>
      <c r="AO5" s="25">
        <v>0.53615740740740736</v>
      </c>
      <c r="AP5" s="3">
        <v>2017</v>
      </c>
      <c r="AQ5" s="3">
        <v>25</v>
      </c>
      <c r="AR5" s="3">
        <v>4</v>
      </c>
      <c r="AS5" s="3">
        <v>20</v>
      </c>
      <c r="AT5" s="3">
        <v>171</v>
      </c>
      <c r="AU5" s="25">
        <v>42906.536111111112</v>
      </c>
      <c r="AV5" s="3">
        <v>360</v>
      </c>
      <c r="AW5" t="s">
        <v>442</v>
      </c>
      <c r="AY5" s="3" t="s">
        <v>61</v>
      </c>
      <c r="AZ5" s="3" t="s">
        <v>61</v>
      </c>
      <c r="BA5" s="3" t="s">
        <v>580</v>
      </c>
      <c r="BB5" s="3" t="s">
        <v>78</v>
      </c>
      <c r="BC5"/>
      <c r="BD5"/>
      <c r="BE5"/>
      <c r="BF5"/>
      <c r="BG5"/>
      <c r="BH5"/>
    </row>
  </sheetData>
  <phoneticPr fontId="16"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16BF-11F1-49EB-B861-07A286AECCB5}">
  <sheetPr codeName="Sheet11">
    <tabColor rgb="FF7030A0"/>
  </sheetPr>
  <dimension ref="A1:Q28"/>
  <sheetViews>
    <sheetView workbookViewId="0">
      <selection activeCell="A15" sqref="A15:H18"/>
    </sheetView>
  </sheetViews>
  <sheetFormatPr defaultColWidth="9.140625" defaultRowHeight="15.75" x14ac:dyDescent="0.25"/>
  <cols>
    <col min="1" max="1" width="27.7109375" style="6" bestFit="1" customWidth="1"/>
    <col min="2" max="2" width="12.7109375" style="6" bestFit="1" customWidth="1"/>
    <col min="3" max="3" width="8.7109375" style="6" bestFit="1" customWidth="1"/>
    <col min="4" max="4" width="9.5703125" style="6" bestFit="1" customWidth="1"/>
    <col min="5" max="5" width="11.7109375" style="6" bestFit="1" customWidth="1"/>
    <col min="6" max="6" width="9.140625" style="6"/>
    <col min="7" max="7" width="22.28515625" style="6" bestFit="1" customWidth="1"/>
    <col min="8" max="8" width="12.7109375" style="6" bestFit="1" customWidth="1"/>
    <col min="9" max="9" width="11.7109375" style="6" bestFit="1" customWidth="1"/>
    <col min="10" max="11" width="1.7109375" style="6" customWidth="1"/>
    <col min="12" max="12" width="9.140625" style="6"/>
    <col min="13" max="13" width="22.28515625" style="6" bestFit="1" customWidth="1"/>
    <col min="14" max="14" width="12.7109375" style="6" bestFit="1" customWidth="1"/>
    <col min="15" max="15" width="8.7109375" style="6" bestFit="1" customWidth="1"/>
    <col min="16" max="16" width="9.5703125" style="6" bestFit="1" customWidth="1"/>
    <col min="17" max="17" width="11.7109375" style="6" bestFit="1" customWidth="1"/>
    <col min="18" max="16384" width="9.140625" style="6"/>
  </cols>
  <sheetData>
    <row r="1" spans="1:17" x14ac:dyDescent="0.25">
      <c r="A1" s="89" t="s">
        <v>1</v>
      </c>
      <c r="B1" s="77" t="s">
        <v>132</v>
      </c>
      <c r="C1" s="3"/>
      <c r="D1" s="3"/>
      <c r="E1" s="3"/>
      <c r="F1" s="3"/>
      <c r="G1" s="89" t="s">
        <v>1</v>
      </c>
      <c r="H1" s="90">
        <v>45708</v>
      </c>
      <c r="I1" s="3"/>
      <c r="J1" s="3"/>
      <c r="K1" s="3"/>
      <c r="L1" s="3"/>
      <c r="M1" s="89" t="s">
        <v>1</v>
      </c>
      <c r="N1" s="90">
        <v>45664</v>
      </c>
      <c r="O1" s="3"/>
      <c r="P1" s="3"/>
      <c r="Q1" s="3"/>
    </row>
    <row r="2" spans="1:17" x14ac:dyDescent="0.25">
      <c r="A2" s="89" t="s">
        <v>10</v>
      </c>
      <c r="B2" s="77" t="s">
        <v>132</v>
      </c>
      <c r="C2" s="3"/>
      <c r="D2" s="3"/>
      <c r="E2" s="3"/>
      <c r="F2" s="3"/>
      <c r="G2" s="89" t="s">
        <v>10</v>
      </c>
      <c r="H2" s="77" t="s">
        <v>132</v>
      </c>
      <c r="I2" s="3"/>
      <c r="J2" s="3"/>
      <c r="K2" s="3"/>
      <c r="L2" s="3"/>
      <c r="M2" s="89" t="s">
        <v>10</v>
      </c>
      <c r="N2" s="77" t="s">
        <v>132</v>
      </c>
      <c r="O2" s="3"/>
      <c r="P2" s="3"/>
      <c r="Q2" s="3"/>
    </row>
    <row r="4" spans="1:17" x14ac:dyDescent="0.25">
      <c r="A4" s="89" t="s">
        <v>133</v>
      </c>
      <c r="B4" s="89" t="s">
        <v>5</v>
      </c>
      <c r="C4" s="77"/>
      <c r="D4" s="77"/>
      <c r="E4"/>
      <c r="F4" s="3"/>
      <c r="G4" s="89" t="s">
        <v>133</v>
      </c>
      <c r="H4" s="89" t="s">
        <v>5</v>
      </c>
      <c r="I4"/>
      <c r="J4"/>
      <c r="K4"/>
      <c r="L4" s="3"/>
      <c r="M4" s="89" t="s">
        <v>133</v>
      </c>
      <c r="N4" s="89" t="s">
        <v>5</v>
      </c>
      <c r="O4"/>
      <c r="P4"/>
      <c r="Q4"/>
    </row>
    <row r="5" spans="1:17" x14ac:dyDescent="0.25">
      <c r="A5" s="89" t="s">
        <v>2</v>
      </c>
      <c r="B5" s="77" t="s">
        <v>56</v>
      </c>
      <c r="C5" s="77" t="s">
        <v>192</v>
      </c>
      <c r="D5" s="77" t="s">
        <v>115</v>
      </c>
      <c r="E5"/>
      <c r="F5" s="3"/>
      <c r="G5" s="89" t="s">
        <v>2</v>
      </c>
      <c r="H5" s="77" t="s">
        <v>192</v>
      </c>
      <c r="I5"/>
      <c r="J5"/>
      <c r="K5"/>
      <c r="L5" s="3"/>
      <c r="M5" s="89" t="s">
        <v>2</v>
      </c>
      <c r="N5" s="77" t="s">
        <v>192</v>
      </c>
      <c r="O5"/>
      <c r="P5"/>
      <c r="Q5"/>
    </row>
    <row r="6" spans="1:17" x14ac:dyDescent="0.25">
      <c r="A6" s="77" t="s">
        <v>55</v>
      </c>
      <c r="B6" s="77"/>
      <c r="C6" s="77">
        <v>2</v>
      </c>
      <c r="D6" s="77">
        <v>1</v>
      </c>
      <c r="E6"/>
      <c r="F6" s="3"/>
      <c r="G6" s="77" t="s">
        <v>55</v>
      </c>
      <c r="H6" s="77">
        <v>1</v>
      </c>
      <c r="I6"/>
      <c r="J6"/>
      <c r="K6"/>
      <c r="L6" s="3"/>
      <c r="M6" s="77" t="s">
        <v>55</v>
      </c>
      <c r="N6" s="77">
        <v>1</v>
      </c>
      <c r="O6"/>
      <c r="P6"/>
      <c r="Q6"/>
    </row>
    <row r="7" spans="1:17" x14ac:dyDescent="0.25">
      <c r="A7" s="77" t="s">
        <v>100</v>
      </c>
      <c r="B7" s="77">
        <v>1</v>
      </c>
      <c r="C7" s="77"/>
      <c r="D7" s="77"/>
      <c r="E7"/>
      <c r="F7" s="3"/>
      <c r="G7"/>
      <c r="H7"/>
      <c r="I7"/>
      <c r="J7"/>
      <c r="K7"/>
      <c r="L7" s="3"/>
      <c r="M7"/>
      <c r="N7"/>
      <c r="O7"/>
      <c r="P7"/>
      <c r="Q7"/>
    </row>
    <row r="8" spans="1:17" x14ac:dyDescent="0.25">
      <c r="A8"/>
      <c r="B8"/>
      <c r="C8"/>
      <c r="D8"/>
      <c r="E8"/>
      <c r="F8" s="3"/>
      <c r="G8"/>
      <c r="H8"/>
      <c r="I8"/>
      <c r="J8"/>
      <c r="K8"/>
      <c r="L8" s="3"/>
      <c r="M8"/>
      <c r="N8"/>
      <c r="O8"/>
      <c r="P8"/>
      <c r="Q8"/>
    </row>
    <row r="9" spans="1:17" x14ac:dyDescent="0.25">
      <c r="A9"/>
      <c r="B9"/>
      <c r="C9"/>
      <c r="D9"/>
      <c r="E9"/>
      <c r="F9" s="3"/>
      <c r="G9"/>
      <c r="H9"/>
      <c r="I9"/>
      <c r="J9"/>
      <c r="K9"/>
      <c r="L9" s="3"/>
      <c r="M9"/>
      <c r="N9"/>
      <c r="O9"/>
      <c r="P9"/>
      <c r="Q9"/>
    </row>
    <row r="10" spans="1:17" x14ac:dyDescent="0.25">
      <c r="A10"/>
      <c r="B10"/>
      <c r="C10"/>
      <c r="D10"/>
      <c r="E10"/>
      <c r="F10" s="3"/>
      <c r="G10"/>
      <c r="H10"/>
      <c r="I10"/>
      <c r="J10"/>
      <c r="K10"/>
      <c r="L10" s="3"/>
      <c r="M10"/>
      <c r="N10"/>
      <c r="O10"/>
      <c r="P10"/>
      <c r="Q10"/>
    </row>
    <row r="15" spans="1:17" ht="24" x14ac:dyDescent="0.4">
      <c r="A15" s="109" t="s">
        <v>465</v>
      </c>
      <c r="B15" s="109"/>
      <c r="C15" s="109"/>
      <c r="D15" s="109"/>
      <c r="E15" s="109"/>
      <c r="F15" s="109"/>
      <c r="G15" s="109"/>
      <c r="H15" s="109"/>
    </row>
    <row r="16" spans="1:17" ht="18.75" x14ac:dyDescent="0.3">
      <c r="A16" s="8" t="s">
        <v>458</v>
      </c>
      <c r="B16" s="12" t="s">
        <v>467</v>
      </c>
      <c r="C16" s="12" t="s">
        <v>459</v>
      </c>
      <c r="D16" s="12" t="s">
        <v>460</v>
      </c>
      <c r="E16" s="12" t="s">
        <v>461</v>
      </c>
      <c r="F16" s="12" t="s">
        <v>462</v>
      </c>
      <c r="G16" s="12" t="s">
        <v>463</v>
      </c>
      <c r="H16" s="12" t="s">
        <v>464</v>
      </c>
    </row>
    <row r="17" spans="1:8" x14ac:dyDescent="0.25">
      <c r="A17" s="9" t="s">
        <v>55</v>
      </c>
      <c r="B17" s="10"/>
      <c r="C17" s="10"/>
      <c r="D17" s="10">
        <v>2</v>
      </c>
      <c r="E17" s="55"/>
      <c r="F17" s="55">
        <v>1</v>
      </c>
      <c r="G17" s="55"/>
      <c r="H17" s="55"/>
    </row>
    <row r="18" spans="1:8" x14ac:dyDescent="0.25">
      <c r="A18" s="9" t="s">
        <v>100</v>
      </c>
      <c r="B18" s="10"/>
      <c r="C18" s="10">
        <v>1</v>
      </c>
      <c r="D18" s="10"/>
      <c r="E18" s="55"/>
      <c r="F18" s="55"/>
      <c r="G18" s="55"/>
      <c r="H18" s="55"/>
    </row>
    <row r="19" spans="1:8" x14ac:dyDescent="0.25">
      <c r="A19" s="3"/>
      <c r="B19" s="3"/>
      <c r="C19" s="3"/>
      <c r="D19" s="3"/>
      <c r="E19" s="3"/>
    </row>
    <row r="20" spans="1:8" x14ac:dyDescent="0.25">
      <c r="A20" s="3"/>
      <c r="B20" s="3"/>
      <c r="C20" s="3"/>
      <c r="D20" s="3"/>
      <c r="E20" s="3"/>
    </row>
    <row r="21" spans="1:8" ht="24" x14ac:dyDescent="0.4">
      <c r="A21" s="109" t="s">
        <v>466</v>
      </c>
      <c r="B21" s="109"/>
      <c r="C21" s="16"/>
      <c r="D21" s="16"/>
      <c r="E21" s="16"/>
    </row>
    <row r="22" spans="1:8" ht="18.75" x14ac:dyDescent="0.3">
      <c r="A22" s="8" t="s">
        <v>458</v>
      </c>
      <c r="B22" s="8" t="s">
        <v>467</v>
      </c>
      <c r="C22" s="8" t="s">
        <v>459</v>
      </c>
      <c r="D22" s="8" t="s">
        <v>460</v>
      </c>
      <c r="E22" s="8" t="s">
        <v>461</v>
      </c>
      <c r="F22" s="8" t="s">
        <v>462</v>
      </c>
      <c r="G22" s="8" t="s">
        <v>463</v>
      </c>
      <c r="H22" s="8" t="s">
        <v>464</v>
      </c>
    </row>
    <row r="23" spans="1:8" x14ac:dyDescent="0.25">
      <c r="A23" s="9" t="s">
        <v>80</v>
      </c>
      <c r="B23" s="55"/>
      <c r="C23" s="55"/>
      <c r="D23" s="55"/>
      <c r="E23" s="55"/>
      <c r="F23" s="55"/>
      <c r="G23" s="55"/>
      <c r="H23" s="55"/>
    </row>
    <row r="26" spans="1:8" ht="24" x14ac:dyDescent="0.4">
      <c r="A26" s="109" t="s">
        <v>468</v>
      </c>
      <c r="B26" s="109"/>
    </row>
    <row r="27" spans="1:8" ht="18.75" x14ac:dyDescent="0.3">
      <c r="A27" s="8" t="s">
        <v>458</v>
      </c>
      <c r="B27" s="12" t="s">
        <v>460</v>
      </c>
    </row>
    <row r="28" spans="1:8" x14ac:dyDescent="0.25">
      <c r="A28" s="9" t="s">
        <v>80</v>
      </c>
      <c r="B28" s="10">
        <v>1</v>
      </c>
    </row>
  </sheetData>
  <mergeCells count="3">
    <mergeCell ref="A21:B21"/>
    <mergeCell ref="A26:B26"/>
    <mergeCell ref="A15:H15"/>
  </mergeCells>
  <pageMargins left="0.7" right="0.7" top="0.75" bottom="0.75" header="0.3" footer="0.3"/>
  <pageSetup orientation="portrait" r:id="rId4"/>
  <tableParts count="3">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922-57E1-4E3D-B7DE-434BA2E6ED83}">
  <dimension ref="A1:G1"/>
  <sheetViews>
    <sheetView workbookViewId="0"/>
  </sheetViews>
  <sheetFormatPr defaultRowHeight="15" x14ac:dyDescent="0.25"/>
  <cols>
    <col min="1" max="1" width="14.42578125" bestFit="1" customWidth="1"/>
    <col min="2" max="2" width="18.7109375" bestFit="1" customWidth="1"/>
    <col min="3" max="3" width="23.5703125" bestFit="1" customWidth="1"/>
    <col min="4" max="4" width="22.85546875" bestFit="1" customWidth="1"/>
    <col min="5" max="5" width="17.85546875" bestFit="1" customWidth="1"/>
    <col min="6" max="6" width="21.7109375" bestFit="1" customWidth="1"/>
    <col min="7" max="7" width="24" bestFit="1" customWidth="1"/>
  </cols>
  <sheetData>
    <row r="1" spans="1:7" x14ac:dyDescent="0.25">
      <c r="A1" t="s">
        <v>0</v>
      </c>
      <c r="B1" t="s">
        <v>705</v>
      </c>
      <c r="C1" t="s">
        <v>706</v>
      </c>
      <c r="D1" t="s">
        <v>707</v>
      </c>
      <c r="E1" t="s">
        <v>708</v>
      </c>
      <c r="F1" t="s">
        <v>709</v>
      </c>
      <c r="G1" t="s">
        <v>710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EE4CE-742A-4BD7-8EC4-DA0D3A267660}">
  <dimension ref="A1:G1"/>
  <sheetViews>
    <sheetView workbookViewId="0">
      <selection sqref="A1:G9"/>
    </sheetView>
  </sheetViews>
  <sheetFormatPr defaultColWidth="9.140625" defaultRowHeight="15.75" x14ac:dyDescent="0.25"/>
  <cols>
    <col min="1" max="1" width="18.85546875" style="77" bestFit="1" customWidth="1"/>
    <col min="2" max="2" width="23.7109375" style="77" customWidth="1"/>
    <col min="3" max="3" width="29.7109375" style="77" customWidth="1"/>
    <col min="4" max="4" width="29.28515625" style="77" customWidth="1"/>
    <col min="5" max="5" width="22.28515625" style="77" customWidth="1"/>
    <col min="6" max="6" width="27.140625" style="77" customWidth="1"/>
    <col min="7" max="7" width="30.42578125" style="77" customWidth="1"/>
    <col min="8" max="16384" width="9.140625" style="77"/>
  </cols>
  <sheetData>
    <row r="1" spans="1:7" s="78" customFormat="1" ht="18.75" x14ac:dyDescent="0.3">
      <c r="A1" s="78" t="s">
        <v>0</v>
      </c>
      <c r="B1" s="78" t="s">
        <v>705</v>
      </c>
      <c r="C1" s="78" t="s">
        <v>706</v>
      </c>
      <c r="D1" s="78" t="s">
        <v>707</v>
      </c>
      <c r="E1" s="78" t="s">
        <v>708</v>
      </c>
      <c r="F1" s="78" t="s">
        <v>709</v>
      </c>
      <c r="G1" s="78" t="s">
        <v>710</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32AB-6214-4DE5-892C-6E0F89E34DE7}">
  <sheetPr codeName="Sheet12">
    <tabColor theme="3"/>
  </sheetPr>
  <dimension ref="A1:BC50"/>
  <sheetViews>
    <sheetView topLeftCell="A18" workbookViewId="0">
      <selection sqref="A1:BC50"/>
    </sheetView>
  </sheetViews>
  <sheetFormatPr defaultColWidth="8.85546875" defaultRowHeight="15.75" x14ac:dyDescent="0.25"/>
  <cols>
    <col min="1" max="1" width="21.140625" style="22" bestFit="1" customWidth="1"/>
    <col min="2" max="2" width="17.140625" style="30" bestFit="1" customWidth="1"/>
    <col min="3" max="3" width="25.28515625" style="26" bestFit="1" customWidth="1"/>
    <col min="4" max="4" width="19.85546875" style="32" bestFit="1" customWidth="1"/>
    <col min="5" max="5" width="16.5703125" style="32" bestFit="1" customWidth="1"/>
    <col min="6" max="6" width="17" style="3" bestFit="1" customWidth="1"/>
    <col min="7" max="7" width="20.140625" style="3" bestFit="1" customWidth="1"/>
    <col min="8" max="9" width="38.140625" style="3" bestFit="1" customWidth="1"/>
    <col min="10" max="10" width="69.5703125" style="3" bestFit="1" customWidth="1"/>
    <col min="11" max="11" width="28.85546875" style="3" bestFit="1" customWidth="1"/>
    <col min="12" max="12" width="27.42578125" style="3" bestFit="1" customWidth="1"/>
    <col min="13" max="13" width="23.7109375" style="3" bestFit="1" customWidth="1"/>
    <col min="14" max="14" width="75.42578125" style="3" bestFit="1" customWidth="1"/>
    <col min="15" max="15" width="10.5703125" style="22" bestFit="1" customWidth="1"/>
    <col min="16" max="16" width="11.42578125" style="22" bestFit="1" customWidth="1"/>
    <col min="17" max="17" width="81.140625" style="3" bestFit="1" customWidth="1"/>
    <col min="18" max="18" width="26.28515625" style="22" bestFit="1" customWidth="1"/>
    <col min="19" max="19" width="28.140625" style="22" bestFit="1" customWidth="1"/>
    <col min="20" max="20" width="21.5703125" style="22" bestFit="1" customWidth="1"/>
    <col min="21" max="21" width="13.28515625" style="22" bestFit="1" customWidth="1"/>
    <col min="22" max="22" width="14.28515625" style="22" bestFit="1" customWidth="1"/>
    <col min="23" max="23" width="18.42578125" style="22" bestFit="1" customWidth="1"/>
    <col min="24" max="24" width="21.5703125" style="22" bestFit="1" customWidth="1"/>
    <col min="25" max="25" width="18.42578125" style="22" bestFit="1" customWidth="1"/>
    <col min="26" max="26" width="13.28515625" style="22" bestFit="1" customWidth="1"/>
    <col min="27" max="27" width="14.28515625" style="22" bestFit="1" customWidth="1"/>
    <col min="28" max="28" width="20.140625" style="3" bestFit="1" customWidth="1"/>
    <col min="29" max="29" width="22.28515625" style="3" bestFit="1" customWidth="1"/>
    <col min="30" max="30" width="29.28515625" style="3" bestFit="1" customWidth="1"/>
    <col min="31" max="31" width="12.85546875" style="22" bestFit="1" customWidth="1"/>
    <col min="32" max="32" width="28" style="3" bestFit="1" customWidth="1"/>
    <col min="33" max="33" width="30.28515625" style="3" bestFit="1" customWidth="1"/>
    <col min="34" max="34" width="33.140625" style="3" bestFit="1" customWidth="1"/>
    <col min="35" max="35" width="34" style="22" bestFit="1" customWidth="1"/>
    <col min="36" max="36" width="21" style="41" bestFit="1" customWidth="1"/>
    <col min="37" max="37" width="21.28515625" style="33" bestFit="1" customWidth="1"/>
    <col min="38" max="38" width="32.5703125" style="41" bestFit="1" customWidth="1"/>
    <col min="39" max="39" width="32.85546875" style="33" bestFit="1" customWidth="1"/>
    <col min="40" max="40" width="19.28515625" style="41" bestFit="1" customWidth="1"/>
    <col min="41" max="41" width="19.5703125" style="33" bestFit="1" customWidth="1"/>
    <col min="42" max="42" width="10.85546875" style="22" bestFit="1" customWidth="1"/>
    <col min="43" max="43" width="20.5703125" style="35" bestFit="1" customWidth="1"/>
    <col min="44" max="44" width="22.85546875" style="35" bestFit="1" customWidth="1"/>
    <col min="45" max="45" width="10" style="35" bestFit="1" customWidth="1"/>
    <col min="46" max="46" width="18.28515625" style="37" bestFit="1" customWidth="1"/>
    <col min="47" max="47" width="30.42578125" style="39" bestFit="1" customWidth="1"/>
    <col min="48" max="48" width="9.42578125" style="22" bestFit="1" customWidth="1"/>
    <col min="49" max="49" width="81.140625" style="3" bestFit="1" customWidth="1"/>
    <col min="50" max="50" width="40.7109375" style="3" bestFit="1" customWidth="1"/>
    <col min="51" max="52" width="81.140625" style="3" bestFit="1" customWidth="1"/>
    <col min="53" max="53" width="24" style="22" bestFit="1" customWidth="1"/>
    <col min="54" max="54" width="26.85546875" style="22" bestFit="1" customWidth="1"/>
    <col min="55" max="55" width="67.42578125" style="22" bestFit="1" customWidth="1"/>
    <col min="56" max="56" width="26.85546875" style="3" bestFit="1" customWidth="1"/>
    <col min="57" max="57" width="80.85546875" style="3" bestFit="1" customWidth="1"/>
    <col min="58" max="16384" width="8.85546875" style="3"/>
  </cols>
  <sheetData>
    <row r="1" spans="1:55" s="27" customFormat="1" ht="18.75" x14ac:dyDescent="0.3">
      <c r="A1" s="27" t="s">
        <v>0</v>
      </c>
      <c r="B1" s="40" t="s">
        <v>1</v>
      </c>
      <c r="C1" s="27" t="s">
        <v>2</v>
      </c>
      <c r="D1" s="31" t="s">
        <v>3</v>
      </c>
      <c r="E1" s="31" t="s">
        <v>4</v>
      </c>
      <c r="F1" s="27" t="s">
        <v>5</v>
      </c>
      <c r="G1" s="27" t="s">
        <v>6</v>
      </c>
      <c r="H1" s="27" t="s">
        <v>7</v>
      </c>
      <c r="I1" s="27" t="s">
        <v>8</v>
      </c>
      <c r="J1" s="27" t="s">
        <v>10</v>
      </c>
      <c r="K1" s="27" t="s">
        <v>9</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40" t="s">
        <v>35</v>
      </c>
      <c r="AK1" s="31" t="s">
        <v>36</v>
      </c>
      <c r="AL1" s="40" t="s">
        <v>37</v>
      </c>
      <c r="AM1" s="31" t="s">
        <v>38</v>
      </c>
      <c r="AN1" s="40" t="s">
        <v>39</v>
      </c>
      <c r="AO1" s="31" t="s">
        <v>40</v>
      </c>
      <c r="AP1" s="27" t="s">
        <v>41</v>
      </c>
      <c r="AQ1" s="34" t="s">
        <v>42</v>
      </c>
      <c r="AR1" s="34" t="s">
        <v>43</v>
      </c>
      <c r="AS1" s="34" t="s">
        <v>44</v>
      </c>
      <c r="AT1" s="36" t="s">
        <v>45</v>
      </c>
      <c r="AU1" s="38" t="s">
        <v>46</v>
      </c>
      <c r="AV1" s="27" t="s">
        <v>47</v>
      </c>
      <c r="AW1" t="s">
        <v>474</v>
      </c>
      <c r="AX1" s="27" t="s">
        <v>49</v>
      </c>
      <c r="AY1" s="27" t="s">
        <v>50</v>
      </c>
      <c r="AZ1" s="27" t="s">
        <v>51</v>
      </c>
      <c r="BA1" s="27" t="s">
        <v>52</v>
      </c>
      <c r="BB1" s="27" t="s">
        <v>53</v>
      </c>
      <c r="BC1" t="s">
        <v>815</v>
      </c>
    </row>
    <row r="2" spans="1:55" x14ac:dyDescent="0.25">
      <c r="A2" s="80" t="s">
        <v>218</v>
      </c>
      <c r="B2" s="91">
        <v>45660</v>
      </c>
      <c r="C2" s="77" t="s">
        <v>100</v>
      </c>
      <c r="D2" s="92">
        <v>0.875</v>
      </c>
      <c r="E2" s="92">
        <v>0.89583333333333337</v>
      </c>
      <c r="F2" s="175" t="s">
        <v>463</v>
      </c>
      <c r="G2" s="175" t="s">
        <v>817</v>
      </c>
      <c r="H2" s="77" t="s">
        <v>219</v>
      </c>
      <c r="I2" s="77" t="s">
        <v>220</v>
      </c>
      <c r="J2" s="77" t="s">
        <v>221</v>
      </c>
      <c r="K2" s="77" t="s">
        <v>221</v>
      </c>
      <c r="L2" s="77" t="s">
        <v>61</v>
      </c>
      <c r="M2" s="77" t="s">
        <v>61</v>
      </c>
      <c r="N2" s="77" t="s">
        <v>222</v>
      </c>
      <c r="O2" s="80" t="s">
        <v>223</v>
      </c>
      <c r="P2" s="80">
        <v>9</v>
      </c>
      <c r="Q2" s="77" t="s">
        <v>224</v>
      </c>
      <c r="R2" s="80"/>
      <c r="S2" s="80"/>
      <c r="T2" s="80" t="s">
        <v>225</v>
      </c>
      <c r="U2" s="80" t="s">
        <v>65</v>
      </c>
      <c r="V2" s="80" t="s">
        <v>226</v>
      </c>
      <c r="W2" s="80" t="s">
        <v>67</v>
      </c>
      <c r="X2" s="80"/>
      <c r="Y2" s="80"/>
      <c r="Z2" s="80"/>
      <c r="AA2" s="80"/>
      <c r="AB2" s="77" t="s">
        <v>163</v>
      </c>
      <c r="AC2" s="77" t="s">
        <v>69</v>
      </c>
      <c r="AD2" s="77" t="s">
        <v>227</v>
      </c>
      <c r="AE2" s="80" t="s">
        <v>214</v>
      </c>
      <c r="AF2" s="77" t="s">
        <v>228</v>
      </c>
      <c r="AG2" s="77" t="s">
        <v>73</v>
      </c>
      <c r="AH2" s="77" t="s">
        <v>229</v>
      </c>
      <c r="AI2" s="80">
        <v>9</v>
      </c>
      <c r="AJ2" s="91">
        <v>45660</v>
      </c>
      <c r="AK2" s="178">
        <v>0.89583333333333337</v>
      </c>
      <c r="AL2" s="91">
        <v>45661</v>
      </c>
      <c r="AM2" s="178">
        <v>0.2673611111111111</v>
      </c>
      <c r="AN2" s="91">
        <v>45661</v>
      </c>
      <c r="AO2" s="178">
        <v>0.45774305555555556</v>
      </c>
      <c r="AP2" s="80">
        <v>2025</v>
      </c>
      <c r="AQ2" s="93">
        <v>1</v>
      </c>
      <c r="AR2" s="93">
        <v>1</v>
      </c>
      <c r="AS2" s="93">
        <v>3</v>
      </c>
      <c r="AT2" s="94">
        <v>3</v>
      </c>
      <c r="AU2" s="95">
        <v>45660.895833333336</v>
      </c>
      <c r="AV2" s="80">
        <v>309</v>
      </c>
      <c r="AW2" t="s">
        <v>224</v>
      </c>
      <c r="AX2" s="77" t="s">
        <v>230</v>
      </c>
      <c r="AY2" s="77" t="s">
        <v>231</v>
      </c>
      <c r="AZ2" s="77" t="s">
        <v>61</v>
      </c>
      <c r="BA2" s="80" t="s">
        <v>587</v>
      </c>
      <c r="BB2" s="77" t="s">
        <v>113</v>
      </c>
      <c r="BC2" s="114" t="s">
        <v>221</v>
      </c>
    </row>
    <row r="3" spans="1:55" x14ac:dyDescent="0.25">
      <c r="A3" s="80" t="s">
        <v>54</v>
      </c>
      <c r="B3" s="91">
        <v>45663</v>
      </c>
      <c r="C3" s="77" t="s">
        <v>55</v>
      </c>
      <c r="D3" s="92">
        <v>0.625</v>
      </c>
      <c r="E3" s="92">
        <v>0.64583333333333337</v>
      </c>
      <c r="F3" s="175" t="s">
        <v>459</v>
      </c>
      <c r="G3" s="175" t="s">
        <v>817</v>
      </c>
      <c r="H3" s="77" t="s">
        <v>58</v>
      </c>
      <c r="I3" s="77" t="s">
        <v>59</v>
      </c>
      <c r="J3" s="77" t="s">
        <v>60</v>
      </c>
      <c r="K3" s="77" t="s">
        <v>60</v>
      </c>
      <c r="L3" s="77" t="s">
        <v>61</v>
      </c>
      <c r="M3" s="77" t="s">
        <v>61</v>
      </c>
      <c r="N3" s="77" t="s">
        <v>62</v>
      </c>
      <c r="O3" s="80"/>
      <c r="P3" s="80">
        <v>7</v>
      </c>
      <c r="Q3" s="77" t="s">
        <v>63</v>
      </c>
      <c r="R3" s="80"/>
      <c r="S3" s="80"/>
      <c r="T3" s="80" t="s">
        <v>64</v>
      </c>
      <c r="U3" s="80" t="s">
        <v>65</v>
      </c>
      <c r="V3" s="80" t="s">
        <v>66</v>
      </c>
      <c r="W3" s="80" t="s">
        <v>67</v>
      </c>
      <c r="X3" s="80"/>
      <c r="Y3" s="80"/>
      <c r="Z3" s="80"/>
      <c r="AA3" s="80"/>
      <c r="AB3" s="77" t="s">
        <v>68</v>
      </c>
      <c r="AC3" s="77" t="s">
        <v>69</v>
      </c>
      <c r="AD3" s="77" t="s">
        <v>70</v>
      </c>
      <c r="AE3" s="80" t="s">
        <v>71</v>
      </c>
      <c r="AF3" s="77" t="s">
        <v>72</v>
      </c>
      <c r="AG3" s="77" t="s">
        <v>73</v>
      </c>
      <c r="AH3" s="77" t="s">
        <v>74</v>
      </c>
      <c r="AI3" s="80">
        <v>9</v>
      </c>
      <c r="AJ3" s="91">
        <v>45663</v>
      </c>
      <c r="AK3" s="178">
        <v>0.64583333333333337</v>
      </c>
      <c r="AL3" s="91">
        <v>45667</v>
      </c>
      <c r="AM3" s="178"/>
      <c r="AN3" s="91">
        <v>45667</v>
      </c>
      <c r="AO3" s="178">
        <v>0.82629629629629631</v>
      </c>
      <c r="AP3" s="80">
        <v>2025</v>
      </c>
      <c r="AQ3" s="93">
        <v>2</v>
      </c>
      <c r="AR3" s="93">
        <v>2</v>
      </c>
      <c r="AS3" s="93">
        <v>6</v>
      </c>
      <c r="AT3" s="94">
        <v>6</v>
      </c>
      <c r="AU3" s="95">
        <v>45663.645833333336</v>
      </c>
      <c r="AV3" s="80">
        <v>90</v>
      </c>
      <c r="AW3" t="s">
        <v>63</v>
      </c>
      <c r="AX3" s="77" t="s">
        <v>75</v>
      </c>
      <c r="AY3" s="77" t="s">
        <v>76</v>
      </c>
      <c r="AZ3" s="77" t="s">
        <v>77</v>
      </c>
      <c r="BA3" s="80" t="s">
        <v>587</v>
      </c>
      <c r="BB3" s="77" t="s">
        <v>78</v>
      </c>
      <c r="BC3" s="114" t="s">
        <v>60</v>
      </c>
    </row>
    <row r="4" spans="1:55" x14ac:dyDescent="0.25">
      <c r="A4" s="80" t="s">
        <v>404</v>
      </c>
      <c r="B4" s="91">
        <v>45664</v>
      </c>
      <c r="C4" s="77" t="s">
        <v>55</v>
      </c>
      <c r="D4" s="92">
        <v>0.58333333333333337</v>
      </c>
      <c r="E4" s="92">
        <v>0.58333333333333337</v>
      </c>
      <c r="F4" s="175" t="s">
        <v>460</v>
      </c>
      <c r="G4" s="175" t="s">
        <v>817</v>
      </c>
      <c r="H4" s="77" t="s">
        <v>405</v>
      </c>
      <c r="I4" s="77" t="s">
        <v>406</v>
      </c>
      <c r="J4" s="77" t="s">
        <v>408</v>
      </c>
      <c r="K4" s="77" t="s">
        <v>407</v>
      </c>
      <c r="L4" s="77" t="s">
        <v>409</v>
      </c>
      <c r="M4" s="77" t="s">
        <v>61</v>
      </c>
      <c r="N4" s="77" t="s">
        <v>410</v>
      </c>
      <c r="O4" s="80" t="s">
        <v>139</v>
      </c>
      <c r="P4" s="80">
        <v>7</v>
      </c>
      <c r="Q4" s="77" t="s">
        <v>411</v>
      </c>
      <c r="R4" s="80"/>
      <c r="S4" s="80"/>
      <c r="T4" s="80"/>
      <c r="U4" s="80"/>
      <c r="V4" s="80"/>
      <c r="W4" s="80"/>
      <c r="X4" s="80"/>
      <c r="Y4" s="80"/>
      <c r="Z4" s="80"/>
      <c r="AA4" s="80"/>
      <c r="AB4" s="77" t="s">
        <v>412</v>
      </c>
      <c r="AC4" s="77" t="s">
        <v>69</v>
      </c>
      <c r="AD4" s="77" t="s">
        <v>413</v>
      </c>
      <c r="AE4" s="80" t="s">
        <v>414</v>
      </c>
      <c r="AF4" s="77" t="s">
        <v>415</v>
      </c>
      <c r="AG4" s="77" t="s">
        <v>73</v>
      </c>
      <c r="AH4" s="77" t="s">
        <v>416</v>
      </c>
      <c r="AI4" s="80">
        <v>9</v>
      </c>
      <c r="AJ4" s="91">
        <v>45664</v>
      </c>
      <c r="AK4" s="178">
        <v>0.58333333333333337</v>
      </c>
      <c r="AL4" s="91"/>
      <c r="AM4" s="178"/>
      <c r="AN4" s="91">
        <v>45667</v>
      </c>
      <c r="AO4" s="178">
        <v>0.59781249999999997</v>
      </c>
      <c r="AP4" s="80">
        <v>2025</v>
      </c>
      <c r="AQ4" s="93">
        <v>2</v>
      </c>
      <c r="AR4" s="93">
        <v>2</v>
      </c>
      <c r="AS4" s="93">
        <v>7</v>
      </c>
      <c r="AT4" s="94">
        <v>7</v>
      </c>
      <c r="AU4" s="95">
        <v>45664.583333333336</v>
      </c>
      <c r="AV4" s="80">
        <v>135</v>
      </c>
      <c r="AW4" t="s">
        <v>411</v>
      </c>
      <c r="AX4" s="77"/>
      <c r="AY4" s="77" t="s">
        <v>417</v>
      </c>
      <c r="AZ4" s="77" t="s">
        <v>61</v>
      </c>
      <c r="BA4" s="80" t="s">
        <v>586</v>
      </c>
      <c r="BB4" s="77" t="s">
        <v>78</v>
      </c>
      <c r="BC4" s="114" t="s">
        <v>408</v>
      </c>
    </row>
    <row r="5" spans="1:55" x14ac:dyDescent="0.25">
      <c r="A5" s="80" t="s">
        <v>349</v>
      </c>
      <c r="B5" s="91">
        <v>45670</v>
      </c>
      <c r="C5" s="77" t="s">
        <v>55</v>
      </c>
      <c r="D5" s="92">
        <v>0.5</v>
      </c>
      <c r="E5" s="92">
        <v>0.50347222222222221</v>
      </c>
      <c r="F5" s="175" t="s">
        <v>459</v>
      </c>
      <c r="G5" s="175" t="s">
        <v>817</v>
      </c>
      <c r="H5" s="77" t="s">
        <v>350</v>
      </c>
      <c r="I5" s="77" t="s">
        <v>351</v>
      </c>
      <c r="J5" s="77" t="s">
        <v>353</v>
      </c>
      <c r="K5" s="77" t="s">
        <v>352</v>
      </c>
      <c r="L5" s="77" t="s">
        <v>354</v>
      </c>
      <c r="M5" s="77" t="s">
        <v>355</v>
      </c>
      <c r="N5" s="77" t="s">
        <v>356</v>
      </c>
      <c r="O5" s="80" t="s">
        <v>87</v>
      </c>
      <c r="P5" s="80">
        <v>8</v>
      </c>
      <c r="Q5" s="77" t="s">
        <v>357</v>
      </c>
      <c r="R5" s="80"/>
      <c r="S5" s="80"/>
      <c r="T5" s="80"/>
      <c r="U5" s="80"/>
      <c r="V5" s="80"/>
      <c r="W5" s="80"/>
      <c r="X5" s="80"/>
      <c r="Y5" s="80"/>
      <c r="Z5" s="80"/>
      <c r="AA5" s="80"/>
      <c r="AB5" s="77" t="s">
        <v>163</v>
      </c>
      <c r="AC5" s="77" t="s">
        <v>69</v>
      </c>
      <c r="AD5" s="77" t="s">
        <v>358</v>
      </c>
      <c r="AE5" s="80" t="s">
        <v>359</v>
      </c>
      <c r="AF5" s="77" t="s">
        <v>360</v>
      </c>
      <c r="AG5" s="77" t="s">
        <v>128</v>
      </c>
      <c r="AH5" s="77" t="s">
        <v>361</v>
      </c>
      <c r="AI5" s="80">
        <v>9</v>
      </c>
      <c r="AJ5" s="91">
        <v>45670</v>
      </c>
      <c r="AK5" s="178">
        <v>0.50347222222222221</v>
      </c>
      <c r="AL5" s="91"/>
      <c r="AM5" s="178"/>
      <c r="AN5" s="91">
        <v>45670</v>
      </c>
      <c r="AO5" s="178">
        <v>0.50537037037037036</v>
      </c>
      <c r="AP5" s="80">
        <v>2025</v>
      </c>
      <c r="AQ5" s="93">
        <v>3</v>
      </c>
      <c r="AR5" s="93">
        <v>3</v>
      </c>
      <c r="AS5" s="93">
        <v>13</v>
      </c>
      <c r="AT5" s="94">
        <v>13</v>
      </c>
      <c r="AU5" s="95">
        <v>45670.503472222219</v>
      </c>
      <c r="AV5" s="80">
        <v>204</v>
      </c>
      <c r="AW5" t="s">
        <v>357</v>
      </c>
      <c r="AX5" s="77"/>
      <c r="AY5" s="77" t="s">
        <v>362</v>
      </c>
      <c r="AZ5" s="77" t="s">
        <v>363</v>
      </c>
      <c r="BA5" s="80" t="s">
        <v>586</v>
      </c>
      <c r="BB5" s="77" t="s">
        <v>78</v>
      </c>
      <c r="BC5" s="114" t="s">
        <v>353</v>
      </c>
    </row>
    <row r="6" spans="1:55" x14ac:dyDescent="0.25">
      <c r="A6" s="80" t="s">
        <v>191</v>
      </c>
      <c r="B6" s="91">
        <v>45671</v>
      </c>
      <c r="C6" s="77" t="s">
        <v>146</v>
      </c>
      <c r="D6" s="92">
        <v>0.45833333333333331</v>
      </c>
      <c r="E6" s="92">
        <v>0.46388888888888891</v>
      </c>
      <c r="F6" s="175" t="s">
        <v>460</v>
      </c>
      <c r="G6" s="175" t="s">
        <v>817</v>
      </c>
      <c r="H6" s="77" t="s">
        <v>193</v>
      </c>
      <c r="I6" s="77" t="s">
        <v>194</v>
      </c>
      <c r="J6" s="77" t="s">
        <v>195</v>
      </c>
      <c r="K6" s="77" t="s">
        <v>137</v>
      </c>
      <c r="L6" s="77" t="s">
        <v>196</v>
      </c>
      <c r="M6" s="77" t="s">
        <v>197</v>
      </c>
      <c r="N6" s="77" t="s">
        <v>198</v>
      </c>
      <c r="O6" s="80" t="s">
        <v>199</v>
      </c>
      <c r="P6" s="80">
        <v>9</v>
      </c>
      <c r="Q6" s="77" t="s">
        <v>200</v>
      </c>
      <c r="R6" s="80"/>
      <c r="S6" s="80"/>
      <c r="T6" s="80"/>
      <c r="U6" s="80"/>
      <c r="V6" s="80"/>
      <c r="W6" s="80"/>
      <c r="X6" s="80"/>
      <c r="Y6" s="80"/>
      <c r="Z6" s="80"/>
      <c r="AA6" s="80"/>
      <c r="AB6" s="77" t="s">
        <v>201</v>
      </c>
      <c r="AC6" s="77" t="s">
        <v>69</v>
      </c>
      <c r="AD6" s="77" t="s">
        <v>202</v>
      </c>
      <c r="AE6" s="80" t="s">
        <v>165</v>
      </c>
      <c r="AF6" s="77" t="s">
        <v>166</v>
      </c>
      <c r="AG6" s="77" t="s">
        <v>203</v>
      </c>
      <c r="AH6" s="77" t="s">
        <v>142</v>
      </c>
      <c r="AI6" s="80">
        <v>9</v>
      </c>
      <c r="AJ6" s="91">
        <v>45671</v>
      </c>
      <c r="AK6" s="178">
        <v>0.46388888888888891</v>
      </c>
      <c r="AL6" s="91"/>
      <c r="AM6" s="178"/>
      <c r="AN6" s="91">
        <v>45671</v>
      </c>
      <c r="AO6" s="178">
        <v>0.46740740740740738</v>
      </c>
      <c r="AP6" s="80">
        <v>2025</v>
      </c>
      <c r="AQ6" s="93">
        <v>3</v>
      </c>
      <c r="AR6" s="93">
        <v>3</v>
      </c>
      <c r="AS6" s="93">
        <v>14</v>
      </c>
      <c r="AT6" s="94">
        <v>14</v>
      </c>
      <c r="AU6" s="95">
        <v>45671.463888888888</v>
      </c>
      <c r="AV6" s="80">
        <v>895</v>
      </c>
      <c r="AW6" t="s">
        <v>200</v>
      </c>
      <c r="AX6" s="77"/>
      <c r="AY6" s="77" t="s">
        <v>204</v>
      </c>
      <c r="AZ6" s="77" t="s">
        <v>61</v>
      </c>
      <c r="BA6" s="80" t="s">
        <v>585</v>
      </c>
      <c r="BB6" s="77" t="s">
        <v>155</v>
      </c>
      <c r="BC6" s="114" t="s">
        <v>195</v>
      </c>
    </row>
    <row r="7" spans="1:55" x14ac:dyDescent="0.25">
      <c r="A7" s="80" t="s">
        <v>364</v>
      </c>
      <c r="B7" s="91">
        <v>45671</v>
      </c>
      <c r="C7" s="77" t="s">
        <v>55</v>
      </c>
      <c r="D7" s="92">
        <v>0.625</v>
      </c>
      <c r="E7" s="92">
        <v>0.64067129629629627</v>
      </c>
      <c r="F7" s="175" t="s">
        <v>460</v>
      </c>
      <c r="G7" s="175" t="s">
        <v>817</v>
      </c>
      <c r="H7" s="77" t="s">
        <v>365</v>
      </c>
      <c r="I7" s="77" t="s">
        <v>366</v>
      </c>
      <c r="J7" s="77" t="s">
        <v>367</v>
      </c>
      <c r="K7" s="77" t="s">
        <v>355</v>
      </c>
      <c r="L7" s="77" t="s">
        <v>368</v>
      </c>
      <c r="M7" s="77" t="s">
        <v>369</v>
      </c>
      <c r="N7" s="77" t="s">
        <v>370</v>
      </c>
      <c r="O7" s="80" t="s">
        <v>371</v>
      </c>
      <c r="P7" s="80">
        <v>9</v>
      </c>
      <c r="Q7" s="77" t="s">
        <v>372</v>
      </c>
      <c r="R7" s="80"/>
      <c r="S7" s="80"/>
      <c r="T7" s="80" t="s">
        <v>373</v>
      </c>
      <c r="U7" s="80" t="s">
        <v>374</v>
      </c>
      <c r="V7" s="80" t="s">
        <v>375</v>
      </c>
      <c r="W7" s="80" t="s">
        <v>67</v>
      </c>
      <c r="X7" s="80"/>
      <c r="Y7" s="80"/>
      <c r="Z7" s="80"/>
      <c r="AA7" s="80"/>
      <c r="AB7" s="77" t="s">
        <v>124</v>
      </c>
      <c r="AC7" s="77" t="s">
        <v>69</v>
      </c>
      <c r="AD7" s="77" t="s">
        <v>227</v>
      </c>
      <c r="AE7" s="80" t="s">
        <v>376</v>
      </c>
      <c r="AF7" s="77" t="s">
        <v>166</v>
      </c>
      <c r="AG7" s="77" t="s">
        <v>128</v>
      </c>
      <c r="AH7" s="77" t="s">
        <v>361</v>
      </c>
      <c r="AI7" s="80">
        <v>9</v>
      </c>
      <c r="AJ7" s="91">
        <v>45671</v>
      </c>
      <c r="AK7" s="178">
        <v>0.64067129629629627</v>
      </c>
      <c r="AL7" s="91"/>
      <c r="AM7" s="178"/>
      <c r="AN7" s="91">
        <v>45671</v>
      </c>
      <c r="AO7" s="178">
        <v>0.64067129629629627</v>
      </c>
      <c r="AP7" s="80">
        <v>2025</v>
      </c>
      <c r="AQ7" s="93">
        <v>3</v>
      </c>
      <c r="AR7" s="93">
        <v>3</v>
      </c>
      <c r="AS7" s="93">
        <v>14</v>
      </c>
      <c r="AT7" s="94">
        <v>14</v>
      </c>
      <c r="AU7" s="95">
        <v>45671.640277777777</v>
      </c>
      <c r="AV7" s="80">
        <v>450</v>
      </c>
      <c r="AW7" t="s">
        <v>372</v>
      </c>
      <c r="AX7" s="77" t="s">
        <v>377</v>
      </c>
      <c r="AY7" s="77" t="s">
        <v>61</v>
      </c>
      <c r="AZ7" s="77" t="s">
        <v>378</v>
      </c>
      <c r="BA7" s="80" t="s">
        <v>585</v>
      </c>
      <c r="BB7" s="77" t="s">
        <v>78</v>
      </c>
      <c r="BC7" s="114" t="s">
        <v>367</v>
      </c>
    </row>
    <row r="8" spans="1:55" x14ac:dyDescent="0.25">
      <c r="A8" s="80" t="s">
        <v>232</v>
      </c>
      <c r="B8" s="91">
        <v>45672</v>
      </c>
      <c r="C8" s="77" t="s">
        <v>55</v>
      </c>
      <c r="D8" s="92">
        <v>0.5</v>
      </c>
      <c r="E8" s="92">
        <v>0.53988425925925931</v>
      </c>
      <c r="F8" s="175" t="s">
        <v>461</v>
      </c>
      <c r="G8" s="175" t="s">
        <v>817</v>
      </c>
      <c r="H8" s="77" t="s">
        <v>233</v>
      </c>
      <c r="I8" s="77" t="s">
        <v>234</v>
      </c>
      <c r="J8" s="77" t="s">
        <v>221</v>
      </c>
      <c r="K8" s="77" t="s">
        <v>221</v>
      </c>
      <c r="L8" s="77" t="s">
        <v>61</v>
      </c>
      <c r="M8" s="77" t="s">
        <v>61</v>
      </c>
      <c r="N8" s="77" t="s">
        <v>235</v>
      </c>
      <c r="O8" s="80" t="s">
        <v>87</v>
      </c>
      <c r="P8" s="80">
        <v>8</v>
      </c>
      <c r="Q8" s="77" t="s">
        <v>236</v>
      </c>
      <c r="R8" s="80"/>
      <c r="S8" s="80"/>
      <c r="T8" s="80" t="s">
        <v>237</v>
      </c>
      <c r="U8" s="80" t="s">
        <v>65</v>
      </c>
      <c r="V8" s="80" t="s">
        <v>238</v>
      </c>
      <c r="W8" s="80" t="s">
        <v>67</v>
      </c>
      <c r="X8" s="80"/>
      <c r="Y8" s="80"/>
      <c r="Z8" s="80"/>
      <c r="AA8" s="80"/>
      <c r="AB8" s="77" t="s">
        <v>124</v>
      </c>
      <c r="AC8" s="77" t="s">
        <v>69</v>
      </c>
      <c r="AD8" s="77" t="s">
        <v>239</v>
      </c>
      <c r="AE8" s="80" t="s">
        <v>240</v>
      </c>
      <c r="AF8" s="77" t="s">
        <v>72</v>
      </c>
      <c r="AG8" s="77" t="s">
        <v>73</v>
      </c>
      <c r="AH8" s="77" t="s">
        <v>229</v>
      </c>
      <c r="AI8" s="80">
        <v>9</v>
      </c>
      <c r="AJ8" s="91">
        <v>45672</v>
      </c>
      <c r="AK8" s="178">
        <v>0.53988425925925931</v>
      </c>
      <c r="AL8" s="91"/>
      <c r="AM8" s="178"/>
      <c r="AN8" s="91">
        <v>45672</v>
      </c>
      <c r="AO8" s="178">
        <v>0.53988425925925931</v>
      </c>
      <c r="AP8" s="80">
        <v>2025</v>
      </c>
      <c r="AQ8" s="93">
        <v>3</v>
      </c>
      <c r="AR8" s="93">
        <v>3</v>
      </c>
      <c r="AS8" s="93">
        <v>15</v>
      </c>
      <c r="AT8" s="94">
        <v>15</v>
      </c>
      <c r="AU8" s="95">
        <v>45672.539583333331</v>
      </c>
      <c r="AV8" s="80">
        <v>244</v>
      </c>
      <c r="AW8" t="s">
        <v>236</v>
      </c>
      <c r="AX8" s="77" t="s">
        <v>241</v>
      </c>
      <c r="AY8" s="77" t="s">
        <v>242</v>
      </c>
      <c r="AZ8" s="77" t="s">
        <v>243</v>
      </c>
      <c r="BA8" s="80" t="s">
        <v>585</v>
      </c>
      <c r="BB8" s="77" t="s">
        <v>78</v>
      </c>
      <c r="BC8" s="114" t="s">
        <v>221</v>
      </c>
    </row>
    <row r="9" spans="1:55" x14ac:dyDescent="0.25">
      <c r="A9" s="80" t="s">
        <v>134</v>
      </c>
      <c r="B9" s="91">
        <v>45673</v>
      </c>
      <c r="C9" s="77" t="s">
        <v>55</v>
      </c>
      <c r="D9" s="92">
        <v>0.5</v>
      </c>
      <c r="E9" s="92">
        <v>0.5</v>
      </c>
      <c r="F9" s="175" t="s">
        <v>818</v>
      </c>
      <c r="G9" s="175" t="s">
        <v>817</v>
      </c>
      <c r="H9" s="77" t="s">
        <v>135</v>
      </c>
      <c r="I9" s="77" t="s">
        <v>136</v>
      </c>
      <c r="J9" s="77" t="s">
        <v>137</v>
      </c>
      <c r="K9" s="77" t="s">
        <v>137</v>
      </c>
      <c r="L9" s="77" t="s">
        <v>61</v>
      </c>
      <c r="M9" s="77" t="s">
        <v>61</v>
      </c>
      <c r="N9" s="77" t="s">
        <v>138</v>
      </c>
      <c r="O9" s="80" t="s">
        <v>139</v>
      </c>
      <c r="P9" s="80">
        <v>7</v>
      </c>
      <c r="Q9" s="77" t="s">
        <v>140</v>
      </c>
      <c r="R9" s="80"/>
      <c r="S9" s="80"/>
      <c r="T9" s="80"/>
      <c r="U9" s="80"/>
      <c r="V9" s="80"/>
      <c r="W9" s="80"/>
      <c r="X9" s="80"/>
      <c r="Y9" s="80"/>
      <c r="Z9" s="80"/>
      <c r="AA9" s="80"/>
      <c r="AB9" s="77" t="s">
        <v>68</v>
      </c>
      <c r="AC9" s="77" t="s">
        <v>69</v>
      </c>
      <c r="AD9" s="77" t="s">
        <v>141</v>
      </c>
      <c r="AE9" s="80" t="s">
        <v>71</v>
      </c>
      <c r="AF9" s="77" t="s">
        <v>72</v>
      </c>
      <c r="AG9" s="77" t="s">
        <v>73</v>
      </c>
      <c r="AH9" s="77" t="s">
        <v>142</v>
      </c>
      <c r="AI9" s="80">
        <v>9</v>
      </c>
      <c r="AJ9" s="91">
        <v>45673</v>
      </c>
      <c r="AK9" s="178">
        <v>0.5</v>
      </c>
      <c r="AL9" s="91">
        <v>45673</v>
      </c>
      <c r="AM9" s="178">
        <v>0.75</v>
      </c>
      <c r="AN9" s="91">
        <v>45673</v>
      </c>
      <c r="AO9" s="178">
        <v>0.81587962962962968</v>
      </c>
      <c r="AP9" s="80">
        <v>2025</v>
      </c>
      <c r="AQ9" s="93">
        <v>3</v>
      </c>
      <c r="AR9" s="93">
        <v>3</v>
      </c>
      <c r="AS9" s="93">
        <v>16</v>
      </c>
      <c r="AT9" s="94">
        <v>16</v>
      </c>
      <c r="AU9" s="95">
        <v>45673.5</v>
      </c>
      <c r="AV9" s="80">
        <v>30</v>
      </c>
      <c r="AW9" t="s">
        <v>140</v>
      </c>
      <c r="AX9" s="77"/>
      <c r="AY9" s="77" t="s">
        <v>143</v>
      </c>
      <c r="AZ9" s="77" t="s">
        <v>144</v>
      </c>
      <c r="BA9" s="80" t="s">
        <v>585</v>
      </c>
      <c r="BB9" s="77" t="s">
        <v>78</v>
      </c>
      <c r="BC9" s="114" t="s">
        <v>137</v>
      </c>
    </row>
    <row r="10" spans="1:55" x14ac:dyDescent="0.25">
      <c r="A10" s="80" t="s">
        <v>379</v>
      </c>
      <c r="B10" s="91">
        <v>45673</v>
      </c>
      <c r="C10" s="77" t="s">
        <v>100</v>
      </c>
      <c r="D10" s="92">
        <v>0.875</v>
      </c>
      <c r="E10" s="92">
        <v>0.87708333333333333</v>
      </c>
      <c r="F10" s="175" t="s">
        <v>818</v>
      </c>
      <c r="G10" s="175" t="s">
        <v>817</v>
      </c>
      <c r="H10" s="77" t="s">
        <v>380</v>
      </c>
      <c r="I10" s="77" t="s">
        <v>381</v>
      </c>
      <c r="J10" s="77" t="s">
        <v>355</v>
      </c>
      <c r="K10" s="77" t="s">
        <v>355</v>
      </c>
      <c r="L10" s="77" t="s">
        <v>61</v>
      </c>
      <c r="M10" s="77" t="s">
        <v>61</v>
      </c>
      <c r="N10" s="77" t="s">
        <v>382</v>
      </c>
      <c r="O10" s="80" t="s">
        <v>185</v>
      </c>
      <c r="P10" s="80">
        <v>9</v>
      </c>
      <c r="Q10" s="77" t="s">
        <v>383</v>
      </c>
      <c r="R10" s="80"/>
      <c r="S10" s="80"/>
      <c r="T10" s="80"/>
      <c r="U10" s="80" t="s">
        <v>384</v>
      </c>
      <c r="V10" s="80" t="s">
        <v>385</v>
      </c>
      <c r="W10" s="80"/>
      <c r="X10" s="80"/>
      <c r="Y10" s="80"/>
      <c r="Z10" s="80"/>
      <c r="AA10" s="80"/>
      <c r="AB10" s="77" t="s">
        <v>68</v>
      </c>
      <c r="AC10" s="77" t="s">
        <v>69</v>
      </c>
      <c r="AD10" s="77" t="s">
        <v>92</v>
      </c>
      <c r="AE10" s="80" t="s">
        <v>93</v>
      </c>
      <c r="AF10" s="77" t="s">
        <v>386</v>
      </c>
      <c r="AG10" s="77" t="s">
        <v>203</v>
      </c>
      <c r="AH10" s="77" t="s">
        <v>361</v>
      </c>
      <c r="AI10" s="80">
        <v>9</v>
      </c>
      <c r="AJ10" s="91">
        <v>45673</v>
      </c>
      <c r="AK10" s="178">
        <v>0.87708333333333333</v>
      </c>
      <c r="AL10" s="91">
        <v>45673</v>
      </c>
      <c r="AM10" s="178">
        <v>0.88611111111111107</v>
      </c>
      <c r="AN10" s="91">
        <v>45674</v>
      </c>
      <c r="AO10" s="178">
        <v>0.51179398148148147</v>
      </c>
      <c r="AP10" s="80">
        <v>2025</v>
      </c>
      <c r="AQ10" s="93">
        <v>3</v>
      </c>
      <c r="AR10" s="93">
        <v>3</v>
      </c>
      <c r="AS10" s="93">
        <v>16</v>
      </c>
      <c r="AT10" s="94">
        <v>16</v>
      </c>
      <c r="AU10" s="95">
        <v>45673.877083333333</v>
      </c>
      <c r="AV10" s="80">
        <v>630</v>
      </c>
      <c r="AW10" t="s">
        <v>383</v>
      </c>
      <c r="AX10" s="77" t="s">
        <v>387</v>
      </c>
      <c r="AY10" s="77" t="s">
        <v>388</v>
      </c>
      <c r="AZ10" s="77" t="s">
        <v>389</v>
      </c>
      <c r="BA10" s="80" t="s">
        <v>585</v>
      </c>
      <c r="BB10" s="77" t="s">
        <v>113</v>
      </c>
      <c r="BC10" s="114" t="s">
        <v>355</v>
      </c>
    </row>
    <row r="11" spans="1:55" x14ac:dyDescent="0.25">
      <c r="A11" s="80" t="s">
        <v>205</v>
      </c>
      <c r="B11" s="91">
        <v>45673</v>
      </c>
      <c r="C11" s="77" t="s">
        <v>100</v>
      </c>
      <c r="D11" s="92">
        <v>0.83333333333333337</v>
      </c>
      <c r="E11" s="92">
        <v>0.83333333333333337</v>
      </c>
      <c r="F11" s="175" t="s">
        <v>818</v>
      </c>
      <c r="G11" s="175" t="s">
        <v>817</v>
      </c>
      <c r="H11" s="77" t="s">
        <v>206</v>
      </c>
      <c r="I11" s="77" t="s">
        <v>207</v>
      </c>
      <c r="J11" s="77" t="s">
        <v>209</v>
      </c>
      <c r="K11" s="77" t="s">
        <v>208</v>
      </c>
      <c r="L11" s="77" t="s">
        <v>137</v>
      </c>
      <c r="M11" s="77" t="s">
        <v>196</v>
      </c>
      <c r="N11" s="77" t="s">
        <v>210</v>
      </c>
      <c r="O11" s="80" t="s">
        <v>211</v>
      </c>
      <c r="P11" s="80">
        <v>5</v>
      </c>
      <c r="Q11" s="77" t="s">
        <v>212</v>
      </c>
      <c r="R11" s="80"/>
      <c r="S11" s="80"/>
      <c r="T11" s="80"/>
      <c r="U11" s="80"/>
      <c r="V11" s="80"/>
      <c r="W11" s="80"/>
      <c r="X11" s="80"/>
      <c r="Y11" s="80"/>
      <c r="Z11" s="80"/>
      <c r="AA11" s="80"/>
      <c r="AB11" s="77" t="s">
        <v>91</v>
      </c>
      <c r="AC11" s="77" t="s">
        <v>69</v>
      </c>
      <c r="AD11" s="77" t="s">
        <v>213</v>
      </c>
      <c r="AE11" s="80" t="s">
        <v>214</v>
      </c>
      <c r="AF11" s="77"/>
      <c r="AG11" s="77"/>
      <c r="AH11" s="77" t="s">
        <v>142</v>
      </c>
      <c r="AI11" s="80">
        <v>9</v>
      </c>
      <c r="AJ11" s="91">
        <v>45673</v>
      </c>
      <c r="AK11" s="178">
        <v>0.83333333333333337</v>
      </c>
      <c r="AL11" s="91"/>
      <c r="AM11" s="178"/>
      <c r="AN11" s="91">
        <v>45673</v>
      </c>
      <c r="AO11" s="178">
        <v>9.0057870370370371E-2</v>
      </c>
      <c r="AP11" s="80">
        <v>2025</v>
      </c>
      <c r="AQ11" s="93">
        <v>3</v>
      </c>
      <c r="AR11" s="93">
        <v>3</v>
      </c>
      <c r="AS11" s="93">
        <v>16</v>
      </c>
      <c r="AT11" s="94">
        <v>16</v>
      </c>
      <c r="AU11" s="95">
        <v>45673.833333333336</v>
      </c>
      <c r="AV11" s="80">
        <v>152</v>
      </c>
      <c r="AW11" t="s">
        <v>212</v>
      </c>
      <c r="AX11" s="77"/>
      <c r="AY11" s="77" t="s">
        <v>215</v>
      </c>
      <c r="AZ11" s="77" t="s">
        <v>216</v>
      </c>
      <c r="BA11" s="80" t="s">
        <v>585</v>
      </c>
      <c r="BB11" s="77" t="s">
        <v>113</v>
      </c>
      <c r="BC11" s="114" t="s">
        <v>209</v>
      </c>
    </row>
    <row r="12" spans="1:55" x14ac:dyDescent="0.25">
      <c r="A12" s="80" t="s">
        <v>244</v>
      </c>
      <c r="B12" s="91">
        <v>45678</v>
      </c>
      <c r="C12" s="77" t="s">
        <v>80</v>
      </c>
      <c r="D12" s="92">
        <v>0.79166666666666663</v>
      </c>
      <c r="E12" s="92">
        <v>0.79166666666666663</v>
      </c>
      <c r="F12" s="175" t="s">
        <v>460</v>
      </c>
      <c r="G12" s="175" t="s">
        <v>817</v>
      </c>
      <c r="H12" s="77" t="s">
        <v>245</v>
      </c>
      <c r="I12" s="77" t="s">
        <v>246</v>
      </c>
      <c r="J12" s="77" t="s">
        <v>221</v>
      </c>
      <c r="K12" s="77" t="s">
        <v>221</v>
      </c>
      <c r="L12" s="77" t="s">
        <v>61</v>
      </c>
      <c r="M12" s="77" t="s">
        <v>61</v>
      </c>
      <c r="N12" s="77" t="s">
        <v>247</v>
      </c>
      <c r="O12" s="80" t="s">
        <v>185</v>
      </c>
      <c r="P12" s="80">
        <v>9</v>
      </c>
      <c r="Q12" s="77" t="s">
        <v>248</v>
      </c>
      <c r="R12" s="80"/>
      <c r="S12" s="80"/>
      <c r="T12" s="80" t="s">
        <v>249</v>
      </c>
      <c r="U12" s="80" t="s">
        <v>65</v>
      </c>
      <c r="V12" s="80" t="s">
        <v>250</v>
      </c>
      <c r="W12" s="80" t="s">
        <v>67</v>
      </c>
      <c r="X12" s="80"/>
      <c r="Y12" s="80"/>
      <c r="Z12" s="80"/>
      <c r="AA12" s="80"/>
      <c r="AB12" s="77" t="s">
        <v>251</v>
      </c>
      <c r="AC12" s="77" t="s">
        <v>69</v>
      </c>
      <c r="AD12" s="77" t="s">
        <v>252</v>
      </c>
      <c r="AE12" s="80" t="s">
        <v>214</v>
      </c>
      <c r="AF12" s="77" t="s">
        <v>166</v>
      </c>
      <c r="AG12" s="77" t="s">
        <v>73</v>
      </c>
      <c r="AH12" s="77" t="s">
        <v>229</v>
      </c>
      <c r="AI12" s="80">
        <v>9</v>
      </c>
      <c r="AJ12" s="91">
        <v>45678</v>
      </c>
      <c r="AK12" s="178">
        <v>0.79166666666666663</v>
      </c>
      <c r="AL12" s="91">
        <v>45679</v>
      </c>
      <c r="AM12" s="178">
        <v>0.13125000000000001</v>
      </c>
      <c r="AN12" s="91">
        <v>45679</v>
      </c>
      <c r="AO12" s="178">
        <v>0.13255787037037037</v>
      </c>
      <c r="AP12" s="80">
        <v>2025</v>
      </c>
      <c r="AQ12" s="93">
        <v>4</v>
      </c>
      <c r="AR12" s="93">
        <v>4</v>
      </c>
      <c r="AS12" s="93">
        <v>21</v>
      </c>
      <c r="AT12" s="94">
        <v>21</v>
      </c>
      <c r="AU12" s="95">
        <v>45678.791666666664</v>
      </c>
      <c r="AV12" s="80">
        <v>33</v>
      </c>
      <c r="AW12" t="s">
        <v>248</v>
      </c>
      <c r="AX12" s="77" t="s">
        <v>253</v>
      </c>
      <c r="AY12" s="77" t="s">
        <v>61</v>
      </c>
      <c r="AZ12" s="77" t="s">
        <v>61</v>
      </c>
      <c r="BA12" s="80" t="s">
        <v>584</v>
      </c>
      <c r="BB12" s="77" t="s">
        <v>98</v>
      </c>
      <c r="BC12" s="114" t="s">
        <v>221</v>
      </c>
    </row>
    <row r="13" spans="1:55" x14ac:dyDescent="0.25">
      <c r="A13" s="80" t="s">
        <v>254</v>
      </c>
      <c r="B13" s="91">
        <v>45679</v>
      </c>
      <c r="C13" s="77" t="s">
        <v>146</v>
      </c>
      <c r="D13" s="92">
        <v>0.33333333333333331</v>
      </c>
      <c r="E13" s="92">
        <v>0.33333333333333331</v>
      </c>
      <c r="F13" s="175" t="s">
        <v>461</v>
      </c>
      <c r="G13" s="175" t="s">
        <v>817</v>
      </c>
      <c r="H13" s="77" t="s">
        <v>255</v>
      </c>
      <c r="I13" s="77" t="s">
        <v>256</v>
      </c>
      <c r="J13" s="77" t="s">
        <v>221</v>
      </c>
      <c r="K13" s="77" t="s">
        <v>221</v>
      </c>
      <c r="L13" s="77" t="s">
        <v>61</v>
      </c>
      <c r="M13" s="77" t="s">
        <v>61</v>
      </c>
      <c r="N13" s="77" t="s">
        <v>257</v>
      </c>
      <c r="O13" s="80" t="s">
        <v>258</v>
      </c>
      <c r="P13" s="80">
        <v>5</v>
      </c>
      <c r="Q13" s="77" t="s">
        <v>259</v>
      </c>
      <c r="R13" s="80"/>
      <c r="S13" s="80"/>
      <c r="T13" s="80" t="s">
        <v>260</v>
      </c>
      <c r="U13" s="80" t="s">
        <v>261</v>
      </c>
      <c r="V13" s="80" t="s">
        <v>262</v>
      </c>
      <c r="W13" s="80" t="s">
        <v>67</v>
      </c>
      <c r="X13" s="80"/>
      <c r="Y13" s="80"/>
      <c r="Z13" s="80"/>
      <c r="AA13" s="80"/>
      <c r="AB13" s="77" t="s">
        <v>124</v>
      </c>
      <c r="AC13" s="77" t="s">
        <v>69</v>
      </c>
      <c r="AD13" s="77" t="s">
        <v>252</v>
      </c>
      <c r="AE13" s="80" t="s">
        <v>214</v>
      </c>
      <c r="AF13" s="77" t="s">
        <v>127</v>
      </c>
      <c r="AG13" s="77" t="s">
        <v>73</v>
      </c>
      <c r="AH13" s="77" t="s">
        <v>229</v>
      </c>
      <c r="AI13" s="80">
        <v>9</v>
      </c>
      <c r="AJ13" s="91">
        <v>45679</v>
      </c>
      <c r="AK13" s="178">
        <v>0.33333333333333331</v>
      </c>
      <c r="AL13" s="91">
        <v>45679</v>
      </c>
      <c r="AM13" s="178">
        <v>0.80069444444444449</v>
      </c>
      <c r="AN13" s="91">
        <v>45679</v>
      </c>
      <c r="AO13" s="178">
        <v>0.80203703703703699</v>
      </c>
      <c r="AP13" s="80">
        <v>2025</v>
      </c>
      <c r="AQ13" s="93">
        <v>4</v>
      </c>
      <c r="AR13" s="93">
        <v>4</v>
      </c>
      <c r="AS13" s="93">
        <v>22</v>
      </c>
      <c r="AT13" s="94">
        <v>22</v>
      </c>
      <c r="AU13" s="95">
        <v>45679.333333333336</v>
      </c>
      <c r="AV13" s="80">
        <v>443</v>
      </c>
      <c r="AW13" t="s">
        <v>259</v>
      </c>
      <c r="AX13" s="77" t="s">
        <v>263</v>
      </c>
      <c r="AY13" s="77" t="s">
        <v>61</v>
      </c>
      <c r="AZ13" s="77" t="s">
        <v>61</v>
      </c>
      <c r="BA13" s="80" t="s">
        <v>584</v>
      </c>
      <c r="BB13" s="77" t="s">
        <v>155</v>
      </c>
      <c r="BC13" s="114" t="s">
        <v>221</v>
      </c>
    </row>
    <row r="14" spans="1:55" x14ac:dyDescent="0.25">
      <c r="A14" s="80" t="s">
        <v>418</v>
      </c>
      <c r="B14" s="91">
        <v>45680</v>
      </c>
      <c r="C14" s="77" t="s">
        <v>55</v>
      </c>
      <c r="D14" s="92">
        <v>0.625</v>
      </c>
      <c r="E14" s="92">
        <v>0.625</v>
      </c>
      <c r="F14" s="175" t="s">
        <v>818</v>
      </c>
      <c r="G14" s="175" t="s">
        <v>817</v>
      </c>
      <c r="H14" s="77" t="s">
        <v>419</v>
      </c>
      <c r="I14" s="77" t="s">
        <v>420</v>
      </c>
      <c r="J14" s="77" t="s">
        <v>422</v>
      </c>
      <c r="K14" s="77" t="s">
        <v>421</v>
      </c>
      <c r="L14" s="77" t="s">
        <v>409</v>
      </c>
      <c r="M14" s="77" t="s">
        <v>61</v>
      </c>
      <c r="N14" s="77" t="s">
        <v>423</v>
      </c>
      <c r="O14" s="80" t="s">
        <v>87</v>
      </c>
      <c r="P14" s="80">
        <v>8</v>
      </c>
      <c r="Q14" s="77" t="s">
        <v>424</v>
      </c>
      <c r="R14" s="80"/>
      <c r="S14" s="80"/>
      <c r="T14" s="80"/>
      <c r="U14" s="80"/>
      <c r="V14" s="80"/>
      <c r="W14" s="80"/>
      <c r="X14" s="80"/>
      <c r="Y14" s="80"/>
      <c r="Z14" s="80"/>
      <c r="AA14" s="80"/>
      <c r="AB14" s="77" t="s">
        <v>425</v>
      </c>
      <c r="AC14" s="77" t="s">
        <v>69</v>
      </c>
      <c r="AD14" s="77" t="s">
        <v>360</v>
      </c>
      <c r="AE14" s="80" t="s">
        <v>426</v>
      </c>
      <c r="AF14" s="77" t="s">
        <v>415</v>
      </c>
      <c r="AG14" s="77" t="s">
        <v>427</v>
      </c>
      <c r="AH14" s="77"/>
      <c r="AI14" s="80">
        <v>9</v>
      </c>
      <c r="AJ14" s="91">
        <v>45680</v>
      </c>
      <c r="AK14" s="178">
        <v>0.625</v>
      </c>
      <c r="AL14" s="91"/>
      <c r="AM14" s="178"/>
      <c r="AN14" s="91">
        <v>45680</v>
      </c>
      <c r="AO14" s="178">
        <v>0.66545138888888888</v>
      </c>
      <c r="AP14" s="80">
        <v>2025</v>
      </c>
      <c r="AQ14" s="93">
        <v>4</v>
      </c>
      <c r="AR14" s="93">
        <v>4</v>
      </c>
      <c r="AS14" s="93">
        <v>23</v>
      </c>
      <c r="AT14" s="94">
        <v>23</v>
      </c>
      <c r="AU14" s="95">
        <v>45680.625</v>
      </c>
      <c r="AV14" s="80">
        <v>176</v>
      </c>
      <c r="AW14" t="s">
        <v>424</v>
      </c>
      <c r="AX14" s="77"/>
      <c r="AY14" s="77" t="s">
        <v>428</v>
      </c>
      <c r="AZ14" s="77" t="s">
        <v>61</v>
      </c>
      <c r="BA14" s="80" t="s">
        <v>584</v>
      </c>
      <c r="BB14" s="77" t="s">
        <v>78</v>
      </c>
      <c r="BC14" s="114" t="s">
        <v>422</v>
      </c>
    </row>
    <row r="15" spans="1:55" x14ac:dyDescent="0.25">
      <c r="A15" s="80" t="s">
        <v>79</v>
      </c>
      <c r="B15" s="91">
        <v>45682</v>
      </c>
      <c r="C15" s="77" t="s">
        <v>80</v>
      </c>
      <c r="D15" s="92">
        <v>0.75</v>
      </c>
      <c r="E15" s="92">
        <v>0.76875000000000004</v>
      </c>
      <c r="F15" s="175" t="s">
        <v>464</v>
      </c>
      <c r="G15" s="175" t="s">
        <v>817</v>
      </c>
      <c r="H15" s="77" t="s">
        <v>82</v>
      </c>
      <c r="I15" s="77" t="s">
        <v>83</v>
      </c>
      <c r="J15" s="77" t="s">
        <v>84</v>
      </c>
      <c r="K15" s="77" t="s">
        <v>60</v>
      </c>
      <c r="L15" s="77" t="s">
        <v>85</v>
      </c>
      <c r="M15" s="77" t="s">
        <v>61</v>
      </c>
      <c r="N15" s="77" t="s">
        <v>86</v>
      </c>
      <c r="O15" s="80" t="s">
        <v>87</v>
      </c>
      <c r="P15" s="80">
        <v>8</v>
      </c>
      <c r="Q15" s="77" t="s">
        <v>88</v>
      </c>
      <c r="R15" s="80"/>
      <c r="S15" s="80"/>
      <c r="T15" s="80" t="s">
        <v>89</v>
      </c>
      <c r="U15" s="80" t="s">
        <v>65</v>
      </c>
      <c r="V15" s="80" t="s">
        <v>90</v>
      </c>
      <c r="W15" s="80" t="s">
        <v>67</v>
      </c>
      <c r="X15" s="80"/>
      <c r="Y15" s="80"/>
      <c r="Z15" s="80"/>
      <c r="AA15" s="80"/>
      <c r="AB15" s="77" t="s">
        <v>91</v>
      </c>
      <c r="AC15" s="77" t="s">
        <v>69</v>
      </c>
      <c r="AD15" s="77" t="s">
        <v>92</v>
      </c>
      <c r="AE15" s="80" t="s">
        <v>93</v>
      </c>
      <c r="AF15" s="77" t="s">
        <v>94</v>
      </c>
      <c r="AG15" s="77" t="s">
        <v>95</v>
      </c>
      <c r="AH15" s="77" t="s">
        <v>74</v>
      </c>
      <c r="AI15" s="80">
        <v>9</v>
      </c>
      <c r="AJ15" s="91">
        <v>45682</v>
      </c>
      <c r="AK15" s="178">
        <v>0.76875000000000004</v>
      </c>
      <c r="AL15" s="91"/>
      <c r="AM15" s="178"/>
      <c r="AN15" s="91">
        <v>45683</v>
      </c>
      <c r="AO15" s="178">
        <v>0.44056712962962963</v>
      </c>
      <c r="AP15" s="80">
        <v>2025</v>
      </c>
      <c r="AQ15" s="93">
        <v>4</v>
      </c>
      <c r="AR15" s="93">
        <v>4</v>
      </c>
      <c r="AS15" s="93">
        <v>25</v>
      </c>
      <c r="AT15" s="94">
        <v>25</v>
      </c>
      <c r="AU15" s="95">
        <v>45682.768750000003</v>
      </c>
      <c r="AV15" s="80">
        <v>206</v>
      </c>
      <c r="AW15" t="s">
        <v>88</v>
      </c>
      <c r="AX15" s="77" t="s">
        <v>96</v>
      </c>
      <c r="AY15" s="77" t="s">
        <v>97</v>
      </c>
      <c r="AZ15" s="77" t="s">
        <v>61</v>
      </c>
      <c r="BA15" s="80" t="s">
        <v>584</v>
      </c>
      <c r="BB15" s="77" t="s">
        <v>98</v>
      </c>
      <c r="BC15" s="114" t="s">
        <v>84</v>
      </c>
    </row>
    <row r="16" spans="1:55" x14ac:dyDescent="0.25">
      <c r="A16" s="80" t="s">
        <v>145</v>
      </c>
      <c r="B16" s="91">
        <v>45682</v>
      </c>
      <c r="C16" s="77" t="s">
        <v>146</v>
      </c>
      <c r="D16" s="92">
        <v>0.45833333333333331</v>
      </c>
      <c r="E16" s="92">
        <v>0.45833333333333331</v>
      </c>
      <c r="F16" s="175" t="s">
        <v>464</v>
      </c>
      <c r="G16" s="175" t="s">
        <v>817</v>
      </c>
      <c r="H16" s="77" t="s">
        <v>147</v>
      </c>
      <c r="I16" s="77" t="s">
        <v>148</v>
      </c>
      <c r="J16" s="77" t="s">
        <v>137</v>
      </c>
      <c r="K16" s="77" t="s">
        <v>137</v>
      </c>
      <c r="L16" s="77" t="s">
        <v>61</v>
      </c>
      <c r="M16" s="77" t="s">
        <v>61</v>
      </c>
      <c r="N16" s="77" t="s">
        <v>149</v>
      </c>
      <c r="O16" s="80" t="s">
        <v>150</v>
      </c>
      <c r="P16" s="80">
        <v>5</v>
      </c>
      <c r="Q16" s="77" t="s">
        <v>151</v>
      </c>
      <c r="R16" s="80"/>
      <c r="S16" s="80"/>
      <c r="T16" s="80"/>
      <c r="U16" s="80"/>
      <c r="V16" s="80"/>
      <c r="W16" s="80"/>
      <c r="X16" s="80"/>
      <c r="Y16" s="80"/>
      <c r="Z16" s="80"/>
      <c r="AA16" s="80"/>
      <c r="AB16" s="77" t="s">
        <v>91</v>
      </c>
      <c r="AC16" s="77" t="s">
        <v>69</v>
      </c>
      <c r="AD16" s="77" t="s">
        <v>152</v>
      </c>
      <c r="AE16" s="80" t="s">
        <v>93</v>
      </c>
      <c r="AF16" s="77" t="s">
        <v>72</v>
      </c>
      <c r="AG16" s="77" t="s">
        <v>128</v>
      </c>
      <c r="AH16" s="77" t="s">
        <v>142</v>
      </c>
      <c r="AI16" s="80">
        <v>9</v>
      </c>
      <c r="AJ16" s="91">
        <v>45682</v>
      </c>
      <c r="AK16" s="178">
        <v>0.45833333333333331</v>
      </c>
      <c r="AL16" s="91">
        <v>45682</v>
      </c>
      <c r="AM16" s="178">
        <v>0.58333333333333337</v>
      </c>
      <c r="AN16" s="91">
        <v>45682</v>
      </c>
      <c r="AO16" s="178">
        <v>0.58054398148148145</v>
      </c>
      <c r="AP16" s="80">
        <v>2025</v>
      </c>
      <c r="AQ16" s="93">
        <v>4</v>
      </c>
      <c r="AR16" s="93">
        <v>4</v>
      </c>
      <c r="AS16" s="93">
        <v>25</v>
      </c>
      <c r="AT16" s="94">
        <v>25</v>
      </c>
      <c r="AU16" s="95">
        <v>45682.458333333336</v>
      </c>
      <c r="AV16" s="80">
        <v>60</v>
      </c>
      <c r="AW16" t="s">
        <v>151</v>
      </c>
      <c r="AX16" s="77"/>
      <c r="AY16" s="77" t="s">
        <v>153</v>
      </c>
      <c r="AZ16" s="77" t="s">
        <v>154</v>
      </c>
      <c r="BA16" s="80" t="s">
        <v>584</v>
      </c>
      <c r="BB16" s="77" t="s">
        <v>155</v>
      </c>
      <c r="BC16" s="114" t="s">
        <v>137</v>
      </c>
    </row>
    <row r="17" spans="1:55" x14ac:dyDescent="0.25">
      <c r="A17" s="80" t="s">
        <v>99</v>
      </c>
      <c r="B17" s="91">
        <v>45683</v>
      </c>
      <c r="C17" s="77" t="s">
        <v>100</v>
      </c>
      <c r="D17" s="92">
        <v>0.83333333333333337</v>
      </c>
      <c r="E17" s="92">
        <v>0.84027777777777779</v>
      </c>
      <c r="F17" s="175" t="s">
        <v>467</v>
      </c>
      <c r="G17" s="175" t="s">
        <v>817</v>
      </c>
      <c r="H17" s="77" t="s">
        <v>102</v>
      </c>
      <c r="I17" s="77" t="s">
        <v>103</v>
      </c>
      <c r="J17" s="77" t="s">
        <v>84</v>
      </c>
      <c r="K17" s="77" t="s">
        <v>60</v>
      </c>
      <c r="L17" s="77" t="s">
        <v>85</v>
      </c>
      <c r="M17" s="77" t="s">
        <v>61</v>
      </c>
      <c r="N17" s="77" t="s">
        <v>104</v>
      </c>
      <c r="O17" s="80" t="s">
        <v>105</v>
      </c>
      <c r="P17" s="80">
        <v>9</v>
      </c>
      <c r="Q17" s="77" t="s">
        <v>106</v>
      </c>
      <c r="R17" s="80"/>
      <c r="S17" s="80"/>
      <c r="T17" s="80" t="s">
        <v>107</v>
      </c>
      <c r="U17" s="80" t="s">
        <v>65</v>
      </c>
      <c r="V17" s="80" t="s">
        <v>108</v>
      </c>
      <c r="W17" s="80" t="s">
        <v>67</v>
      </c>
      <c r="X17" s="80"/>
      <c r="Y17" s="80"/>
      <c r="Z17" s="80"/>
      <c r="AA17" s="80"/>
      <c r="AB17" s="77" t="s">
        <v>68</v>
      </c>
      <c r="AC17" s="77" t="s">
        <v>69</v>
      </c>
      <c r="AD17" s="77" t="s">
        <v>109</v>
      </c>
      <c r="AE17" s="80" t="s">
        <v>71</v>
      </c>
      <c r="AF17" s="77" t="s">
        <v>110</v>
      </c>
      <c r="AG17" s="77" t="s">
        <v>73</v>
      </c>
      <c r="AH17" s="77" t="s">
        <v>74</v>
      </c>
      <c r="AI17" s="80">
        <v>9</v>
      </c>
      <c r="AJ17" s="91">
        <v>45683</v>
      </c>
      <c r="AK17" s="178">
        <v>0.84027777777777779</v>
      </c>
      <c r="AL17" s="91">
        <v>45683</v>
      </c>
      <c r="AM17" s="178">
        <v>0.84652777777777777</v>
      </c>
      <c r="AN17" s="91">
        <v>45683</v>
      </c>
      <c r="AO17" s="178">
        <v>0.85009259259259262</v>
      </c>
      <c r="AP17" s="80">
        <v>2025</v>
      </c>
      <c r="AQ17" s="93">
        <v>5</v>
      </c>
      <c r="AR17" s="93">
        <v>5</v>
      </c>
      <c r="AS17" s="93">
        <v>26</v>
      </c>
      <c r="AT17" s="94">
        <v>26</v>
      </c>
      <c r="AU17" s="95">
        <v>45683.840277777781</v>
      </c>
      <c r="AV17" s="80">
        <v>5</v>
      </c>
      <c r="AW17" t="s">
        <v>106</v>
      </c>
      <c r="AX17" s="77" t="s">
        <v>111</v>
      </c>
      <c r="AY17" s="77" t="s">
        <v>61</v>
      </c>
      <c r="AZ17" s="77" t="s">
        <v>112</v>
      </c>
      <c r="BA17" s="80" t="s">
        <v>584</v>
      </c>
      <c r="BB17" s="77" t="s">
        <v>113</v>
      </c>
      <c r="BC17" s="114" t="s">
        <v>84</v>
      </c>
    </row>
    <row r="18" spans="1:55" x14ac:dyDescent="0.25">
      <c r="A18" s="80" t="s">
        <v>264</v>
      </c>
      <c r="B18" s="91">
        <v>45685</v>
      </c>
      <c r="C18" s="77" t="s">
        <v>55</v>
      </c>
      <c r="D18" s="92">
        <v>0.625</v>
      </c>
      <c r="E18" s="92">
        <v>0.625</v>
      </c>
      <c r="F18" s="175" t="s">
        <v>460</v>
      </c>
      <c r="G18" s="175" t="s">
        <v>817</v>
      </c>
      <c r="H18" s="77" t="s">
        <v>265</v>
      </c>
      <c r="I18" s="77" t="s">
        <v>266</v>
      </c>
      <c r="J18" s="77" t="s">
        <v>267</v>
      </c>
      <c r="K18" s="77" t="s">
        <v>221</v>
      </c>
      <c r="L18" s="77" t="s">
        <v>85</v>
      </c>
      <c r="M18" s="77" t="s">
        <v>61</v>
      </c>
      <c r="N18" s="77" t="s">
        <v>268</v>
      </c>
      <c r="O18" s="80" t="s">
        <v>269</v>
      </c>
      <c r="P18" s="80">
        <v>6</v>
      </c>
      <c r="Q18" s="77" t="s">
        <v>270</v>
      </c>
      <c r="R18" s="80"/>
      <c r="S18" s="80"/>
      <c r="T18" s="80" t="s">
        <v>271</v>
      </c>
      <c r="U18" s="80" t="s">
        <v>272</v>
      </c>
      <c r="V18" s="80" t="s">
        <v>273</v>
      </c>
      <c r="W18" s="80" t="s">
        <v>67</v>
      </c>
      <c r="X18" s="80"/>
      <c r="Y18" s="80"/>
      <c r="Z18" s="80"/>
      <c r="AA18" s="80"/>
      <c r="AB18" s="77" t="s">
        <v>124</v>
      </c>
      <c r="AC18" s="77" t="s">
        <v>69</v>
      </c>
      <c r="AD18" s="77" t="s">
        <v>252</v>
      </c>
      <c r="AE18" s="80" t="s">
        <v>214</v>
      </c>
      <c r="AF18" s="77" t="s">
        <v>72</v>
      </c>
      <c r="AG18" s="77" t="s">
        <v>274</v>
      </c>
      <c r="AH18" s="77" t="s">
        <v>229</v>
      </c>
      <c r="AI18" s="80">
        <v>9</v>
      </c>
      <c r="AJ18" s="91">
        <v>45685</v>
      </c>
      <c r="AK18" s="178">
        <v>0.625</v>
      </c>
      <c r="AL18" s="91">
        <v>45686</v>
      </c>
      <c r="AM18" s="178">
        <v>0.91736111111111107</v>
      </c>
      <c r="AN18" s="91">
        <v>45686</v>
      </c>
      <c r="AO18" s="178">
        <v>0.91833333333333333</v>
      </c>
      <c r="AP18" s="80">
        <v>2025</v>
      </c>
      <c r="AQ18" s="93">
        <v>5</v>
      </c>
      <c r="AR18" s="93">
        <v>5</v>
      </c>
      <c r="AS18" s="93">
        <v>28</v>
      </c>
      <c r="AT18" s="94">
        <v>28</v>
      </c>
      <c r="AU18" s="95">
        <v>45685.625</v>
      </c>
      <c r="AV18" s="80">
        <v>119</v>
      </c>
      <c r="AW18" t="s">
        <v>270</v>
      </c>
      <c r="AX18" s="77" t="s">
        <v>275</v>
      </c>
      <c r="AY18" s="77" t="s">
        <v>61</v>
      </c>
      <c r="AZ18" s="77" t="s">
        <v>276</v>
      </c>
      <c r="BA18" s="80" t="s">
        <v>583</v>
      </c>
      <c r="BB18" s="77" t="s">
        <v>78</v>
      </c>
      <c r="BC18" s="114" t="s">
        <v>267</v>
      </c>
    </row>
    <row r="19" spans="1:55" x14ac:dyDescent="0.25">
      <c r="A19" s="80" t="s">
        <v>156</v>
      </c>
      <c r="B19" s="91">
        <v>45688</v>
      </c>
      <c r="C19" s="77" t="s">
        <v>146</v>
      </c>
      <c r="D19" s="92">
        <v>0.45833333333333331</v>
      </c>
      <c r="E19" s="92">
        <v>0.49988425925925928</v>
      </c>
      <c r="F19" s="175" t="s">
        <v>463</v>
      </c>
      <c r="G19" s="175" t="s">
        <v>817</v>
      </c>
      <c r="H19" s="77" t="s">
        <v>158</v>
      </c>
      <c r="I19" s="77" t="s">
        <v>159</v>
      </c>
      <c r="J19" s="77" t="s">
        <v>137</v>
      </c>
      <c r="K19" s="77" t="s">
        <v>137</v>
      </c>
      <c r="L19" s="77" t="s">
        <v>61</v>
      </c>
      <c r="M19" s="77" t="s">
        <v>61</v>
      </c>
      <c r="N19" s="77" t="s">
        <v>160</v>
      </c>
      <c r="O19" s="80" t="s">
        <v>161</v>
      </c>
      <c r="P19" s="80">
        <v>8</v>
      </c>
      <c r="Q19" s="77" t="s">
        <v>162</v>
      </c>
      <c r="R19" s="80"/>
      <c r="S19" s="80"/>
      <c r="T19" s="80"/>
      <c r="U19" s="80"/>
      <c r="V19" s="80"/>
      <c r="W19" s="80"/>
      <c r="X19" s="80"/>
      <c r="Y19" s="80"/>
      <c r="Z19" s="80"/>
      <c r="AA19" s="80"/>
      <c r="AB19" s="77" t="s">
        <v>163</v>
      </c>
      <c r="AC19" s="77" t="s">
        <v>69</v>
      </c>
      <c r="AD19" s="77" t="s">
        <v>164</v>
      </c>
      <c r="AE19" s="80" t="s">
        <v>165</v>
      </c>
      <c r="AF19" s="77" t="s">
        <v>166</v>
      </c>
      <c r="AG19" s="77" t="s">
        <v>73</v>
      </c>
      <c r="AH19" s="77" t="s">
        <v>142</v>
      </c>
      <c r="AI19" s="80">
        <v>9</v>
      </c>
      <c r="AJ19" s="91">
        <v>45688</v>
      </c>
      <c r="AK19" s="178">
        <v>0.49988425925925928</v>
      </c>
      <c r="AL19" s="91"/>
      <c r="AM19" s="178"/>
      <c r="AN19" s="91">
        <v>45688</v>
      </c>
      <c r="AO19" s="178">
        <v>0.49988425925925928</v>
      </c>
      <c r="AP19" s="80">
        <v>2025</v>
      </c>
      <c r="AQ19" s="93">
        <v>5</v>
      </c>
      <c r="AR19" s="93">
        <v>5</v>
      </c>
      <c r="AS19" s="93">
        <v>31</v>
      </c>
      <c r="AT19" s="94">
        <v>31</v>
      </c>
      <c r="AU19" s="95">
        <v>45688.499305555553</v>
      </c>
      <c r="AV19" s="80">
        <v>292</v>
      </c>
      <c r="AW19" t="s">
        <v>162</v>
      </c>
      <c r="AX19" s="77"/>
      <c r="AY19" s="77" t="s">
        <v>61</v>
      </c>
      <c r="AZ19" s="77" t="s">
        <v>61</v>
      </c>
      <c r="BA19" s="80" t="s">
        <v>583</v>
      </c>
      <c r="BB19" s="77" t="s">
        <v>155</v>
      </c>
      <c r="BC19" s="114" t="s">
        <v>137</v>
      </c>
    </row>
    <row r="20" spans="1:55" x14ac:dyDescent="0.25">
      <c r="A20" s="80" t="s">
        <v>313</v>
      </c>
      <c r="B20" s="91">
        <v>45688</v>
      </c>
      <c r="C20" s="77" t="s">
        <v>55</v>
      </c>
      <c r="D20" s="92">
        <v>0.5</v>
      </c>
      <c r="E20" s="92">
        <v>0.5</v>
      </c>
      <c r="F20" s="175" t="s">
        <v>463</v>
      </c>
      <c r="G20" s="175" t="s">
        <v>817</v>
      </c>
      <c r="H20" s="77" t="s">
        <v>314</v>
      </c>
      <c r="I20" s="77" t="s">
        <v>315</v>
      </c>
      <c r="J20" s="77" t="s">
        <v>221</v>
      </c>
      <c r="K20" s="77" t="s">
        <v>221</v>
      </c>
      <c r="L20" s="77" t="s">
        <v>61</v>
      </c>
      <c r="M20" s="77" t="s">
        <v>61</v>
      </c>
      <c r="N20" s="77" t="s">
        <v>316</v>
      </c>
      <c r="O20" s="80" t="s">
        <v>258</v>
      </c>
      <c r="P20" s="80">
        <v>5</v>
      </c>
      <c r="Q20" s="77" t="s">
        <v>317</v>
      </c>
      <c r="R20" s="80"/>
      <c r="S20" s="80"/>
      <c r="T20" s="80" t="s">
        <v>318</v>
      </c>
      <c r="U20" s="80"/>
      <c r="V20" s="80" t="s">
        <v>238</v>
      </c>
      <c r="W20" s="80" t="s">
        <v>67</v>
      </c>
      <c r="X20" s="80"/>
      <c r="Y20" s="80"/>
      <c r="Z20" s="80"/>
      <c r="AA20" s="80"/>
      <c r="AB20" s="77" t="s">
        <v>124</v>
      </c>
      <c r="AC20" s="77" t="s">
        <v>69</v>
      </c>
      <c r="AD20" s="77" t="s">
        <v>213</v>
      </c>
      <c r="AE20" s="80" t="s">
        <v>214</v>
      </c>
      <c r="AF20" s="77" t="s">
        <v>110</v>
      </c>
      <c r="AG20" s="77" t="s">
        <v>73</v>
      </c>
      <c r="AH20" s="77" t="s">
        <v>229</v>
      </c>
      <c r="AI20" s="80">
        <v>9</v>
      </c>
      <c r="AJ20" s="91">
        <v>45688</v>
      </c>
      <c r="AK20" s="178">
        <v>0.5</v>
      </c>
      <c r="AL20" s="91">
        <v>45695</v>
      </c>
      <c r="AM20" s="178">
        <v>0.54166666666666663</v>
      </c>
      <c r="AN20" s="91">
        <v>45696</v>
      </c>
      <c r="AO20" s="178">
        <v>0.3903240740740741</v>
      </c>
      <c r="AP20" s="80">
        <v>2025</v>
      </c>
      <c r="AQ20" s="93">
        <v>5</v>
      </c>
      <c r="AR20" s="93">
        <v>5</v>
      </c>
      <c r="AS20" s="93">
        <v>31</v>
      </c>
      <c r="AT20" s="94">
        <v>31</v>
      </c>
      <c r="AU20" s="95">
        <v>45688.5</v>
      </c>
      <c r="AV20" s="80">
        <v>535</v>
      </c>
      <c r="AW20" t="s">
        <v>317</v>
      </c>
      <c r="AX20" s="77" t="s">
        <v>319</v>
      </c>
      <c r="AY20" s="77" t="s">
        <v>61</v>
      </c>
      <c r="AZ20" s="77" t="s">
        <v>320</v>
      </c>
      <c r="BA20" s="80" t="s">
        <v>583</v>
      </c>
      <c r="BB20" s="77" t="s">
        <v>78</v>
      </c>
      <c r="BC20" s="114" t="s">
        <v>221</v>
      </c>
    </row>
    <row r="21" spans="1:55" x14ac:dyDescent="0.25">
      <c r="A21" s="80" t="s">
        <v>277</v>
      </c>
      <c r="B21" s="91">
        <v>45689</v>
      </c>
      <c r="C21" s="77" t="s">
        <v>168</v>
      </c>
      <c r="D21" s="92">
        <v>4.1666666666666664E-2</v>
      </c>
      <c r="E21" s="92">
        <v>4.1666666666666664E-2</v>
      </c>
      <c r="F21" s="175" t="s">
        <v>464</v>
      </c>
      <c r="G21" s="175" t="s">
        <v>735</v>
      </c>
      <c r="H21" s="77" t="s">
        <v>278</v>
      </c>
      <c r="I21" s="77" t="s">
        <v>279</v>
      </c>
      <c r="J21" s="77" t="s">
        <v>221</v>
      </c>
      <c r="K21" s="77" t="s">
        <v>221</v>
      </c>
      <c r="L21" s="77" t="s">
        <v>61</v>
      </c>
      <c r="M21" s="77" t="s">
        <v>61</v>
      </c>
      <c r="N21" s="77" t="s">
        <v>280</v>
      </c>
      <c r="O21" s="80" t="s">
        <v>281</v>
      </c>
      <c r="P21" s="80">
        <v>6</v>
      </c>
      <c r="Q21" s="77" t="s">
        <v>282</v>
      </c>
      <c r="R21" s="80"/>
      <c r="S21" s="80"/>
      <c r="T21" s="80" t="s">
        <v>283</v>
      </c>
      <c r="U21" s="80" t="s">
        <v>122</v>
      </c>
      <c r="V21" s="80" t="s">
        <v>284</v>
      </c>
      <c r="W21" s="80" t="s">
        <v>67</v>
      </c>
      <c r="X21" s="80"/>
      <c r="Y21" s="80"/>
      <c r="Z21" s="80"/>
      <c r="AA21" s="80"/>
      <c r="AB21" s="77" t="s">
        <v>124</v>
      </c>
      <c r="AC21" s="77" t="s">
        <v>69</v>
      </c>
      <c r="AD21" s="77" t="s">
        <v>252</v>
      </c>
      <c r="AE21" s="80" t="s">
        <v>214</v>
      </c>
      <c r="AF21" s="77" t="s">
        <v>127</v>
      </c>
      <c r="AG21" s="77" t="s">
        <v>73</v>
      </c>
      <c r="AH21" s="77" t="s">
        <v>229</v>
      </c>
      <c r="AI21" s="80">
        <v>9</v>
      </c>
      <c r="AJ21" s="91">
        <v>45689</v>
      </c>
      <c r="AK21" s="178">
        <v>4.1666666666666664E-2</v>
      </c>
      <c r="AL21" s="91"/>
      <c r="AM21" s="178">
        <v>0.10416666666666667</v>
      </c>
      <c r="AN21" s="91">
        <v>45689</v>
      </c>
      <c r="AO21" s="178">
        <v>0.11982638888888889</v>
      </c>
      <c r="AP21" s="80">
        <v>2025</v>
      </c>
      <c r="AQ21" s="93">
        <v>5</v>
      </c>
      <c r="AR21" s="93">
        <v>1</v>
      </c>
      <c r="AS21" s="93">
        <v>1</v>
      </c>
      <c r="AT21" s="94">
        <v>32</v>
      </c>
      <c r="AU21" s="95">
        <v>45689.041666666664</v>
      </c>
      <c r="AV21" s="80">
        <v>453</v>
      </c>
      <c r="AW21" t="s">
        <v>282</v>
      </c>
      <c r="AX21" s="77" t="s">
        <v>285</v>
      </c>
      <c r="AY21" s="77" t="s">
        <v>61</v>
      </c>
      <c r="AZ21" s="77" t="s">
        <v>286</v>
      </c>
      <c r="BA21" s="80" t="s">
        <v>583</v>
      </c>
      <c r="BB21" s="77" t="s">
        <v>179</v>
      </c>
      <c r="BC21" s="114" t="s">
        <v>221</v>
      </c>
    </row>
    <row r="22" spans="1:55" x14ac:dyDescent="0.25">
      <c r="A22" s="80" t="s">
        <v>390</v>
      </c>
      <c r="B22" s="91">
        <v>45690</v>
      </c>
      <c r="C22" s="77" t="s">
        <v>80</v>
      </c>
      <c r="D22" s="92">
        <v>0.70833333333333337</v>
      </c>
      <c r="E22" s="92">
        <v>0.72569444444444442</v>
      </c>
      <c r="F22" s="175" t="s">
        <v>467</v>
      </c>
      <c r="G22" s="175" t="s">
        <v>735</v>
      </c>
      <c r="H22" s="77" t="s">
        <v>302</v>
      </c>
      <c r="I22" s="77" t="s">
        <v>391</v>
      </c>
      <c r="J22" s="77" t="s">
        <v>392</v>
      </c>
      <c r="K22" s="77" t="s">
        <v>183</v>
      </c>
      <c r="L22" s="77" t="s">
        <v>355</v>
      </c>
      <c r="M22" s="77" t="s">
        <v>61</v>
      </c>
      <c r="N22" s="77" t="s">
        <v>393</v>
      </c>
      <c r="O22" s="80" t="s">
        <v>150</v>
      </c>
      <c r="P22" s="80">
        <v>5</v>
      </c>
      <c r="Q22" s="77" t="s">
        <v>394</v>
      </c>
      <c r="R22" s="80"/>
      <c r="S22" s="80"/>
      <c r="T22" s="80"/>
      <c r="U22" s="80"/>
      <c r="V22" s="80"/>
      <c r="W22" s="80"/>
      <c r="X22" s="80"/>
      <c r="Y22" s="80"/>
      <c r="Z22" s="80"/>
      <c r="AA22" s="80"/>
      <c r="AB22" s="77" t="s">
        <v>68</v>
      </c>
      <c r="AC22" s="77" t="s">
        <v>69</v>
      </c>
      <c r="AD22" s="77" t="s">
        <v>109</v>
      </c>
      <c r="AE22" s="80" t="s">
        <v>71</v>
      </c>
      <c r="AF22" s="77" t="s">
        <v>187</v>
      </c>
      <c r="AG22" s="77" t="s">
        <v>95</v>
      </c>
      <c r="AH22" s="77"/>
      <c r="AI22" s="80">
        <v>9</v>
      </c>
      <c r="AJ22" s="91">
        <v>45690</v>
      </c>
      <c r="AK22" s="178">
        <v>0.72569444444444442</v>
      </c>
      <c r="AL22" s="91">
        <v>45690</v>
      </c>
      <c r="AM22" s="178">
        <v>0.75</v>
      </c>
      <c r="AN22" s="91">
        <v>45691</v>
      </c>
      <c r="AO22" s="178">
        <v>0.50143518518518515</v>
      </c>
      <c r="AP22" s="80">
        <v>2025</v>
      </c>
      <c r="AQ22" s="93">
        <v>6</v>
      </c>
      <c r="AR22" s="93">
        <v>2</v>
      </c>
      <c r="AS22" s="93">
        <v>2</v>
      </c>
      <c r="AT22" s="94">
        <v>33</v>
      </c>
      <c r="AU22" s="95">
        <v>45690.725694444445</v>
      </c>
      <c r="AV22" s="80">
        <v>144</v>
      </c>
      <c r="AW22" t="s">
        <v>394</v>
      </c>
      <c r="AX22" s="77"/>
      <c r="AY22" s="77" t="s">
        <v>395</v>
      </c>
      <c r="AZ22" s="77" t="s">
        <v>61</v>
      </c>
      <c r="BA22" s="80" t="s">
        <v>583</v>
      </c>
      <c r="BB22" s="77" t="s">
        <v>98</v>
      </c>
      <c r="BC22" s="114" t="s">
        <v>392</v>
      </c>
    </row>
    <row r="23" spans="1:55" x14ac:dyDescent="0.25">
      <c r="A23" s="80" t="s">
        <v>396</v>
      </c>
      <c r="B23" s="91">
        <v>45691</v>
      </c>
      <c r="C23" s="77" t="s">
        <v>80</v>
      </c>
      <c r="D23" s="92">
        <v>0.66666666666666663</v>
      </c>
      <c r="E23" s="92">
        <v>0.694849537037037</v>
      </c>
      <c r="F23" s="175" t="s">
        <v>459</v>
      </c>
      <c r="G23" s="175" t="s">
        <v>735</v>
      </c>
      <c r="H23" s="77" t="s">
        <v>365</v>
      </c>
      <c r="I23" s="77" t="s">
        <v>397</v>
      </c>
      <c r="J23" s="77" t="s">
        <v>355</v>
      </c>
      <c r="K23" s="77" t="s">
        <v>355</v>
      </c>
      <c r="L23" s="77" t="s">
        <v>61</v>
      </c>
      <c r="M23" s="77" t="s">
        <v>61</v>
      </c>
      <c r="N23" s="77" t="s">
        <v>398</v>
      </c>
      <c r="O23" s="80" t="s">
        <v>371</v>
      </c>
      <c r="P23" s="80">
        <v>9</v>
      </c>
      <c r="Q23" s="77" t="s">
        <v>399</v>
      </c>
      <c r="R23" s="80"/>
      <c r="S23" s="80"/>
      <c r="T23" s="80"/>
      <c r="U23" s="80"/>
      <c r="V23" s="80"/>
      <c r="W23" s="80"/>
      <c r="X23" s="80"/>
      <c r="Y23" s="80"/>
      <c r="Z23" s="80"/>
      <c r="AA23" s="80"/>
      <c r="AB23" s="77" t="s">
        <v>91</v>
      </c>
      <c r="AC23" s="77" t="s">
        <v>69</v>
      </c>
      <c r="AD23" s="77" t="s">
        <v>141</v>
      </c>
      <c r="AE23" s="80" t="s">
        <v>71</v>
      </c>
      <c r="AF23" s="77" t="s">
        <v>110</v>
      </c>
      <c r="AG23" s="77" t="s">
        <v>73</v>
      </c>
      <c r="AH23" s="77" t="s">
        <v>361</v>
      </c>
      <c r="AI23" s="80">
        <v>9</v>
      </c>
      <c r="AJ23" s="91"/>
      <c r="AK23" s="178"/>
      <c r="AL23" s="91"/>
      <c r="AM23" s="178"/>
      <c r="AN23" s="91">
        <v>45691</v>
      </c>
      <c r="AO23" s="178">
        <v>0.694849537037037</v>
      </c>
      <c r="AP23" s="80">
        <v>2025</v>
      </c>
      <c r="AQ23" s="93">
        <v>6</v>
      </c>
      <c r="AR23" s="93">
        <v>2</v>
      </c>
      <c r="AS23" s="93">
        <v>3</v>
      </c>
      <c r="AT23" s="94">
        <v>34</v>
      </c>
      <c r="AU23" s="95">
        <v>45691.694444444445</v>
      </c>
      <c r="AV23" s="80">
        <v>400</v>
      </c>
      <c r="AW23" t="s">
        <v>399</v>
      </c>
      <c r="AX23" s="77"/>
      <c r="AY23" s="77" t="s">
        <v>400</v>
      </c>
      <c r="AZ23" s="77" t="s">
        <v>401</v>
      </c>
      <c r="BA23" s="80" t="s">
        <v>583</v>
      </c>
      <c r="BB23" s="77" t="s">
        <v>98</v>
      </c>
      <c r="BC23" s="114" t="s">
        <v>355</v>
      </c>
    </row>
    <row r="24" spans="1:55" x14ac:dyDescent="0.25">
      <c r="A24" s="80" t="s">
        <v>287</v>
      </c>
      <c r="B24" s="91">
        <v>45691</v>
      </c>
      <c r="C24" s="77" t="s">
        <v>80</v>
      </c>
      <c r="D24" s="92">
        <v>0.75</v>
      </c>
      <c r="E24" s="92">
        <v>0.77083333333333337</v>
      </c>
      <c r="F24" s="175" t="s">
        <v>459</v>
      </c>
      <c r="G24" s="175" t="s">
        <v>735</v>
      </c>
      <c r="H24" s="77" t="s">
        <v>288</v>
      </c>
      <c r="I24" s="77" t="s">
        <v>289</v>
      </c>
      <c r="J24" s="77" t="s">
        <v>221</v>
      </c>
      <c r="K24" s="77" t="s">
        <v>221</v>
      </c>
      <c r="L24" s="77" t="s">
        <v>61</v>
      </c>
      <c r="M24" s="77" t="s">
        <v>61</v>
      </c>
      <c r="N24" s="77" t="s">
        <v>290</v>
      </c>
      <c r="O24" s="80" t="s">
        <v>291</v>
      </c>
      <c r="P24" s="80">
        <v>8</v>
      </c>
      <c r="Q24" s="77" t="s">
        <v>292</v>
      </c>
      <c r="R24" s="80"/>
      <c r="S24" s="80"/>
      <c r="T24" s="80" t="s">
        <v>293</v>
      </c>
      <c r="U24" s="80" t="s">
        <v>294</v>
      </c>
      <c r="V24" s="80" t="s">
        <v>295</v>
      </c>
      <c r="W24" s="80" t="s">
        <v>296</v>
      </c>
      <c r="X24" s="80"/>
      <c r="Y24" s="80"/>
      <c r="Z24" s="80"/>
      <c r="AA24" s="80"/>
      <c r="AB24" s="77" t="s">
        <v>68</v>
      </c>
      <c r="AC24" s="77" t="s">
        <v>69</v>
      </c>
      <c r="AD24" s="77" t="s">
        <v>109</v>
      </c>
      <c r="AE24" s="80" t="s">
        <v>71</v>
      </c>
      <c r="AF24" s="77" t="s">
        <v>72</v>
      </c>
      <c r="AG24" s="77" t="s">
        <v>203</v>
      </c>
      <c r="AH24" s="77" t="s">
        <v>229</v>
      </c>
      <c r="AI24" s="80">
        <v>9</v>
      </c>
      <c r="AJ24" s="91">
        <v>45691</v>
      </c>
      <c r="AK24" s="178">
        <v>0.77083333333333337</v>
      </c>
      <c r="AL24" s="91">
        <v>45692</v>
      </c>
      <c r="AM24" s="178">
        <v>0.79166666666666663</v>
      </c>
      <c r="AN24" s="91">
        <v>45692</v>
      </c>
      <c r="AO24" s="178">
        <v>0.53023148148148147</v>
      </c>
      <c r="AP24" s="80">
        <v>2025</v>
      </c>
      <c r="AQ24" s="93">
        <v>6</v>
      </c>
      <c r="AR24" s="93">
        <v>2</v>
      </c>
      <c r="AS24" s="93">
        <v>3</v>
      </c>
      <c r="AT24" s="94">
        <v>34</v>
      </c>
      <c r="AU24" s="95">
        <v>45691.770833333336</v>
      </c>
      <c r="AV24" s="80">
        <v>55</v>
      </c>
      <c r="AW24" t="s">
        <v>292</v>
      </c>
      <c r="AX24" s="77" t="s">
        <v>297</v>
      </c>
      <c r="AY24" s="77" t="s">
        <v>298</v>
      </c>
      <c r="AZ24" s="77" t="s">
        <v>299</v>
      </c>
      <c r="BA24" s="80" t="s">
        <v>583</v>
      </c>
      <c r="BB24" s="77" t="s">
        <v>98</v>
      </c>
      <c r="BC24" s="114" t="s">
        <v>221</v>
      </c>
    </row>
    <row r="25" spans="1:55" x14ac:dyDescent="0.25">
      <c r="A25" s="80" t="s">
        <v>167</v>
      </c>
      <c r="B25" s="91">
        <v>45693</v>
      </c>
      <c r="C25" s="77" t="s">
        <v>168</v>
      </c>
      <c r="D25" s="92">
        <v>8.3333333333333329E-2</v>
      </c>
      <c r="E25" s="92">
        <v>0.12291666666666666</v>
      </c>
      <c r="F25" s="175" t="s">
        <v>461</v>
      </c>
      <c r="G25" s="175" t="s">
        <v>735</v>
      </c>
      <c r="H25" s="77" t="s">
        <v>170</v>
      </c>
      <c r="I25" s="77" t="s">
        <v>171</v>
      </c>
      <c r="J25" s="77" t="s">
        <v>173</v>
      </c>
      <c r="K25" s="77" t="s">
        <v>172</v>
      </c>
      <c r="L25" s="77" t="s">
        <v>174</v>
      </c>
      <c r="M25" s="77" t="s">
        <v>61</v>
      </c>
      <c r="N25" s="77" t="s">
        <v>175</v>
      </c>
      <c r="O25" s="80" t="s">
        <v>161</v>
      </c>
      <c r="P25" s="80">
        <v>8</v>
      </c>
      <c r="Q25" s="77" t="s">
        <v>176</v>
      </c>
      <c r="R25" s="80"/>
      <c r="S25" s="80"/>
      <c r="T25" s="80"/>
      <c r="U25" s="80"/>
      <c r="V25" s="80"/>
      <c r="W25" s="80"/>
      <c r="X25" s="80"/>
      <c r="Y25" s="80"/>
      <c r="Z25" s="80"/>
      <c r="AA25" s="80"/>
      <c r="AB25" s="77" t="s">
        <v>124</v>
      </c>
      <c r="AC25" s="77" t="s">
        <v>69</v>
      </c>
      <c r="AD25" s="77" t="s">
        <v>177</v>
      </c>
      <c r="AE25" s="80" t="s">
        <v>93</v>
      </c>
      <c r="AF25" s="77" t="s">
        <v>178</v>
      </c>
      <c r="AG25" s="77" t="s">
        <v>128</v>
      </c>
      <c r="AH25" s="77" t="s">
        <v>142</v>
      </c>
      <c r="AI25" s="80">
        <v>9</v>
      </c>
      <c r="AJ25" s="91">
        <v>45693</v>
      </c>
      <c r="AK25" s="178">
        <v>0.12291666666666666</v>
      </c>
      <c r="AL25" s="91"/>
      <c r="AM25" s="178"/>
      <c r="AN25" s="91">
        <v>45693</v>
      </c>
      <c r="AO25" s="178">
        <v>0.1233912037037037</v>
      </c>
      <c r="AP25" s="80">
        <v>2025</v>
      </c>
      <c r="AQ25" s="93">
        <v>6</v>
      </c>
      <c r="AR25" s="93">
        <v>2</v>
      </c>
      <c r="AS25" s="93">
        <v>5</v>
      </c>
      <c r="AT25" s="94">
        <v>36</v>
      </c>
      <c r="AU25" s="95">
        <v>45693.122916666667</v>
      </c>
      <c r="AV25" s="80">
        <v>441</v>
      </c>
      <c r="AW25" t="s">
        <v>176</v>
      </c>
      <c r="AX25" s="77"/>
      <c r="AY25" s="77" t="s">
        <v>61</v>
      </c>
      <c r="AZ25" s="77" t="s">
        <v>61</v>
      </c>
      <c r="BA25" s="80" t="s">
        <v>582</v>
      </c>
      <c r="BB25" s="77" t="s">
        <v>179</v>
      </c>
      <c r="BC25" s="114" t="s">
        <v>173</v>
      </c>
    </row>
    <row r="26" spans="1:55" x14ac:dyDescent="0.25">
      <c r="A26" s="80" t="s">
        <v>300</v>
      </c>
      <c r="B26" s="91">
        <v>45695</v>
      </c>
      <c r="C26" s="77" t="s">
        <v>301</v>
      </c>
      <c r="D26" s="92">
        <v>0.25</v>
      </c>
      <c r="E26" s="92">
        <v>0.27430555555555558</v>
      </c>
      <c r="F26" s="175" t="s">
        <v>463</v>
      </c>
      <c r="G26" s="175" t="s">
        <v>735</v>
      </c>
      <c r="H26" s="77" t="s">
        <v>302</v>
      </c>
      <c r="I26" s="77" t="s">
        <v>303</v>
      </c>
      <c r="J26" s="77" t="s">
        <v>221</v>
      </c>
      <c r="K26" s="77" t="s">
        <v>221</v>
      </c>
      <c r="L26" s="77" t="s">
        <v>61</v>
      </c>
      <c r="M26" s="77" t="s">
        <v>61</v>
      </c>
      <c r="N26" s="77" t="s">
        <v>304</v>
      </c>
      <c r="O26" s="80" t="s">
        <v>211</v>
      </c>
      <c r="P26" s="80">
        <v>5</v>
      </c>
      <c r="Q26" s="77" t="s">
        <v>305</v>
      </c>
      <c r="R26" s="80"/>
      <c r="S26" s="80"/>
      <c r="T26" s="80" t="s">
        <v>306</v>
      </c>
      <c r="U26" s="80" t="s">
        <v>307</v>
      </c>
      <c r="V26" s="80" t="s">
        <v>308</v>
      </c>
      <c r="W26" s="80" t="s">
        <v>67</v>
      </c>
      <c r="X26" s="80"/>
      <c r="Y26" s="80"/>
      <c r="Z26" s="80"/>
      <c r="AA26" s="80"/>
      <c r="AB26" s="77" t="s">
        <v>124</v>
      </c>
      <c r="AC26" s="77" t="s">
        <v>69</v>
      </c>
      <c r="AD26" s="77" t="s">
        <v>309</v>
      </c>
      <c r="AE26" s="80" t="s">
        <v>126</v>
      </c>
      <c r="AF26" s="77" t="s">
        <v>187</v>
      </c>
      <c r="AG26" s="77" t="s">
        <v>95</v>
      </c>
      <c r="AH26" s="77" t="s">
        <v>229</v>
      </c>
      <c r="AI26" s="80">
        <v>9</v>
      </c>
      <c r="AJ26" s="91">
        <v>45695</v>
      </c>
      <c r="AK26" s="178">
        <v>0.27430555555555558</v>
      </c>
      <c r="AL26" s="91">
        <v>45695</v>
      </c>
      <c r="AM26" s="178">
        <v>0.28472222222222221</v>
      </c>
      <c r="AN26" s="91">
        <v>45695</v>
      </c>
      <c r="AO26" s="178">
        <v>0.30738425925925927</v>
      </c>
      <c r="AP26" s="80">
        <v>2025</v>
      </c>
      <c r="AQ26" s="93">
        <v>6</v>
      </c>
      <c r="AR26" s="93">
        <v>2</v>
      </c>
      <c r="AS26" s="93">
        <v>7</v>
      </c>
      <c r="AT26" s="94">
        <v>38</v>
      </c>
      <c r="AU26" s="95">
        <v>45695.274305555555</v>
      </c>
      <c r="AV26" s="80">
        <v>170</v>
      </c>
      <c r="AW26" t="s">
        <v>305</v>
      </c>
      <c r="AX26" s="77" t="s">
        <v>310</v>
      </c>
      <c r="AY26" s="77" t="s">
        <v>61</v>
      </c>
      <c r="AZ26" s="77" t="s">
        <v>311</v>
      </c>
      <c r="BA26" s="80" t="s">
        <v>582</v>
      </c>
      <c r="BB26" s="77" t="s">
        <v>312</v>
      </c>
      <c r="BC26" s="114" t="s">
        <v>221</v>
      </c>
    </row>
    <row r="27" spans="1:55" x14ac:dyDescent="0.25">
      <c r="A27" s="80" t="s">
        <v>114</v>
      </c>
      <c r="B27" s="91">
        <v>45701</v>
      </c>
      <c r="C27" s="77" t="s">
        <v>80</v>
      </c>
      <c r="D27" s="92">
        <v>0.66666666666666663</v>
      </c>
      <c r="E27" s="92">
        <v>0.66666666666666663</v>
      </c>
      <c r="F27" s="175" t="s">
        <v>818</v>
      </c>
      <c r="G27" s="175" t="s">
        <v>735</v>
      </c>
      <c r="H27" s="77" t="s">
        <v>117</v>
      </c>
      <c r="I27" s="77" t="s">
        <v>117</v>
      </c>
      <c r="J27" s="77" t="s">
        <v>60</v>
      </c>
      <c r="K27" s="77" t="s">
        <v>60</v>
      </c>
      <c r="L27" s="77" t="s">
        <v>61</v>
      </c>
      <c r="M27" s="77" t="s">
        <v>61</v>
      </c>
      <c r="N27" s="77" t="s">
        <v>118</v>
      </c>
      <c r="O27" s="80" t="s">
        <v>119</v>
      </c>
      <c r="P27" s="80">
        <v>6</v>
      </c>
      <c r="Q27" s="77" t="s">
        <v>120</v>
      </c>
      <c r="R27" s="80"/>
      <c r="S27" s="80"/>
      <c r="T27" s="80" t="s">
        <v>121</v>
      </c>
      <c r="U27" s="80" t="s">
        <v>122</v>
      </c>
      <c r="V27" s="80" t="s">
        <v>123</v>
      </c>
      <c r="W27" s="80" t="s">
        <v>67</v>
      </c>
      <c r="X27" s="80"/>
      <c r="Y27" s="80"/>
      <c r="Z27" s="80"/>
      <c r="AA27" s="80"/>
      <c r="AB27" s="77" t="s">
        <v>124</v>
      </c>
      <c r="AC27" s="77" t="s">
        <v>69</v>
      </c>
      <c r="AD27" s="77" t="s">
        <v>125</v>
      </c>
      <c r="AE27" s="80" t="s">
        <v>126</v>
      </c>
      <c r="AF27" s="77" t="s">
        <v>127</v>
      </c>
      <c r="AG27" s="77" t="s">
        <v>128</v>
      </c>
      <c r="AH27" s="77" t="s">
        <v>74</v>
      </c>
      <c r="AI27" s="80">
        <v>9</v>
      </c>
      <c r="AJ27" s="91">
        <v>45701</v>
      </c>
      <c r="AK27" s="178">
        <v>0.66666666666666663</v>
      </c>
      <c r="AL27" s="91"/>
      <c r="AM27" s="178"/>
      <c r="AN27" s="91">
        <v>45702</v>
      </c>
      <c r="AO27" s="178">
        <v>0.29906250000000001</v>
      </c>
      <c r="AP27" s="80">
        <v>2025</v>
      </c>
      <c r="AQ27" s="93">
        <v>7</v>
      </c>
      <c r="AR27" s="93">
        <v>3</v>
      </c>
      <c r="AS27" s="93">
        <v>13</v>
      </c>
      <c r="AT27" s="94">
        <v>44</v>
      </c>
      <c r="AU27" s="95">
        <v>45701.666666666664</v>
      </c>
      <c r="AV27" s="80"/>
      <c r="AW27" t="s">
        <v>120</v>
      </c>
      <c r="AX27" s="77" t="s">
        <v>129</v>
      </c>
      <c r="AY27" s="77" t="s">
        <v>130</v>
      </c>
      <c r="AZ27" s="77" t="s">
        <v>131</v>
      </c>
      <c r="BA27" s="80" t="s">
        <v>581</v>
      </c>
      <c r="BB27" s="77" t="s">
        <v>98</v>
      </c>
      <c r="BC27" s="114" t="s">
        <v>60</v>
      </c>
    </row>
    <row r="28" spans="1:55" x14ac:dyDescent="0.25">
      <c r="A28" s="80" t="s">
        <v>446</v>
      </c>
      <c r="B28" s="91">
        <v>45701</v>
      </c>
      <c r="C28" s="77" t="s">
        <v>168</v>
      </c>
      <c r="D28" s="92">
        <v>8.3333333333333329E-2</v>
      </c>
      <c r="E28" s="92">
        <v>8.3333333333333329E-2</v>
      </c>
      <c r="F28" s="175" t="s">
        <v>818</v>
      </c>
      <c r="G28" s="175" t="s">
        <v>735</v>
      </c>
      <c r="H28" s="77" t="s">
        <v>447</v>
      </c>
      <c r="I28" s="77" t="s">
        <v>448</v>
      </c>
      <c r="J28" s="77" t="s">
        <v>450</v>
      </c>
      <c r="K28" s="77" t="s">
        <v>449</v>
      </c>
      <c r="L28" s="77" t="s">
        <v>451</v>
      </c>
      <c r="M28" s="77" t="s">
        <v>355</v>
      </c>
      <c r="N28" s="77" t="s">
        <v>452</v>
      </c>
      <c r="O28" s="80" t="s">
        <v>199</v>
      </c>
      <c r="P28" s="80">
        <v>9</v>
      </c>
      <c r="Q28" s="77" t="s">
        <v>453</v>
      </c>
      <c r="R28" s="80"/>
      <c r="S28" s="80"/>
      <c r="T28" s="80"/>
      <c r="U28" s="80"/>
      <c r="V28" s="80"/>
      <c r="W28" s="80"/>
      <c r="X28" s="80"/>
      <c r="Y28" s="80"/>
      <c r="Z28" s="80"/>
      <c r="AA28" s="80"/>
      <c r="AB28" s="77" t="s">
        <v>454</v>
      </c>
      <c r="AC28" s="77" t="s">
        <v>69</v>
      </c>
      <c r="AD28" s="77" t="s">
        <v>125</v>
      </c>
      <c r="AE28" s="80" t="s">
        <v>126</v>
      </c>
      <c r="AF28" s="77" t="s">
        <v>386</v>
      </c>
      <c r="AG28" s="77" t="s">
        <v>455</v>
      </c>
      <c r="AH28" s="77"/>
      <c r="AI28" s="80">
        <v>9</v>
      </c>
      <c r="AJ28" s="91">
        <v>45701</v>
      </c>
      <c r="AK28" s="178">
        <v>8.3333333333333329E-2</v>
      </c>
      <c r="AL28" s="91"/>
      <c r="AM28" s="178"/>
      <c r="AN28" s="91">
        <v>45701</v>
      </c>
      <c r="AO28" s="178">
        <v>0.51225694444444447</v>
      </c>
      <c r="AP28" s="80">
        <v>2025</v>
      </c>
      <c r="AQ28" s="93">
        <v>7</v>
      </c>
      <c r="AR28" s="93">
        <v>3</v>
      </c>
      <c r="AS28" s="93">
        <v>13</v>
      </c>
      <c r="AT28" s="94">
        <v>44</v>
      </c>
      <c r="AU28" s="95">
        <v>45701.083333333336</v>
      </c>
      <c r="AV28" s="80">
        <v>128</v>
      </c>
      <c r="AW28" t="s">
        <v>453</v>
      </c>
      <c r="AX28" s="77"/>
      <c r="AY28" s="77" t="s">
        <v>456</v>
      </c>
      <c r="AZ28" s="77" t="s">
        <v>457</v>
      </c>
      <c r="BA28" s="80" t="s">
        <v>581</v>
      </c>
      <c r="BB28" s="77" t="s">
        <v>179</v>
      </c>
      <c r="BC28" s="114" t="s">
        <v>450</v>
      </c>
    </row>
    <row r="29" spans="1:55" x14ac:dyDescent="0.25">
      <c r="A29" s="80" t="s">
        <v>321</v>
      </c>
      <c r="B29" s="91">
        <v>45705</v>
      </c>
      <c r="C29" s="77" t="s">
        <v>146</v>
      </c>
      <c r="D29" s="92">
        <v>0.33333333333333331</v>
      </c>
      <c r="E29" s="92">
        <v>0.34877314814814814</v>
      </c>
      <c r="F29" s="175" t="s">
        <v>459</v>
      </c>
      <c r="G29" s="175" t="s">
        <v>735</v>
      </c>
      <c r="H29" s="77" t="s">
        <v>322</v>
      </c>
      <c r="I29" s="77" t="s">
        <v>323</v>
      </c>
      <c r="J29" s="77" t="s">
        <v>324</v>
      </c>
      <c r="K29" s="77" t="s">
        <v>221</v>
      </c>
      <c r="L29" s="77" t="s">
        <v>325</v>
      </c>
      <c r="M29" s="77" t="s">
        <v>61</v>
      </c>
      <c r="N29" s="77" t="s">
        <v>326</v>
      </c>
      <c r="O29" s="80" t="s">
        <v>139</v>
      </c>
      <c r="P29" s="80">
        <v>7</v>
      </c>
      <c r="Q29" s="77" t="s">
        <v>327</v>
      </c>
      <c r="R29" s="80"/>
      <c r="S29" s="80"/>
      <c r="T29" s="80" t="s">
        <v>328</v>
      </c>
      <c r="U29" s="80" t="s">
        <v>65</v>
      </c>
      <c r="V29" s="80" t="s">
        <v>226</v>
      </c>
      <c r="W29" s="80" t="s">
        <v>67</v>
      </c>
      <c r="X29" s="80"/>
      <c r="Y29" s="80"/>
      <c r="Z29" s="80"/>
      <c r="AA29" s="80"/>
      <c r="AB29" s="77" t="s">
        <v>68</v>
      </c>
      <c r="AC29" s="77" t="s">
        <v>69</v>
      </c>
      <c r="AD29" s="77" t="s">
        <v>70</v>
      </c>
      <c r="AE29" s="80" t="s">
        <v>71</v>
      </c>
      <c r="AF29" s="77" t="s">
        <v>127</v>
      </c>
      <c r="AG29" s="77" t="s">
        <v>128</v>
      </c>
      <c r="AH29" s="77" t="s">
        <v>229</v>
      </c>
      <c r="AI29" s="80">
        <v>9</v>
      </c>
      <c r="AJ29" s="91">
        <v>45705</v>
      </c>
      <c r="AK29" s="178">
        <v>0.34877314814814814</v>
      </c>
      <c r="AL29" s="91"/>
      <c r="AM29" s="178"/>
      <c r="AN29" s="91">
        <v>45705</v>
      </c>
      <c r="AO29" s="178">
        <v>0.34877314814814814</v>
      </c>
      <c r="AP29" s="80">
        <v>2025</v>
      </c>
      <c r="AQ29" s="93">
        <v>8</v>
      </c>
      <c r="AR29" s="93">
        <v>4</v>
      </c>
      <c r="AS29" s="93">
        <v>17</v>
      </c>
      <c r="AT29" s="94">
        <v>48</v>
      </c>
      <c r="AU29" s="95">
        <v>45705.348611111112</v>
      </c>
      <c r="AV29" s="80">
        <v>100</v>
      </c>
      <c r="AW29" t="s">
        <v>327</v>
      </c>
      <c r="AX29" s="77" t="s">
        <v>329</v>
      </c>
      <c r="AY29" s="77" t="s">
        <v>330</v>
      </c>
      <c r="AZ29" s="77" t="s">
        <v>331</v>
      </c>
      <c r="BA29" s="80" t="s">
        <v>581</v>
      </c>
      <c r="BB29" s="77" t="s">
        <v>155</v>
      </c>
      <c r="BC29" s="114" t="s">
        <v>324</v>
      </c>
    </row>
    <row r="30" spans="1:55" x14ac:dyDescent="0.25">
      <c r="A30" s="80" t="s">
        <v>332</v>
      </c>
      <c r="B30" s="91">
        <v>45705</v>
      </c>
      <c r="C30" s="77" t="s">
        <v>146</v>
      </c>
      <c r="D30" s="92">
        <v>0.375</v>
      </c>
      <c r="E30" s="92">
        <v>0.39716435185185184</v>
      </c>
      <c r="F30" s="175" t="s">
        <v>459</v>
      </c>
      <c r="G30" s="175" t="s">
        <v>735</v>
      </c>
      <c r="H30" s="77" t="s">
        <v>58</v>
      </c>
      <c r="I30" s="77" t="s">
        <v>333</v>
      </c>
      <c r="J30" s="77" t="s">
        <v>221</v>
      </c>
      <c r="K30" s="77" t="s">
        <v>221</v>
      </c>
      <c r="L30" s="77" t="s">
        <v>61</v>
      </c>
      <c r="M30" s="77" t="s">
        <v>61</v>
      </c>
      <c r="N30" s="77" t="s">
        <v>334</v>
      </c>
      <c r="O30" s="80" t="s">
        <v>335</v>
      </c>
      <c r="P30" s="80">
        <v>7</v>
      </c>
      <c r="Q30" s="77" t="s">
        <v>336</v>
      </c>
      <c r="R30" s="80"/>
      <c r="S30" s="80"/>
      <c r="T30" s="80" t="s">
        <v>337</v>
      </c>
      <c r="U30" s="80" t="s">
        <v>65</v>
      </c>
      <c r="V30" s="80" t="s">
        <v>226</v>
      </c>
      <c r="W30" s="80" t="s">
        <v>67</v>
      </c>
      <c r="X30" s="80"/>
      <c r="Y30" s="80"/>
      <c r="Z30" s="80"/>
      <c r="AA30" s="80"/>
      <c r="AB30" s="77" t="s">
        <v>68</v>
      </c>
      <c r="AC30" s="77" t="s">
        <v>69</v>
      </c>
      <c r="AD30" s="77" t="s">
        <v>338</v>
      </c>
      <c r="AE30" s="80" t="s">
        <v>71</v>
      </c>
      <c r="AF30" s="77" t="s">
        <v>127</v>
      </c>
      <c r="AG30" s="77" t="s">
        <v>73</v>
      </c>
      <c r="AH30" s="77" t="s">
        <v>229</v>
      </c>
      <c r="AI30" s="80">
        <v>9</v>
      </c>
      <c r="AJ30" s="91">
        <v>45705</v>
      </c>
      <c r="AK30" s="178">
        <v>0.39716435185185184</v>
      </c>
      <c r="AL30" s="91"/>
      <c r="AM30" s="178"/>
      <c r="AN30" s="91">
        <v>45705</v>
      </c>
      <c r="AO30" s="178">
        <v>0.39716435185185184</v>
      </c>
      <c r="AP30" s="80">
        <v>2025</v>
      </c>
      <c r="AQ30" s="93">
        <v>8</v>
      </c>
      <c r="AR30" s="93">
        <v>4</v>
      </c>
      <c r="AS30" s="93">
        <v>17</v>
      </c>
      <c r="AT30" s="94">
        <v>48</v>
      </c>
      <c r="AU30" s="95">
        <v>45705.396527777775</v>
      </c>
      <c r="AV30" s="80">
        <v>30</v>
      </c>
      <c r="AW30" t="s">
        <v>336</v>
      </c>
      <c r="AX30" s="77" t="s">
        <v>339</v>
      </c>
      <c r="AY30" s="77" t="s">
        <v>61</v>
      </c>
      <c r="AZ30" s="77" t="s">
        <v>61</v>
      </c>
      <c r="BA30" s="80" t="s">
        <v>581</v>
      </c>
      <c r="BB30" s="77" t="s">
        <v>155</v>
      </c>
      <c r="BC30" s="114" t="s">
        <v>221</v>
      </c>
    </row>
    <row r="31" spans="1:55" x14ac:dyDescent="0.25">
      <c r="A31" s="80" t="s">
        <v>180</v>
      </c>
      <c r="B31" s="91">
        <v>45705</v>
      </c>
      <c r="C31" s="77" t="s">
        <v>55</v>
      </c>
      <c r="D31" s="92">
        <v>0.5</v>
      </c>
      <c r="E31" s="92">
        <v>0.52497685185185183</v>
      </c>
      <c r="F31" s="175" t="s">
        <v>459</v>
      </c>
      <c r="G31" s="175" t="s">
        <v>735</v>
      </c>
      <c r="H31" s="77" t="s">
        <v>102</v>
      </c>
      <c r="I31" s="77" t="s">
        <v>181</v>
      </c>
      <c r="J31" s="77" t="s">
        <v>182</v>
      </c>
      <c r="K31" s="77" t="s">
        <v>172</v>
      </c>
      <c r="L31" s="77" t="s">
        <v>183</v>
      </c>
      <c r="M31" s="77" t="s">
        <v>61</v>
      </c>
      <c r="N31" s="77" t="s">
        <v>184</v>
      </c>
      <c r="O31" s="80" t="s">
        <v>185</v>
      </c>
      <c r="P31" s="80">
        <v>9</v>
      </c>
      <c r="Q31" s="77" t="s">
        <v>186</v>
      </c>
      <c r="R31" s="80"/>
      <c r="S31" s="80"/>
      <c r="T31" s="80"/>
      <c r="U31" s="80"/>
      <c r="V31" s="80"/>
      <c r="W31" s="80"/>
      <c r="X31" s="80"/>
      <c r="Y31" s="80"/>
      <c r="Z31" s="80"/>
      <c r="AA31" s="80"/>
      <c r="AB31" s="77" t="s">
        <v>68</v>
      </c>
      <c r="AC31" s="77" t="s">
        <v>69</v>
      </c>
      <c r="AD31" s="77" t="s">
        <v>70</v>
      </c>
      <c r="AE31" s="80" t="s">
        <v>71</v>
      </c>
      <c r="AF31" s="77" t="s">
        <v>187</v>
      </c>
      <c r="AG31" s="77" t="s">
        <v>188</v>
      </c>
      <c r="AH31" s="77" t="s">
        <v>142</v>
      </c>
      <c r="AI31" s="80">
        <v>9</v>
      </c>
      <c r="AJ31" s="91">
        <v>45705</v>
      </c>
      <c r="AK31" s="178">
        <v>0.52497685185185183</v>
      </c>
      <c r="AL31" s="91"/>
      <c r="AM31" s="178"/>
      <c r="AN31" s="91">
        <v>45705</v>
      </c>
      <c r="AO31" s="178">
        <v>0.52497685185185183</v>
      </c>
      <c r="AP31" s="80">
        <v>2025</v>
      </c>
      <c r="AQ31" s="93">
        <v>8</v>
      </c>
      <c r="AR31" s="93">
        <v>4</v>
      </c>
      <c r="AS31" s="93">
        <v>17</v>
      </c>
      <c r="AT31" s="94">
        <v>48</v>
      </c>
      <c r="AU31" s="95">
        <v>45705.524305555555</v>
      </c>
      <c r="AV31" s="80">
        <v>35</v>
      </c>
      <c r="AW31" t="s">
        <v>186</v>
      </c>
      <c r="AX31" s="77"/>
      <c r="AY31" s="77" t="s">
        <v>189</v>
      </c>
      <c r="AZ31" s="77" t="s">
        <v>190</v>
      </c>
      <c r="BA31" s="80" t="s">
        <v>581</v>
      </c>
      <c r="BB31" s="77" t="s">
        <v>78</v>
      </c>
      <c r="BC31" s="114" t="s">
        <v>182</v>
      </c>
    </row>
    <row r="32" spans="1:55" x14ac:dyDescent="0.25">
      <c r="A32" s="80" t="s">
        <v>429</v>
      </c>
      <c r="B32" s="91">
        <v>45705</v>
      </c>
      <c r="C32" s="77" t="s">
        <v>100</v>
      </c>
      <c r="D32" s="92">
        <v>0.83333333333333337</v>
      </c>
      <c r="E32" s="92">
        <v>0.83333333333333337</v>
      </c>
      <c r="F32" s="175" t="s">
        <v>459</v>
      </c>
      <c r="G32" s="175" t="s">
        <v>735</v>
      </c>
      <c r="H32" s="77" t="s">
        <v>430</v>
      </c>
      <c r="I32" s="77" t="s">
        <v>431</v>
      </c>
      <c r="J32" s="77" t="s">
        <v>433</v>
      </c>
      <c r="K32" s="77" t="s">
        <v>432</v>
      </c>
      <c r="L32" s="77" t="s">
        <v>421</v>
      </c>
      <c r="M32" s="77" t="s">
        <v>61</v>
      </c>
      <c r="N32" s="77" t="s">
        <v>434</v>
      </c>
      <c r="O32" s="80" t="s">
        <v>435</v>
      </c>
      <c r="P32" s="80">
        <v>8</v>
      </c>
      <c r="Q32" s="77" t="s">
        <v>436</v>
      </c>
      <c r="R32" s="80"/>
      <c r="S32" s="80"/>
      <c r="T32" s="80"/>
      <c r="U32" s="80"/>
      <c r="V32" s="80"/>
      <c r="W32" s="80"/>
      <c r="X32" s="80"/>
      <c r="Y32" s="80"/>
      <c r="Z32" s="80"/>
      <c r="AA32" s="80"/>
      <c r="AB32" s="77" t="s">
        <v>425</v>
      </c>
      <c r="AC32" s="77" t="s">
        <v>69</v>
      </c>
      <c r="AD32" s="77" t="s">
        <v>110</v>
      </c>
      <c r="AE32" s="80" t="s">
        <v>426</v>
      </c>
      <c r="AF32" s="77" t="s">
        <v>110</v>
      </c>
      <c r="AG32" s="77" t="s">
        <v>274</v>
      </c>
      <c r="AH32" s="77"/>
      <c r="AI32" s="80">
        <v>9</v>
      </c>
      <c r="AJ32" s="91">
        <v>45705</v>
      </c>
      <c r="AK32" s="178">
        <v>0.83333333333333337</v>
      </c>
      <c r="AL32" s="91">
        <v>45705</v>
      </c>
      <c r="AM32" s="178">
        <v>0.98958333333333337</v>
      </c>
      <c r="AN32" s="91">
        <v>45706</v>
      </c>
      <c r="AO32" s="178">
        <v>0.73564814814814816</v>
      </c>
      <c r="AP32" s="80">
        <v>2025</v>
      </c>
      <c r="AQ32" s="93">
        <v>8</v>
      </c>
      <c r="AR32" s="93">
        <v>4</v>
      </c>
      <c r="AS32" s="93">
        <v>17</v>
      </c>
      <c r="AT32" s="94">
        <v>48</v>
      </c>
      <c r="AU32" s="95">
        <v>45705.833333333336</v>
      </c>
      <c r="AV32" s="80">
        <v>240</v>
      </c>
      <c r="AW32" t="s">
        <v>436</v>
      </c>
      <c r="AX32" s="77"/>
      <c r="AY32" s="77" t="s">
        <v>437</v>
      </c>
      <c r="AZ32" s="77" t="s">
        <v>61</v>
      </c>
      <c r="BA32" s="80" t="s">
        <v>581</v>
      </c>
      <c r="BB32" s="77" t="s">
        <v>113</v>
      </c>
      <c r="BC32" s="114" t="s">
        <v>433</v>
      </c>
    </row>
    <row r="33" spans="1:55" x14ac:dyDescent="0.25">
      <c r="A33" s="80" t="s">
        <v>438</v>
      </c>
      <c r="B33" s="91">
        <v>45708</v>
      </c>
      <c r="C33" s="77" t="s">
        <v>55</v>
      </c>
      <c r="D33" s="92">
        <v>0.5</v>
      </c>
      <c r="E33" s="92">
        <v>0.53615740740740736</v>
      </c>
      <c r="F33" s="175" t="s">
        <v>460</v>
      </c>
      <c r="G33" s="175" t="s">
        <v>735</v>
      </c>
      <c r="H33" s="77" t="s">
        <v>439</v>
      </c>
      <c r="I33" s="77" t="s">
        <v>440</v>
      </c>
      <c r="J33" s="77" t="s">
        <v>421</v>
      </c>
      <c r="K33" s="77" t="s">
        <v>421</v>
      </c>
      <c r="L33" s="77" t="s">
        <v>61</v>
      </c>
      <c r="M33" s="77" t="s">
        <v>61</v>
      </c>
      <c r="N33" s="77" t="s">
        <v>441</v>
      </c>
      <c r="O33" s="80" t="s">
        <v>105</v>
      </c>
      <c r="P33" s="80">
        <v>8</v>
      </c>
      <c r="Q33" s="77" t="s">
        <v>442</v>
      </c>
      <c r="R33" s="80"/>
      <c r="S33" s="80"/>
      <c r="T33" s="80"/>
      <c r="U33" s="80"/>
      <c r="V33" s="80"/>
      <c r="W33" s="80"/>
      <c r="X33" s="80"/>
      <c r="Y33" s="80"/>
      <c r="Z33" s="80"/>
      <c r="AA33" s="80"/>
      <c r="AB33" s="77" t="s">
        <v>68</v>
      </c>
      <c r="AC33" s="77" t="s">
        <v>69</v>
      </c>
      <c r="AD33" s="77" t="s">
        <v>443</v>
      </c>
      <c r="AE33" s="80" t="s">
        <v>71</v>
      </c>
      <c r="AF33" s="77" t="s">
        <v>360</v>
      </c>
      <c r="AG33" s="77" t="s">
        <v>444</v>
      </c>
      <c r="AH33" s="77" t="s">
        <v>445</v>
      </c>
      <c r="AI33" s="80">
        <v>9</v>
      </c>
      <c r="AJ33" s="91">
        <v>42906</v>
      </c>
      <c r="AK33" s="178">
        <v>0.53615740740740736</v>
      </c>
      <c r="AL33" s="91">
        <v>45555</v>
      </c>
      <c r="AM33" s="178"/>
      <c r="AN33" s="91">
        <v>45708</v>
      </c>
      <c r="AO33" s="178">
        <v>0.53615740740740736</v>
      </c>
      <c r="AP33" s="80">
        <v>2017</v>
      </c>
      <c r="AQ33" s="93">
        <v>25</v>
      </c>
      <c r="AR33" s="93">
        <v>4</v>
      </c>
      <c r="AS33" s="93">
        <v>20</v>
      </c>
      <c r="AT33" s="94">
        <v>171</v>
      </c>
      <c r="AU33" s="95">
        <v>42906.536111111112</v>
      </c>
      <c r="AV33" s="80">
        <v>360</v>
      </c>
      <c r="AW33" t="s">
        <v>442</v>
      </c>
      <c r="AX33" s="77"/>
      <c r="AY33" s="77" t="s">
        <v>61</v>
      </c>
      <c r="AZ33" s="77" t="s">
        <v>61</v>
      </c>
      <c r="BA33" s="80" t="s">
        <v>580</v>
      </c>
      <c r="BB33" s="77" t="s">
        <v>78</v>
      </c>
      <c r="BC33" s="114" t="s">
        <v>421</v>
      </c>
    </row>
    <row r="34" spans="1:55" x14ac:dyDescent="0.25">
      <c r="A34" s="80" t="s">
        <v>340</v>
      </c>
      <c r="B34" s="91">
        <v>45713</v>
      </c>
      <c r="C34" s="77" t="s">
        <v>146</v>
      </c>
      <c r="D34" s="92">
        <v>0.41666666666666669</v>
      </c>
      <c r="E34" s="92">
        <v>0.41666666666666669</v>
      </c>
      <c r="F34" s="175" t="s">
        <v>460</v>
      </c>
      <c r="G34" s="175" t="s">
        <v>735</v>
      </c>
      <c r="H34" s="77" t="s">
        <v>341</v>
      </c>
      <c r="I34" s="77" t="s">
        <v>342</v>
      </c>
      <c r="J34" s="77" t="s">
        <v>221</v>
      </c>
      <c r="K34" s="77" t="s">
        <v>221</v>
      </c>
      <c r="L34" s="77" t="s">
        <v>61</v>
      </c>
      <c r="M34" s="77" t="s">
        <v>61</v>
      </c>
      <c r="N34" s="77" t="s">
        <v>343</v>
      </c>
      <c r="O34" s="80" t="s">
        <v>258</v>
      </c>
      <c r="P34" s="80">
        <v>5</v>
      </c>
      <c r="Q34" s="77" t="s">
        <v>344</v>
      </c>
      <c r="R34" s="80"/>
      <c r="S34" s="80"/>
      <c r="T34" s="80" t="s">
        <v>345</v>
      </c>
      <c r="U34" s="80" t="s">
        <v>65</v>
      </c>
      <c r="V34" s="80" t="s">
        <v>346</v>
      </c>
      <c r="W34" s="80" t="s">
        <v>347</v>
      </c>
      <c r="X34" s="80"/>
      <c r="Y34" s="80"/>
      <c r="Z34" s="80"/>
      <c r="AA34" s="80"/>
      <c r="AB34" s="77" t="s">
        <v>163</v>
      </c>
      <c r="AC34" s="77" t="s">
        <v>69</v>
      </c>
      <c r="AD34" s="77" t="s">
        <v>164</v>
      </c>
      <c r="AE34" s="80" t="s">
        <v>165</v>
      </c>
      <c r="AF34" s="77"/>
      <c r="AG34" s="77"/>
      <c r="AH34" s="77"/>
      <c r="AI34" s="80">
        <v>9</v>
      </c>
      <c r="AJ34" s="91">
        <v>45713</v>
      </c>
      <c r="AK34" s="178">
        <v>0.41666666666666669</v>
      </c>
      <c r="AL34" s="91">
        <v>45713</v>
      </c>
      <c r="AM34" s="178">
        <v>0.95833333333333337</v>
      </c>
      <c r="AN34" s="91">
        <v>45712</v>
      </c>
      <c r="AO34" s="178">
        <v>0.99136574074074069</v>
      </c>
      <c r="AP34" s="80">
        <v>2025</v>
      </c>
      <c r="AQ34" s="93">
        <v>9</v>
      </c>
      <c r="AR34" s="93">
        <v>5</v>
      </c>
      <c r="AS34" s="93">
        <v>25</v>
      </c>
      <c r="AT34" s="94">
        <v>56</v>
      </c>
      <c r="AU34" s="95">
        <v>45713.416666666664</v>
      </c>
      <c r="AV34" s="80">
        <v>430</v>
      </c>
      <c r="AW34" t="s">
        <v>344</v>
      </c>
      <c r="AX34" s="77" t="s">
        <v>348</v>
      </c>
      <c r="AY34" s="77" t="s">
        <v>61</v>
      </c>
      <c r="AZ34" s="77" t="s">
        <v>61</v>
      </c>
      <c r="BA34" s="80" t="s">
        <v>579</v>
      </c>
      <c r="BB34" s="77" t="s">
        <v>155</v>
      </c>
      <c r="BC34" s="114" t="s">
        <v>221</v>
      </c>
    </row>
    <row r="35" spans="1:55" x14ac:dyDescent="0.25">
      <c r="A35" s="80" t="s">
        <v>500</v>
      </c>
      <c r="B35" s="91">
        <v>45720</v>
      </c>
      <c r="C35" s="77" t="s">
        <v>80</v>
      </c>
      <c r="D35" s="92">
        <v>0.75</v>
      </c>
      <c r="E35" s="92">
        <v>0.79126157407407405</v>
      </c>
      <c r="F35" s="175" t="s">
        <v>460</v>
      </c>
      <c r="G35" s="175" t="s">
        <v>736</v>
      </c>
      <c r="H35" s="77" t="s">
        <v>501</v>
      </c>
      <c r="I35" s="77" t="s">
        <v>502</v>
      </c>
      <c r="J35" s="77" t="s">
        <v>355</v>
      </c>
      <c r="K35" s="77" t="s">
        <v>355</v>
      </c>
      <c r="L35" s="77" t="s">
        <v>61</v>
      </c>
      <c r="M35" s="77" t="s">
        <v>61</v>
      </c>
      <c r="N35" s="77" t="s">
        <v>503</v>
      </c>
      <c r="O35" s="80" t="s">
        <v>269</v>
      </c>
      <c r="P35" s="80">
        <v>6</v>
      </c>
      <c r="Q35" s="77" t="s">
        <v>504</v>
      </c>
      <c r="R35" s="80"/>
      <c r="S35" s="80"/>
      <c r="T35" s="80"/>
      <c r="U35" s="80"/>
      <c r="V35" s="80"/>
      <c r="W35" s="80"/>
      <c r="X35" s="80"/>
      <c r="Y35" s="80"/>
      <c r="Z35" s="80"/>
      <c r="AA35" s="80"/>
      <c r="AB35" s="77" t="s">
        <v>425</v>
      </c>
      <c r="AC35" s="77" t="s">
        <v>69</v>
      </c>
      <c r="AD35" s="77" t="s">
        <v>505</v>
      </c>
      <c r="AE35" s="80" t="s">
        <v>214</v>
      </c>
      <c r="AF35" s="77" t="s">
        <v>72</v>
      </c>
      <c r="AG35" s="77" t="s">
        <v>128</v>
      </c>
      <c r="AH35" s="77" t="s">
        <v>361</v>
      </c>
      <c r="AI35" s="80">
        <v>9</v>
      </c>
      <c r="AJ35" s="91">
        <v>45720</v>
      </c>
      <c r="AK35" s="178">
        <v>0.79126157407407405</v>
      </c>
      <c r="AL35" s="91"/>
      <c r="AM35" s="178"/>
      <c r="AN35" s="91">
        <v>45720</v>
      </c>
      <c r="AO35" s="178">
        <v>0.79126157407407405</v>
      </c>
      <c r="AP35" s="80">
        <v>2025</v>
      </c>
      <c r="AQ35" s="93">
        <v>10</v>
      </c>
      <c r="AR35" s="93">
        <v>2</v>
      </c>
      <c r="AS35" s="93">
        <v>4</v>
      </c>
      <c r="AT35" s="94">
        <v>63</v>
      </c>
      <c r="AU35" s="95">
        <v>45720.790972222225</v>
      </c>
      <c r="AV35" s="80">
        <v>216</v>
      </c>
      <c r="AW35" t="s">
        <v>504</v>
      </c>
      <c r="AX35" s="77"/>
      <c r="AY35" s="77" t="s">
        <v>506</v>
      </c>
      <c r="AZ35" s="77" t="s">
        <v>507</v>
      </c>
      <c r="BA35" s="80" t="s">
        <v>578</v>
      </c>
      <c r="BB35" s="77" t="s">
        <v>98</v>
      </c>
      <c r="BC35" s="114" t="s">
        <v>355</v>
      </c>
    </row>
    <row r="36" spans="1:55" x14ac:dyDescent="0.25">
      <c r="A36" s="80" t="s">
        <v>508</v>
      </c>
      <c r="B36" s="91">
        <v>45720</v>
      </c>
      <c r="C36" s="77" t="s">
        <v>55</v>
      </c>
      <c r="D36" s="92">
        <v>0.625</v>
      </c>
      <c r="E36" s="92">
        <v>0.64097222222222228</v>
      </c>
      <c r="F36" s="175" t="s">
        <v>460</v>
      </c>
      <c r="G36" s="175" t="s">
        <v>736</v>
      </c>
      <c r="H36" s="77" t="s">
        <v>509</v>
      </c>
      <c r="I36" s="77" t="s">
        <v>510</v>
      </c>
      <c r="J36" s="77" t="s">
        <v>511</v>
      </c>
      <c r="K36" s="77" t="s">
        <v>355</v>
      </c>
      <c r="L36" s="77" t="s">
        <v>512</v>
      </c>
      <c r="M36" s="77" t="s">
        <v>352</v>
      </c>
      <c r="N36" s="77" t="s">
        <v>513</v>
      </c>
      <c r="O36" s="80" t="s">
        <v>87</v>
      </c>
      <c r="P36" s="80">
        <v>8</v>
      </c>
      <c r="Q36" s="77" t="s">
        <v>514</v>
      </c>
      <c r="R36" s="80"/>
      <c r="S36" s="80"/>
      <c r="T36" s="80" t="s">
        <v>515</v>
      </c>
      <c r="U36" s="80" t="s">
        <v>516</v>
      </c>
      <c r="V36" s="80" t="s">
        <v>517</v>
      </c>
      <c r="W36" s="80" t="s">
        <v>67</v>
      </c>
      <c r="X36" s="80"/>
      <c r="Y36" s="80"/>
      <c r="Z36" s="80"/>
      <c r="AA36" s="80"/>
      <c r="AB36" s="77" t="s">
        <v>425</v>
      </c>
      <c r="AC36" s="77" t="s">
        <v>69</v>
      </c>
      <c r="AD36" s="77" t="s">
        <v>518</v>
      </c>
      <c r="AE36" s="80" t="s">
        <v>165</v>
      </c>
      <c r="AF36" s="77" t="s">
        <v>386</v>
      </c>
      <c r="AG36" s="77" t="s">
        <v>203</v>
      </c>
      <c r="AH36" s="77" t="s">
        <v>361</v>
      </c>
      <c r="AI36" s="80">
        <v>9</v>
      </c>
      <c r="AJ36" s="91">
        <v>45720</v>
      </c>
      <c r="AK36" s="178">
        <v>0.64097222222222228</v>
      </c>
      <c r="AL36" s="91"/>
      <c r="AM36" s="178"/>
      <c r="AN36" s="91">
        <v>45720</v>
      </c>
      <c r="AO36" s="178">
        <v>0.64444444444444449</v>
      </c>
      <c r="AP36" s="80">
        <v>2025</v>
      </c>
      <c r="AQ36" s="93">
        <v>10</v>
      </c>
      <c r="AR36" s="93">
        <v>2</v>
      </c>
      <c r="AS36" s="93">
        <v>4</v>
      </c>
      <c r="AT36" s="94">
        <v>63</v>
      </c>
      <c r="AU36" s="95">
        <v>45720.640972222223</v>
      </c>
      <c r="AV36" s="80">
        <v>195</v>
      </c>
      <c r="AW36" t="s">
        <v>514</v>
      </c>
      <c r="AX36" s="77" t="s">
        <v>519</v>
      </c>
      <c r="AY36" s="77" t="s">
        <v>520</v>
      </c>
      <c r="AZ36" s="77" t="s">
        <v>61</v>
      </c>
      <c r="BA36" s="80" t="s">
        <v>578</v>
      </c>
      <c r="BB36" s="77" t="s">
        <v>78</v>
      </c>
      <c r="BC36" s="114" t="s">
        <v>511</v>
      </c>
    </row>
    <row r="37" spans="1:55" x14ac:dyDescent="0.25">
      <c r="A37" s="80" t="s">
        <v>476</v>
      </c>
      <c r="B37" s="91">
        <v>45722</v>
      </c>
      <c r="C37" s="77" t="s">
        <v>100</v>
      </c>
      <c r="D37" s="92">
        <v>0.91666666666666663</v>
      </c>
      <c r="E37" s="92">
        <v>0.94149305555555551</v>
      </c>
      <c r="F37" s="175" t="s">
        <v>818</v>
      </c>
      <c r="G37" s="175" t="s">
        <v>736</v>
      </c>
      <c r="H37" s="77" t="s">
        <v>478</v>
      </c>
      <c r="I37" s="77" t="s">
        <v>479</v>
      </c>
      <c r="J37" s="77" t="s">
        <v>60</v>
      </c>
      <c r="K37" s="77" t="s">
        <v>60</v>
      </c>
      <c r="L37" s="77" t="s">
        <v>61</v>
      </c>
      <c r="M37" s="77" t="s">
        <v>61</v>
      </c>
      <c r="N37" s="77" t="s">
        <v>480</v>
      </c>
      <c r="O37" s="80" t="s">
        <v>87</v>
      </c>
      <c r="P37" s="80">
        <v>8</v>
      </c>
      <c r="Q37" s="77" t="s">
        <v>481</v>
      </c>
      <c r="R37" s="80"/>
      <c r="S37" s="80"/>
      <c r="T37" s="80" t="s">
        <v>482</v>
      </c>
      <c r="U37" s="80" t="s">
        <v>122</v>
      </c>
      <c r="V37" s="80" t="s">
        <v>483</v>
      </c>
      <c r="W37" s="80" t="s">
        <v>67</v>
      </c>
      <c r="X37" s="80"/>
      <c r="Y37" s="80"/>
      <c r="Z37" s="80"/>
      <c r="AA37" s="80"/>
      <c r="AB37" s="77" t="s">
        <v>484</v>
      </c>
      <c r="AC37" s="77" t="s">
        <v>69</v>
      </c>
      <c r="AD37" s="77" t="s">
        <v>70</v>
      </c>
      <c r="AE37" s="80" t="s">
        <v>71</v>
      </c>
      <c r="AF37" s="77" t="s">
        <v>166</v>
      </c>
      <c r="AG37" s="77" t="s">
        <v>128</v>
      </c>
      <c r="AH37" s="77"/>
      <c r="AI37" s="80">
        <v>9</v>
      </c>
      <c r="AJ37" s="91">
        <v>45722</v>
      </c>
      <c r="AK37" s="178">
        <v>0.94149305555555551</v>
      </c>
      <c r="AL37" s="91"/>
      <c r="AM37" s="178"/>
      <c r="AN37" s="91">
        <v>45722</v>
      </c>
      <c r="AO37" s="178">
        <v>0.94149305555555551</v>
      </c>
      <c r="AP37" s="80">
        <v>2025</v>
      </c>
      <c r="AQ37" s="93">
        <v>10</v>
      </c>
      <c r="AR37" s="93">
        <v>2</v>
      </c>
      <c r="AS37" s="93">
        <v>6</v>
      </c>
      <c r="AT37" s="94">
        <v>65</v>
      </c>
      <c r="AU37" s="95">
        <v>45722.940972222219</v>
      </c>
      <c r="AV37" s="80">
        <v>216</v>
      </c>
      <c r="AW37" t="s">
        <v>481</v>
      </c>
      <c r="AX37" s="77" t="s">
        <v>485</v>
      </c>
      <c r="AY37" s="77" t="s">
        <v>486</v>
      </c>
      <c r="AZ37" s="77" t="s">
        <v>487</v>
      </c>
      <c r="BA37" s="80" t="s">
        <v>578</v>
      </c>
      <c r="BB37" s="77" t="s">
        <v>113</v>
      </c>
      <c r="BC37" s="114" t="s">
        <v>60</v>
      </c>
    </row>
    <row r="38" spans="1:55" x14ac:dyDescent="0.25">
      <c r="A38" s="80" t="s">
        <v>488</v>
      </c>
      <c r="B38" s="91">
        <v>45725</v>
      </c>
      <c r="C38" s="77" t="s">
        <v>80</v>
      </c>
      <c r="D38" s="92">
        <v>0.79166666666666663</v>
      </c>
      <c r="E38" s="92">
        <v>0.8125</v>
      </c>
      <c r="F38" s="175" t="s">
        <v>467</v>
      </c>
      <c r="G38" s="175" t="s">
        <v>736</v>
      </c>
      <c r="H38" s="77" t="s">
        <v>489</v>
      </c>
      <c r="I38" s="77" t="s">
        <v>490</v>
      </c>
      <c r="J38" s="77" t="s">
        <v>60</v>
      </c>
      <c r="K38" s="77" t="s">
        <v>60</v>
      </c>
      <c r="L38" s="77" t="s">
        <v>61</v>
      </c>
      <c r="M38" s="77" t="s">
        <v>61</v>
      </c>
      <c r="N38" s="77" t="s">
        <v>491</v>
      </c>
      <c r="O38" s="80" t="s">
        <v>139</v>
      </c>
      <c r="P38" s="80">
        <v>7</v>
      </c>
      <c r="Q38" s="77" t="s">
        <v>492</v>
      </c>
      <c r="R38" s="80"/>
      <c r="S38" s="80"/>
      <c r="T38" s="80" t="s">
        <v>493</v>
      </c>
      <c r="U38" s="80" t="s">
        <v>494</v>
      </c>
      <c r="V38" s="80" t="s">
        <v>495</v>
      </c>
      <c r="W38" s="80" t="s">
        <v>67</v>
      </c>
      <c r="X38" s="80"/>
      <c r="Y38" s="80"/>
      <c r="Z38" s="80"/>
      <c r="AA38" s="80"/>
      <c r="AB38" s="77" t="s">
        <v>163</v>
      </c>
      <c r="AC38" s="77" t="s">
        <v>69</v>
      </c>
      <c r="AD38" s="77" t="s">
        <v>496</v>
      </c>
      <c r="AE38" s="80" t="s">
        <v>359</v>
      </c>
      <c r="AF38" s="77"/>
      <c r="AG38" s="77"/>
      <c r="AH38" s="77"/>
      <c r="AI38" s="80">
        <v>9</v>
      </c>
      <c r="AJ38" s="91">
        <v>45725</v>
      </c>
      <c r="AK38" s="178">
        <v>0.8125</v>
      </c>
      <c r="AL38" s="91">
        <v>45726</v>
      </c>
      <c r="AM38" s="178">
        <v>0.35416666666666669</v>
      </c>
      <c r="AN38" s="91">
        <v>45726</v>
      </c>
      <c r="AO38" s="178">
        <v>0.37046296296296294</v>
      </c>
      <c r="AP38" s="80">
        <v>2025</v>
      </c>
      <c r="AQ38" s="93">
        <v>11</v>
      </c>
      <c r="AR38" s="93">
        <v>3</v>
      </c>
      <c r="AS38" s="93">
        <v>9</v>
      </c>
      <c r="AT38" s="94">
        <v>68</v>
      </c>
      <c r="AU38" s="95">
        <v>45725.8125</v>
      </c>
      <c r="AV38" s="80">
        <v>282</v>
      </c>
      <c r="AW38" t="s">
        <v>492</v>
      </c>
      <c r="AX38" s="77" t="s">
        <v>497</v>
      </c>
      <c r="AY38" s="77" t="s">
        <v>498</v>
      </c>
      <c r="AZ38" s="77" t="s">
        <v>499</v>
      </c>
      <c r="BA38" s="80" t="s">
        <v>578</v>
      </c>
      <c r="BB38" s="77" t="s">
        <v>98</v>
      </c>
      <c r="BC38" s="114" t="s">
        <v>60</v>
      </c>
    </row>
    <row r="39" spans="1:55" x14ac:dyDescent="0.25">
      <c r="A39" s="80" t="s">
        <v>605</v>
      </c>
      <c r="B39" s="91">
        <v>45726</v>
      </c>
      <c r="C39" s="77" t="s">
        <v>168</v>
      </c>
      <c r="D39" s="92">
        <v>4.1666666666666664E-2</v>
      </c>
      <c r="E39" s="92">
        <v>4.6527777777777779E-2</v>
      </c>
      <c r="F39" s="175" t="s">
        <v>459</v>
      </c>
      <c r="G39" s="175" t="s">
        <v>736</v>
      </c>
      <c r="H39" s="77" t="s">
        <v>606</v>
      </c>
      <c r="I39" s="77" t="s">
        <v>607</v>
      </c>
      <c r="J39" s="77" t="s">
        <v>137</v>
      </c>
      <c r="K39" s="77" t="s">
        <v>137</v>
      </c>
      <c r="L39" s="77" t="s">
        <v>61</v>
      </c>
      <c r="M39" s="77" t="s">
        <v>61</v>
      </c>
      <c r="N39" s="77" t="s">
        <v>608</v>
      </c>
      <c r="O39" s="80" t="s">
        <v>291</v>
      </c>
      <c r="P39" s="80">
        <v>8</v>
      </c>
      <c r="Q39" s="77" t="s">
        <v>609</v>
      </c>
      <c r="R39" s="80"/>
      <c r="S39" s="80"/>
      <c r="T39" s="80"/>
      <c r="U39" s="80"/>
      <c r="V39" s="80"/>
      <c r="W39" s="80"/>
      <c r="X39" s="80"/>
      <c r="Y39" s="80"/>
      <c r="Z39" s="80"/>
      <c r="AA39" s="80"/>
      <c r="AB39" s="77" t="s">
        <v>610</v>
      </c>
      <c r="AC39" s="77" t="s">
        <v>69</v>
      </c>
      <c r="AD39" s="77" t="s">
        <v>227</v>
      </c>
      <c r="AE39" s="80" t="s">
        <v>165</v>
      </c>
      <c r="AF39" s="77" t="s">
        <v>110</v>
      </c>
      <c r="AG39" s="77" t="s">
        <v>128</v>
      </c>
      <c r="AH39" s="77" t="s">
        <v>142</v>
      </c>
      <c r="AI39" s="80">
        <v>9</v>
      </c>
      <c r="AJ39" s="91">
        <v>45726</v>
      </c>
      <c r="AK39" s="178">
        <v>4.6527777777777779E-2</v>
      </c>
      <c r="AL39" s="91">
        <v>45726</v>
      </c>
      <c r="AM39" s="178">
        <v>0.16180555555555556</v>
      </c>
      <c r="AN39" s="91">
        <v>45727</v>
      </c>
      <c r="AO39" s="178">
        <v>0.44234953703703705</v>
      </c>
      <c r="AP39" s="80">
        <v>2025</v>
      </c>
      <c r="AQ39" s="93">
        <v>11</v>
      </c>
      <c r="AR39" s="93">
        <v>3</v>
      </c>
      <c r="AS39" s="93">
        <v>10</v>
      </c>
      <c r="AT39" s="94">
        <v>69</v>
      </c>
      <c r="AU39" s="95">
        <v>45726.046527777777</v>
      </c>
      <c r="AV39" s="80">
        <v>1</v>
      </c>
      <c r="AW39" t="s">
        <v>609</v>
      </c>
      <c r="AX39" s="77"/>
      <c r="AY39" s="77" t="s">
        <v>611</v>
      </c>
      <c r="AZ39" s="77" t="s">
        <v>61</v>
      </c>
      <c r="BA39" s="80" t="s">
        <v>578</v>
      </c>
      <c r="BB39" s="77" t="s">
        <v>179</v>
      </c>
      <c r="BC39" s="114" t="s">
        <v>137</v>
      </c>
    </row>
    <row r="40" spans="1:55" x14ac:dyDescent="0.25">
      <c r="A40" s="80" t="s">
        <v>592</v>
      </c>
      <c r="B40" s="91">
        <v>45727</v>
      </c>
      <c r="C40" s="77" t="s">
        <v>55</v>
      </c>
      <c r="D40" s="92">
        <v>0.58333333333333337</v>
      </c>
      <c r="E40" s="92">
        <v>0.60416666666666663</v>
      </c>
      <c r="F40" s="175" t="s">
        <v>460</v>
      </c>
      <c r="G40" s="175" t="s">
        <v>736</v>
      </c>
      <c r="H40" s="77" t="s">
        <v>593</v>
      </c>
      <c r="I40" s="77" t="s">
        <v>594</v>
      </c>
      <c r="J40" s="77" t="s">
        <v>60</v>
      </c>
      <c r="K40" s="77" t="s">
        <v>60</v>
      </c>
      <c r="L40" s="77" t="s">
        <v>61</v>
      </c>
      <c r="M40" s="77" t="s">
        <v>61</v>
      </c>
      <c r="N40" s="77" t="s">
        <v>595</v>
      </c>
      <c r="O40" s="80" t="s">
        <v>87</v>
      </c>
      <c r="P40" s="80">
        <v>8</v>
      </c>
      <c r="Q40" s="77" t="s">
        <v>596</v>
      </c>
      <c r="R40" s="80"/>
      <c r="S40" s="80"/>
      <c r="T40" s="80" t="s">
        <v>597</v>
      </c>
      <c r="U40" s="80" t="s">
        <v>598</v>
      </c>
      <c r="V40" s="80" t="s">
        <v>599</v>
      </c>
      <c r="W40" s="80" t="s">
        <v>67</v>
      </c>
      <c r="X40" s="80"/>
      <c r="Y40" s="80"/>
      <c r="Z40" s="80"/>
      <c r="AA40" s="80"/>
      <c r="AB40" s="77" t="s">
        <v>425</v>
      </c>
      <c r="AC40" s="77" t="s">
        <v>69</v>
      </c>
      <c r="AD40" s="77" t="s">
        <v>164</v>
      </c>
      <c r="AE40" s="80" t="s">
        <v>165</v>
      </c>
      <c r="AF40" s="77" t="s">
        <v>600</v>
      </c>
      <c r="AG40" s="77" t="s">
        <v>128</v>
      </c>
      <c r="AH40" s="77" t="s">
        <v>74</v>
      </c>
      <c r="AI40" s="80">
        <v>9</v>
      </c>
      <c r="AJ40" s="91">
        <v>45727</v>
      </c>
      <c r="AK40" s="178">
        <v>0.60416666666666663</v>
      </c>
      <c r="AL40" s="91"/>
      <c r="AM40" s="178"/>
      <c r="AN40" s="91">
        <v>45727</v>
      </c>
      <c r="AO40" s="178">
        <v>0.69039351851851849</v>
      </c>
      <c r="AP40" s="80">
        <v>2025</v>
      </c>
      <c r="AQ40" s="93">
        <v>11</v>
      </c>
      <c r="AR40" s="93">
        <v>3</v>
      </c>
      <c r="AS40" s="93">
        <v>11</v>
      </c>
      <c r="AT40" s="94">
        <v>70</v>
      </c>
      <c r="AU40" s="95">
        <v>45727.604166666664</v>
      </c>
      <c r="AV40" s="80">
        <v>123</v>
      </c>
      <c r="AW40" t="s">
        <v>596</v>
      </c>
      <c r="AX40" s="77" t="s">
        <v>601</v>
      </c>
      <c r="AY40" s="77" t="s">
        <v>602</v>
      </c>
      <c r="AZ40" s="77" t="s">
        <v>603</v>
      </c>
      <c r="BA40" s="80" t="s">
        <v>604</v>
      </c>
      <c r="BB40" s="77" t="s">
        <v>78</v>
      </c>
      <c r="BC40" s="114" t="s">
        <v>60</v>
      </c>
    </row>
    <row r="41" spans="1:55" x14ac:dyDescent="0.25">
      <c r="A41" s="80" t="s">
        <v>612</v>
      </c>
      <c r="B41" s="91">
        <v>45734</v>
      </c>
      <c r="C41" s="77" t="s">
        <v>301</v>
      </c>
      <c r="D41" s="92">
        <v>0.20833333333333334</v>
      </c>
      <c r="E41" s="92">
        <v>0.22916666666666666</v>
      </c>
      <c r="F41" s="175" t="s">
        <v>460</v>
      </c>
      <c r="G41" s="175" t="s">
        <v>736</v>
      </c>
      <c r="H41" s="77" t="s">
        <v>365</v>
      </c>
      <c r="I41" s="77" t="s">
        <v>613</v>
      </c>
      <c r="J41" s="77" t="s">
        <v>614</v>
      </c>
      <c r="K41" s="77" t="s">
        <v>449</v>
      </c>
      <c r="L41" s="77" t="s">
        <v>137</v>
      </c>
      <c r="M41" s="77" t="s">
        <v>61</v>
      </c>
      <c r="N41" s="77" t="s">
        <v>615</v>
      </c>
      <c r="O41" s="80" t="s">
        <v>371</v>
      </c>
      <c r="P41" s="80">
        <v>9</v>
      </c>
      <c r="Q41" s="77" t="s">
        <v>616</v>
      </c>
      <c r="R41" s="80"/>
      <c r="S41" s="80"/>
      <c r="T41" s="80" t="s">
        <v>617</v>
      </c>
      <c r="U41" s="80" t="s">
        <v>618</v>
      </c>
      <c r="V41" s="80" t="s">
        <v>619</v>
      </c>
      <c r="W41" s="80" t="s">
        <v>67</v>
      </c>
      <c r="X41" s="80"/>
      <c r="Y41" s="80"/>
      <c r="Z41" s="80"/>
      <c r="AA41" s="80"/>
      <c r="AB41" s="77"/>
      <c r="AC41" s="77" t="s">
        <v>69</v>
      </c>
      <c r="AD41" s="77" t="s">
        <v>620</v>
      </c>
      <c r="AE41" s="80" t="s">
        <v>621</v>
      </c>
      <c r="AF41" s="77"/>
      <c r="AG41" s="77"/>
      <c r="AH41" s="77"/>
      <c r="AI41" s="80">
        <v>9</v>
      </c>
      <c r="AJ41" s="91"/>
      <c r="AK41" s="178"/>
      <c r="AL41" s="91">
        <v>45734</v>
      </c>
      <c r="AM41" s="178">
        <v>0.22916666666666666</v>
      </c>
      <c r="AN41" s="91">
        <v>45734</v>
      </c>
      <c r="AO41" s="178">
        <v>0.27405092592592595</v>
      </c>
      <c r="AP41" s="80">
        <v>2025</v>
      </c>
      <c r="AQ41" s="93">
        <v>12</v>
      </c>
      <c r="AR41" s="93">
        <v>4</v>
      </c>
      <c r="AS41" s="93">
        <v>18</v>
      </c>
      <c r="AT41" s="94">
        <v>77</v>
      </c>
      <c r="AU41" s="95">
        <v>45734.229166666664</v>
      </c>
      <c r="AV41" s="80">
        <v>414</v>
      </c>
      <c r="AW41" t="s">
        <v>616</v>
      </c>
      <c r="AX41" s="77" t="s">
        <v>622</v>
      </c>
      <c r="AY41" s="77" t="s">
        <v>61</v>
      </c>
      <c r="AZ41" s="77" t="s">
        <v>61</v>
      </c>
      <c r="BA41" s="80" t="s">
        <v>623</v>
      </c>
      <c r="BB41" s="77" t="s">
        <v>312</v>
      </c>
      <c r="BC41" s="114" t="s">
        <v>614</v>
      </c>
    </row>
    <row r="42" spans="1:55" x14ac:dyDescent="0.25">
      <c r="A42" s="80" t="s">
        <v>640</v>
      </c>
      <c r="B42" s="91">
        <v>45737</v>
      </c>
      <c r="C42" s="77" t="s">
        <v>301</v>
      </c>
      <c r="D42" s="92">
        <v>0.29166666666666669</v>
      </c>
      <c r="E42" s="92">
        <v>0.32500000000000001</v>
      </c>
      <c r="F42" s="175" t="s">
        <v>463</v>
      </c>
      <c r="G42" s="175" t="s">
        <v>736</v>
      </c>
      <c r="H42" s="77" t="s">
        <v>641</v>
      </c>
      <c r="I42" s="77" t="s">
        <v>642</v>
      </c>
      <c r="J42" s="77" t="s">
        <v>221</v>
      </c>
      <c r="K42" s="77" t="s">
        <v>221</v>
      </c>
      <c r="L42" s="77" t="s">
        <v>61</v>
      </c>
      <c r="M42" s="77" t="s">
        <v>61</v>
      </c>
      <c r="N42" s="77" t="s">
        <v>643</v>
      </c>
      <c r="O42" s="80" t="s">
        <v>269</v>
      </c>
      <c r="P42" s="80">
        <v>6</v>
      </c>
      <c r="Q42" s="77" t="s">
        <v>644</v>
      </c>
      <c r="R42" s="80"/>
      <c r="S42" s="80"/>
      <c r="T42" s="80" t="s">
        <v>645</v>
      </c>
      <c r="U42" s="80" t="s">
        <v>646</v>
      </c>
      <c r="V42" s="80"/>
      <c r="W42" s="80" t="s">
        <v>67</v>
      </c>
      <c r="X42" s="80"/>
      <c r="Y42" s="80"/>
      <c r="Z42" s="80"/>
      <c r="AA42" s="80"/>
      <c r="AB42" s="77" t="s">
        <v>484</v>
      </c>
      <c r="AC42" s="77" t="s">
        <v>69</v>
      </c>
      <c r="AD42" s="77" t="s">
        <v>152</v>
      </c>
      <c r="AE42" s="80" t="s">
        <v>93</v>
      </c>
      <c r="AF42" s="77" t="s">
        <v>187</v>
      </c>
      <c r="AG42" s="77" t="s">
        <v>188</v>
      </c>
      <c r="AH42" s="77"/>
      <c r="AI42" s="80">
        <v>9</v>
      </c>
      <c r="AJ42" s="91">
        <v>45737</v>
      </c>
      <c r="AK42" s="178">
        <v>0.32500000000000001</v>
      </c>
      <c r="AL42" s="91"/>
      <c r="AM42" s="178"/>
      <c r="AN42" s="91">
        <v>45737</v>
      </c>
      <c r="AO42" s="178">
        <v>0.59714120370370372</v>
      </c>
      <c r="AP42" s="80">
        <v>2025</v>
      </c>
      <c r="AQ42" s="93">
        <v>12</v>
      </c>
      <c r="AR42" s="93">
        <v>4</v>
      </c>
      <c r="AS42" s="93">
        <v>21</v>
      </c>
      <c r="AT42" s="94">
        <v>80</v>
      </c>
      <c r="AU42" s="95">
        <v>45737.324999999997</v>
      </c>
      <c r="AV42" s="80">
        <v>171</v>
      </c>
      <c r="AW42" t="s">
        <v>644</v>
      </c>
      <c r="AX42" s="77" t="s">
        <v>647</v>
      </c>
      <c r="AY42" s="77" t="s">
        <v>648</v>
      </c>
      <c r="AZ42" s="77" t="s">
        <v>649</v>
      </c>
      <c r="BA42" s="80" t="s">
        <v>623</v>
      </c>
      <c r="BB42" s="77" t="s">
        <v>312</v>
      </c>
      <c r="BC42" s="114" t="s">
        <v>221</v>
      </c>
    </row>
    <row r="43" spans="1:55" x14ac:dyDescent="0.25">
      <c r="A43" s="80" t="s">
        <v>650</v>
      </c>
      <c r="B43" s="91">
        <v>45739</v>
      </c>
      <c r="C43" s="77" t="s">
        <v>301</v>
      </c>
      <c r="D43" s="92">
        <v>0.16666666666666666</v>
      </c>
      <c r="E43" s="92">
        <v>0.1736111111111111</v>
      </c>
      <c r="F43" s="175" t="s">
        <v>467</v>
      </c>
      <c r="G43" s="175" t="s">
        <v>736</v>
      </c>
      <c r="H43" s="77" t="s">
        <v>651</v>
      </c>
      <c r="I43" s="77" t="s">
        <v>652</v>
      </c>
      <c r="J43" s="77" t="s">
        <v>653</v>
      </c>
      <c r="K43" s="77" t="s">
        <v>60</v>
      </c>
      <c r="L43" s="77" t="s">
        <v>654</v>
      </c>
      <c r="M43" s="77" t="s">
        <v>61</v>
      </c>
      <c r="N43" s="77" t="s">
        <v>655</v>
      </c>
      <c r="O43" s="80" t="s">
        <v>258</v>
      </c>
      <c r="P43" s="80">
        <v>5</v>
      </c>
      <c r="Q43" s="77" t="s">
        <v>656</v>
      </c>
      <c r="R43" s="80"/>
      <c r="S43" s="80"/>
      <c r="T43" s="80" t="s">
        <v>657</v>
      </c>
      <c r="U43" s="80" t="s">
        <v>122</v>
      </c>
      <c r="V43" s="80" t="s">
        <v>658</v>
      </c>
      <c r="W43" s="80" t="s">
        <v>67</v>
      </c>
      <c r="X43" s="80"/>
      <c r="Y43" s="80"/>
      <c r="Z43" s="80"/>
      <c r="AA43" s="80"/>
      <c r="AB43" s="77" t="s">
        <v>659</v>
      </c>
      <c r="AC43" s="77" t="s">
        <v>69</v>
      </c>
      <c r="AD43" s="77" t="s">
        <v>109</v>
      </c>
      <c r="AE43" s="80" t="s">
        <v>71</v>
      </c>
      <c r="AF43" s="77" t="s">
        <v>127</v>
      </c>
      <c r="AG43" s="77" t="s">
        <v>128</v>
      </c>
      <c r="AH43" s="77"/>
      <c r="AI43" s="80">
        <v>9</v>
      </c>
      <c r="AJ43" s="91">
        <v>45739</v>
      </c>
      <c r="AK43" s="178">
        <v>0.1736111111111111</v>
      </c>
      <c r="AL43" s="91">
        <v>45739</v>
      </c>
      <c r="AM43" s="178">
        <v>0.18055555555555555</v>
      </c>
      <c r="AN43" s="91">
        <v>45739</v>
      </c>
      <c r="AO43" s="178">
        <v>0.20511574074074074</v>
      </c>
      <c r="AP43" s="80">
        <v>2025</v>
      </c>
      <c r="AQ43" s="93">
        <v>13</v>
      </c>
      <c r="AR43" s="93">
        <v>5</v>
      </c>
      <c r="AS43" s="93">
        <v>23</v>
      </c>
      <c r="AT43" s="94">
        <v>82</v>
      </c>
      <c r="AU43" s="95">
        <v>45739.173611111109</v>
      </c>
      <c r="AV43" s="80">
        <v>24</v>
      </c>
      <c r="AW43" t="s">
        <v>656</v>
      </c>
      <c r="AX43" s="77" t="s">
        <v>660</v>
      </c>
      <c r="AY43" s="77" t="s">
        <v>661</v>
      </c>
      <c r="AZ43" s="77" t="s">
        <v>662</v>
      </c>
      <c r="BA43" s="80" t="s">
        <v>623</v>
      </c>
      <c r="BB43" s="77" t="s">
        <v>312</v>
      </c>
      <c r="BC43" s="114" t="s">
        <v>653</v>
      </c>
    </row>
    <row r="44" spans="1:55" x14ac:dyDescent="0.25">
      <c r="A44" s="96" t="s">
        <v>663</v>
      </c>
      <c r="B44" s="97">
        <v>45741</v>
      </c>
      <c r="C44" s="98" t="s">
        <v>146</v>
      </c>
      <c r="D44" s="99">
        <v>0.45833333333333331</v>
      </c>
      <c r="E44" s="99">
        <v>0.48402777777777778</v>
      </c>
      <c r="F44" s="176" t="s">
        <v>460</v>
      </c>
      <c r="G44" s="176" t="s">
        <v>736</v>
      </c>
      <c r="H44" s="98" t="s">
        <v>365</v>
      </c>
      <c r="I44" s="98" t="s">
        <v>366</v>
      </c>
      <c r="J44" s="98" t="s">
        <v>664</v>
      </c>
      <c r="K44" s="98" t="s">
        <v>355</v>
      </c>
      <c r="L44" s="98" t="s">
        <v>85</v>
      </c>
      <c r="M44" s="98" t="s">
        <v>665</v>
      </c>
      <c r="N44" s="98" t="s">
        <v>370</v>
      </c>
      <c r="O44" s="96" t="s">
        <v>371</v>
      </c>
      <c r="P44" s="96">
        <v>9</v>
      </c>
      <c r="Q44" s="98" t="s">
        <v>666</v>
      </c>
      <c r="R44" s="96"/>
      <c r="S44" s="96"/>
      <c r="T44" s="96" t="s">
        <v>667</v>
      </c>
      <c r="U44" s="96" t="s">
        <v>598</v>
      </c>
      <c r="V44" s="96" t="s">
        <v>668</v>
      </c>
      <c r="W44" s="96" t="s">
        <v>67</v>
      </c>
      <c r="X44" s="96"/>
      <c r="Y44" s="96"/>
      <c r="Z44" s="96"/>
      <c r="AA44" s="96"/>
      <c r="AB44" s="98" t="s">
        <v>163</v>
      </c>
      <c r="AC44" s="98" t="s">
        <v>69</v>
      </c>
      <c r="AD44" s="98" t="s">
        <v>669</v>
      </c>
      <c r="AE44" s="96" t="s">
        <v>359</v>
      </c>
      <c r="AF44" s="98" t="s">
        <v>166</v>
      </c>
      <c r="AG44" s="98" t="s">
        <v>128</v>
      </c>
      <c r="AH44" s="98"/>
      <c r="AI44" s="96">
        <v>9</v>
      </c>
      <c r="AJ44" s="97">
        <v>45741</v>
      </c>
      <c r="AK44" s="179">
        <v>0.48402777777777778</v>
      </c>
      <c r="AL44" s="97"/>
      <c r="AM44" s="179"/>
      <c r="AN44" s="97">
        <v>45741</v>
      </c>
      <c r="AO44" s="179">
        <v>0.50343749999999998</v>
      </c>
      <c r="AP44" s="96">
        <v>2025</v>
      </c>
      <c r="AQ44" s="100">
        <v>13</v>
      </c>
      <c r="AR44" s="100">
        <v>5</v>
      </c>
      <c r="AS44" s="100">
        <v>25</v>
      </c>
      <c r="AT44" s="101">
        <v>84</v>
      </c>
      <c r="AU44" s="102">
        <v>45741.484027777777</v>
      </c>
      <c r="AV44" s="96">
        <v>450</v>
      </c>
      <c r="AW44" s="103" t="s">
        <v>666</v>
      </c>
      <c r="AX44" s="98" t="s">
        <v>670</v>
      </c>
      <c r="AY44" s="98" t="s">
        <v>671</v>
      </c>
      <c r="AZ44" s="98" t="s">
        <v>672</v>
      </c>
      <c r="BA44" s="96" t="s">
        <v>632</v>
      </c>
      <c r="BB44" s="98" t="s">
        <v>155</v>
      </c>
      <c r="BC44" s="114" t="s">
        <v>664</v>
      </c>
    </row>
    <row r="45" spans="1:55" s="125" customFormat="1" x14ac:dyDescent="0.25">
      <c r="A45" s="117" t="s">
        <v>624</v>
      </c>
      <c r="B45" s="118">
        <v>45743</v>
      </c>
      <c r="C45" s="119" t="s">
        <v>100</v>
      </c>
      <c r="D45" s="120">
        <v>0.91666666666666663</v>
      </c>
      <c r="E45" s="120">
        <v>0.94666666666666666</v>
      </c>
      <c r="F45" s="177" t="s">
        <v>818</v>
      </c>
      <c r="G45" s="177" t="s">
        <v>736</v>
      </c>
      <c r="H45" s="119" t="s">
        <v>501</v>
      </c>
      <c r="I45" s="119" t="s">
        <v>625</v>
      </c>
      <c r="J45" s="119" t="s">
        <v>626</v>
      </c>
      <c r="K45" s="119" t="s">
        <v>172</v>
      </c>
      <c r="L45" s="119" t="s">
        <v>627</v>
      </c>
      <c r="M45" s="119" t="s">
        <v>368</v>
      </c>
      <c r="N45" s="119" t="s">
        <v>628</v>
      </c>
      <c r="O45" s="117" t="s">
        <v>269</v>
      </c>
      <c r="P45" s="117">
        <v>6</v>
      </c>
      <c r="Q45" s="119" t="s">
        <v>629</v>
      </c>
      <c r="R45" s="117"/>
      <c r="S45" s="117"/>
      <c r="T45" s="117"/>
      <c r="U45" s="117"/>
      <c r="V45" s="117"/>
      <c r="W45" s="117"/>
      <c r="X45" s="117"/>
      <c r="Y45" s="117"/>
      <c r="Z45" s="117"/>
      <c r="AA45" s="117"/>
      <c r="AB45" s="119" t="s">
        <v>425</v>
      </c>
      <c r="AC45" s="119" t="s">
        <v>69</v>
      </c>
      <c r="AD45" s="119" t="s">
        <v>630</v>
      </c>
      <c r="AE45" s="117" t="s">
        <v>126</v>
      </c>
      <c r="AF45" s="119" t="s">
        <v>386</v>
      </c>
      <c r="AG45" s="119" t="s">
        <v>128</v>
      </c>
      <c r="AH45" s="119"/>
      <c r="AI45" s="117">
        <v>9</v>
      </c>
      <c r="AJ45" s="118">
        <v>45743</v>
      </c>
      <c r="AK45" s="180">
        <v>0.94666666666666666</v>
      </c>
      <c r="AL45" s="118"/>
      <c r="AM45" s="180"/>
      <c r="AN45" s="118">
        <v>45743</v>
      </c>
      <c r="AO45" s="180">
        <v>0.94666666666666666</v>
      </c>
      <c r="AP45" s="117">
        <v>2025</v>
      </c>
      <c r="AQ45" s="121">
        <v>13</v>
      </c>
      <c r="AR45" s="121">
        <v>5</v>
      </c>
      <c r="AS45" s="121">
        <v>27</v>
      </c>
      <c r="AT45" s="122">
        <v>86</v>
      </c>
      <c r="AU45" s="123">
        <v>45743.946527777778</v>
      </c>
      <c r="AV45" s="117">
        <v>211</v>
      </c>
      <c r="AW45" s="124" t="s">
        <v>629</v>
      </c>
      <c r="AX45" s="119"/>
      <c r="AY45" s="119" t="s">
        <v>61</v>
      </c>
      <c r="AZ45" s="119" t="s">
        <v>631</v>
      </c>
      <c r="BA45" s="117" t="s">
        <v>632</v>
      </c>
      <c r="BB45" s="119" t="s">
        <v>113</v>
      </c>
      <c r="BC45" s="114" t="s">
        <v>626</v>
      </c>
    </row>
    <row r="46" spans="1:55" s="125" customFormat="1" x14ac:dyDescent="0.25">
      <c r="A46" s="117" t="s">
        <v>633</v>
      </c>
      <c r="B46" s="118">
        <v>45743</v>
      </c>
      <c r="C46" s="119" t="s">
        <v>100</v>
      </c>
      <c r="D46" s="120">
        <v>0.95833333333333337</v>
      </c>
      <c r="E46" s="120">
        <v>0.97916666666666663</v>
      </c>
      <c r="F46" s="177" t="s">
        <v>818</v>
      </c>
      <c r="G46" s="177" t="s">
        <v>736</v>
      </c>
      <c r="H46" s="119" t="s">
        <v>606</v>
      </c>
      <c r="I46" s="119" t="s">
        <v>634</v>
      </c>
      <c r="J46" s="119" t="s">
        <v>137</v>
      </c>
      <c r="K46" s="119" t="s">
        <v>137</v>
      </c>
      <c r="L46" s="119" t="s">
        <v>61</v>
      </c>
      <c r="M46" s="119" t="s">
        <v>61</v>
      </c>
      <c r="N46" s="119" t="s">
        <v>635</v>
      </c>
      <c r="O46" s="117" t="s">
        <v>291</v>
      </c>
      <c r="P46" s="117">
        <v>8</v>
      </c>
      <c r="Q46" s="119" t="s">
        <v>636</v>
      </c>
      <c r="R46" s="117">
        <v>50300</v>
      </c>
      <c r="S46" s="117"/>
      <c r="T46" s="117"/>
      <c r="U46" s="117"/>
      <c r="V46" s="117"/>
      <c r="W46" s="117"/>
      <c r="X46" s="117"/>
      <c r="Y46" s="117"/>
      <c r="Z46" s="117"/>
      <c r="AA46" s="117"/>
      <c r="AB46" s="119" t="s">
        <v>163</v>
      </c>
      <c r="AC46" s="119" t="s">
        <v>69</v>
      </c>
      <c r="AD46" s="119" t="s">
        <v>496</v>
      </c>
      <c r="AE46" s="117" t="s">
        <v>359</v>
      </c>
      <c r="AF46" s="119" t="s">
        <v>637</v>
      </c>
      <c r="AG46" s="119" t="s">
        <v>128</v>
      </c>
      <c r="AH46" s="119"/>
      <c r="AI46" s="117">
        <v>9</v>
      </c>
      <c r="AJ46" s="118">
        <v>45743</v>
      </c>
      <c r="AK46" s="180">
        <v>0.97916666666666663</v>
      </c>
      <c r="AL46" s="118">
        <v>45744</v>
      </c>
      <c r="AM46" s="180">
        <v>2.5000000000000001E-2</v>
      </c>
      <c r="AN46" s="118">
        <v>45744</v>
      </c>
      <c r="AO46" s="180">
        <v>0.46781250000000002</v>
      </c>
      <c r="AP46" s="117">
        <v>2025</v>
      </c>
      <c r="AQ46" s="121">
        <v>13</v>
      </c>
      <c r="AR46" s="121">
        <v>5</v>
      </c>
      <c r="AS46" s="121">
        <v>27</v>
      </c>
      <c r="AT46" s="122">
        <v>86</v>
      </c>
      <c r="AU46" s="123">
        <v>45743.979166666664</v>
      </c>
      <c r="AV46" s="117">
        <v>2</v>
      </c>
      <c r="AW46" s="124" t="s">
        <v>636</v>
      </c>
      <c r="AX46" s="119"/>
      <c r="AY46" s="119" t="s">
        <v>638</v>
      </c>
      <c r="AZ46" s="119" t="s">
        <v>639</v>
      </c>
      <c r="BA46" s="117" t="s">
        <v>632</v>
      </c>
      <c r="BB46" s="119" t="s">
        <v>113</v>
      </c>
      <c r="BC46" s="114" t="s">
        <v>137</v>
      </c>
    </row>
    <row r="47" spans="1:55" x14ac:dyDescent="0.25">
      <c r="A47" s="96" t="s">
        <v>673</v>
      </c>
      <c r="B47" s="97">
        <v>45744</v>
      </c>
      <c r="C47" s="98" t="s">
        <v>100</v>
      </c>
      <c r="D47" s="99">
        <v>0.83333333333333337</v>
      </c>
      <c r="E47" s="99">
        <v>0.85416666666666663</v>
      </c>
      <c r="F47" s="176" t="s">
        <v>463</v>
      </c>
      <c r="G47" s="176" t="s">
        <v>736</v>
      </c>
      <c r="H47" s="98" t="s">
        <v>674</v>
      </c>
      <c r="I47" s="98" t="s">
        <v>675</v>
      </c>
      <c r="J47" s="98" t="s">
        <v>221</v>
      </c>
      <c r="K47" s="98" t="s">
        <v>221</v>
      </c>
      <c r="L47" s="98" t="s">
        <v>61</v>
      </c>
      <c r="M47" s="98" t="s">
        <v>61</v>
      </c>
      <c r="N47" s="98" t="s">
        <v>676</v>
      </c>
      <c r="O47" s="96" t="s">
        <v>435</v>
      </c>
      <c r="P47" s="96">
        <v>8</v>
      </c>
      <c r="Q47" s="98" t="s">
        <v>677</v>
      </c>
      <c r="R47" s="96"/>
      <c r="S47" s="96"/>
      <c r="T47" s="96" t="s">
        <v>678</v>
      </c>
      <c r="U47" s="96" t="s">
        <v>679</v>
      </c>
      <c r="V47" s="96" t="s">
        <v>680</v>
      </c>
      <c r="W47" s="96" t="s">
        <v>67</v>
      </c>
      <c r="X47" s="96"/>
      <c r="Y47" s="96"/>
      <c r="Z47" s="96"/>
      <c r="AA47" s="96"/>
      <c r="AB47" s="98" t="s">
        <v>659</v>
      </c>
      <c r="AC47" s="98" t="s">
        <v>69</v>
      </c>
      <c r="AD47" s="98" t="s">
        <v>681</v>
      </c>
      <c r="AE47" s="96" t="s">
        <v>682</v>
      </c>
      <c r="AF47" s="98"/>
      <c r="AG47" s="98"/>
      <c r="AH47" s="98"/>
      <c r="AI47" s="96">
        <v>9</v>
      </c>
      <c r="AJ47" s="97">
        <v>45744</v>
      </c>
      <c r="AK47" s="179">
        <v>0.85416666666666663</v>
      </c>
      <c r="AL47" s="97">
        <v>45745</v>
      </c>
      <c r="AM47" s="179">
        <v>0.41666666666666669</v>
      </c>
      <c r="AN47" s="97">
        <v>45745</v>
      </c>
      <c r="AO47" s="179">
        <v>0.42986111111111114</v>
      </c>
      <c r="AP47" s="96">
        <v>2025</v>
      </c>
      <c r="AQ47" s="100">
        <v>13</v>
      </c>
      <c r="AR47" s="100">
        <v>5</v>
      </c>
      <c r="AS47" s="100">
        <v>28</v>
      </c>
      <c r="AT47" s="101">
        <v>87</v>
      </c>
      <c r="AU47" s="102">
        <v>45744.854166666664</v>
      </c>
      <c r="AV47" s="96">
        <v>296</v>
      </c>
      <c r="AW47" s="103" t="s">
        <v>677</v>
      </c>
      <c r="AX47" s="98" t="s">
        <v>683</v>
      </c>
      <c r="AY47" s="98" t="s">
        <v>61</v>
      </c>
      <c r="AZ47" s="98" t="s">
        <v>684</v>
      </c>
      <c r="BA47" s="96" t="s">
        <v>632</v>
      </c>
      <c r="BB47" s="98" t="s">
        <v>113</v>
      </c>
      <c r="BC47" s="114" t="s">
        <v>221</v>
      </c>
    </row>
    <row r="48" spans="1:55" x14ac:dyDescent="0.25">
      <c r="A48" s="96" t="s">
        <v>685</v>
      </c>
      <c r="B48" s="97">
        <v>45745</v>
      </c>
      <c r="C48" s="98" t="s">
        <v>301</v>
      </c>
      <c r="D48" s="99">
        <v>0.16666666666666666</v>
      </c>
      <c r="E48" s="99">
        <v>0.20515046296296297</v>
      </c>
      <c r="F48" s="176" t="s">
        <v>464</v>
      </c>
      <c r="G48" s="176" t="s">
        <v>736</v>
      </c>
      <c r="H48" s="98" t="s">
        <v>686</v>
      </c>
      <c r="I48" s="98" t="s">
        <v>687</v>
      </c>
      <c r="J48" s="98" t="s">
        <v>688</v>
      </c>
      <c r="K48" s="98" t="s">
        <v>183</v>
      </c>
      <c r="L48" s="98" t="s">
        <v>689</v>
      </c>
      <c r="M48" s="98" t="s">
        <v>61</v>
      </c>
      <c r="N48" s="98" t="s">
        <v>690</v>
      </c>
      <c r="O48" s="96" t="s">
        <v>281</v>
      </c>
      <c r="P48" s="96">
        <v>6</v>
      </c>
      <c r="Q48" s="98" t="s">
        <v>691</v>
      </c>
      <c r="R48" s="96"/>
      <c r="S48" s="96"/>
      <c r="T48" s="96" t="s">
        <v>692</v>
      </c>
      <c r="U48" s="96" t="s">
        <v>679</v>
      </c>
      <c r="V48" s="96" t="s">
        <v>680</v>
      </c>
      <c r="W48" s="96" t="s">
        <v>67</v>
      </c>
      <c r="X48" s="96"/>
      <c r="Y48" s="96"/>
      <c r="Z48" s="96"/>
      <c r="AA48" s="96"/>
      <c r="AB48" s="98" t="s">
        <v>659</v>
      </c>
      <c r="AC48" s="98" t="s">
        <v>69</v>
      </c>
      <c r="AD48" s="98" t="s">
        <v>630</v>
      </c>
      <c r="AE48" s="96" t="s">
        <v>126</v>
      </c>
      <c r="AF48" s="98"/>
      <c r="AG48" s="98"/>
      <c r="AH48" s="98"/>
      <c r="AI48" s="96">
        <v>9</v>
      </c>
      <c r="AJ48" s="97">
        <v>45745</v>
      </c>
      <c r="AK48" s="179">
        <v>0.20515046296296297</v>
      </c>
      <c r="AL48" s="97"/>
      <c r="AM48" s="179"/>
      <c r="AN48" s="97">
        <v>45745</v>
      </c>
      <c r="AO48" s="179">
        <v>0.20931712962962962</v>
      </c>
      <c r="AP48" s="96">
        <v>2025</v>
      </c>
      <c r="AQ48" s="100">
        <v>13</v>
      </c>
      <c r="AR48" s="100">
        <v>5</v>
      </c>
      <c r="AS48" s="100">
        <v>29</v>
      </c>
      <c r="AT48" s="101">
        <v>88</v>
      </c>
      <c r="AU48" s="102">
        <v>45745.204861111109</v>
      </c>
      <c r="AV48" s="96">
        <v>15</v>
      </c>
      <c r="AW48" s="103" t="s">
        <v>691</v>
      </c>
      <c r="AX48" s="98" t="s">
        <v>693</v>
      </c>
      <c r="AY48" s="98" t="s">
        <v>694</v>
      </c>
      <c r="AZ48" s="98" t="s">
        <v>695</v>
      </c>
      <c r="BA48" s="96" t="s">
        <v>632</v>
      </c>
      <c r="BB48" s="98" t="s">
        <v>312</v>
      </c>
      <c r="BC48" s="114" t="s">
        <v>816</v>
      </c>
    </row>
    <row r="49" spans="1:55" s="125" customFormat="1" x14ac:dyDescent="0.25">
      <c r="A49" s="117" t="s">
        <v>761</v>
      </c>
      <c r="B49" s="118">
        <v>45747</v>
      </c>
      <c r="C49" s="119" t="s">
        <v>55</v>
      </c>
      <c r="D49" s="120">
        <v>0.5</v>
      </c>
      <c r="E49" s="120">
        <v>0.5</v>
      </c>
      <c r="F49" s="177" t="s">
        <v>459</v>
      </c>
      <c r="G49" s="177" t="s">
        <v>736</v>
      </c>
      <c r="H49" s="119" t="s">
        <v>265</v>
      </c>
      <c r="I49" s="119" t="s">
        <v>762</v>
      </c>
      <c r="J49" s="119" t="s">
        <v>137</v>
      </c>
      <c r="K49" s="119" t="s">
        <v>137</v>
      </c>
      <c r="L49" s="119" t="s">
        <v>61</v>
      </c>
      <c r="M49" s="119" t="s">
        <v>61</v>
      </c>
      <c r="N49" s="119" t="s">
        <v>763</v>
      </c>
      <c r="O49" s="117" t="s">
        <v>764</v>
      </c>
      <c r="P49" s="117">
        <v>7</v>
      </c>
      <c r="Q49" s="119" t="s">
        <v>765</v>
      </c>
      <c r="R49" s="117"/>
      <c r="S49" s="117"/>
      <c r="T49" s="117"/>
      <c r="U49" s="117"/>
      <c r="V49" s="117"/>
      <c r="W49" s="117"/>
      <c r="X49" s="117"/>
      <c r="Y49" s="117"/>
      <c r="Z49" s="117"/>
      <c r="AA49" s="117"/>
      <c r="AB49" s="119" t="s">
        <v>659</v>
      </c>
      <c r="AC49" s="119" t="s">
        <v>69</v>
      </c>
      <c r="AD49" s="119" t="s">
        <v>766</v>
      </c>
      <c r="AE49" s="117" t="s">
        <v>93</v>
      </c>
      <c r="AF49" s="119"/>
      <c r="AG49" s="119"/>
      <c r="AH49" s="119"/>
      <c r="AI49" s="117">
        <v>9</v>
      </c>
      <c r="AJ49" s="118">
        <v>45747</v>
      </c>
      <c r="AK49" s="180">
        <v>0.5</v>
      </c>
      <c r="AL49" s="118"/>
      <c r="AM49" s="180"/>
      <c r="AN49" s="118">
        <v>45747</v>
      </c>
      <c r="AO49" s="180">
        <v>0.54355324074074074</v>
      </c>
      <c r="AP49" s="117">
        <v>2025</v>
      </c>
      <c r="AQ49" s="121">
        <v>14</v>
      </c>
      <c r="AR49" s="121">
        <v>6</v>
      </c>
      <c r="AS49" s="121">
        <v>31</v>
      </c>
      <c r="AT49" s="122">
        <v>90</v>
      </c>
      <c r="AU49" s="123">
        <v>45747.5</v>
      </c>
      <c r="AV49" s="117">
        <v>100</v>
      </c>
      <c r="AW49" s="124" t="s">
        <v>765</v>
      </c>
      <c r="AX49" s="119"/>
      <c r="AY49" s="119" t="s">
        <v>767</v>
      </c>
      <c r="AZ49" s="119" t="s">
        <v>768</v>
      </c>
      <c r="BA49" s="117" t="s">
        <v>632</v>
      </c>
      <c r="BB49" s="119" t="s">
        <v>78</v>
      </c>
      <c r="BC49" s="114" t="s">
        <v>137</v>
      </c>
    </row>
    <row r="50" spans="1:55" x14ac:dyDescent="0.25">
      <c r="A50" s="96" t="s">
        <v>769</v>
      </c>
      <c r="B50" s="97">
        <v>45747</v>
      </c>
      <c r="C50" s="98" t="s">
        <v>80</v>
      </c>
      <c r="D50" s="99">
        <v>0.75</v>
      </c>
      <c r="E50" s="99">
        <v>0.77777777777777779</v>
      </c>
      <c r="F50" s="176" t="s">
        <v>459</v>
      </c>
      <c r="G50" s="176" t="s">
        <v>736</v>
      </c>
      <c r="H50" s="98" t="s">
        <v>770</v>
      </c>
      <c r="I50" s="98" t="s">
        <v>770</v>
      </c>
      <c r="J50" s="98" t="s">
        <v>771</v>
      </c>
      <c r="K50" s="98" t="s">
        <v>60</v>
      </c>
      <c r="L50" s="98" t="s">
        <v>85</v>
      </c>
      <c r="M50" s="98" t="s">
        <v>772</v>
      </c>
      <c r="N50" s="98" t="s">
        <v>773</v>
      </c>
      <c r="O50" s="96" t="s">
        <v>139</v>
      </c>
      <c r="P50" s="96">
        <v>7</v>
      </c>
      <c r="Q50" s="98" t="s">
        <v>774</v>
      </c>
      <c r="R50" s="96"/>
      <c r="S50" s="96"/>
      <c r="T50" s="96" t="s">
        <v>775</v>
      </c>
      <c r="U50" s="96" t="s">
        <v>776</v>
      </c>
      <c r="V50" s="96" t="s">
        <v>777</v>
      </c>
      <c r="W50" s="96" t="s">
        <v>67</v>
      </c>
      <c r="X50" s="96"/>
      <c r="Y50" s="96"/>
      <c r="Z50" s="96"/>
      <c r="AA50" s="96"/>
      <c r="AB50" s="98" t="s">
        <v>484</v>
      </c>
      <c r="AC50" s="98" t="s">
        <v>69</v>
      </c>
      <c r="AD50" s="98" t="s">
        <v>778</v>
      </c>
      <c r="AE50" s="96" t="s">
        <v>93</v>
      </c>
      <c r="AF50" s="98"/>
      <c r="AG50" s="98"/>
      <c r="AH50" s="98"/>
      <c r="AI50" s="96">
        <v>9</v>
      </c>
      <c r="AJ50" s="97">
        <v>45747</v>
      </c>
      <c r="AK50" s="179">
        <v>0.77777777777777779</v>
      </c>
      <c r="AL50" s="97">
        <v>45747</v>
      </c>
      <c r="AM50" s="179">
        <v>0.91666666666666663</v>
      </c>
      <c r="AN50" s="97">
        <v>45747</v>
      </c>
      <c r="AO50" s="179">
        <v>0.93032407407407403</v>
      </c>
      <c r="AP50" s="96">
        <v>2025</v>
      </c>
      <c r="AQ50" s="100">
        <v>14</v>
      </c>
      <c r="AR50" s="100">
        <v>6</v>
      </c>
      <c r="AS50" s="100">
        <v>31</v>
      </c>
      <c r="AT50" s="101">
        <v>90</v>
      </c>
      <c r="AU50" s="102">
        <v>45747.777777777781</v>
      </c>
      <c r="AV50" s="96"/>
      <c r="AW50" s="103" t="s">
        <v>774</v>
      </c>
      <c r="AX50" s="98" t="s">
        <v>779</v>
      </c>
      <c r="AY50" s="98" t="s">
        <v>61</v>
      </c>
      <c r="AZ50" s="98" t="s">
        <v>780</v>
      </c>
      <c r="BA50" s="96" t="s">
        <v>632</v>
      </c>
      <c r="BB50" s="98" t="s">
        <v>98</v>
      </c>
      <c r="BC50" s="114" t="s">
        <v>771</v>
      </c>
    </row>
  </sheetData>
  <pageMargins left="0.7" right="0.7" top="0.75" bottom="0.75" header="0.3" footer="0.3"/>
  <pageSetup orientation="portrait" horizontalDpi="1200" verticalDpi="12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C00000"/>
  </sheetPr>
  <dimension ref="A1:BD2"/>
  <sheetViews>
    <sheetView workbookViewId="0">
      <selection activeCell="B2" sqref="B2"/>
    </sheetView>
  </sheetViews>
  <sheetFormatPr defaultRowHeight="15" x14ac:dyDescent="0.25"/>
  <cols>
    <col min="1" max="1" width="8.5703125" bestFit="1" customWidth="1"/>
    <col min="2" max="2" width="15.7109375" bestFit="1" customWidth="1"/>
    <col min="3" max="3" width="11.5703125" bestFit="1" customWidth="1"/>
    <col min="4" max="4" width="24.28515625" bestFit="1" customWidth="1"/>
    <col min="5" max="5" width="14.28515625" bestFit="1" customWidth="1"/>
    <col min="6" max="6" width="11" bestFit="1" customWidth="1"/>
    <col min="7" max="7" width="11.7109375" bestFit="1" customWidth="1"/>
    <col min="8" max="8" width="14.5703125" bestFit="1" customWidth="1"/>
    <col min="9" max="9" width="25.28515625" bestFit="1" customWidth="1"/>
    <col min="10" max="10" width="22.5703125" bestFit="1" customWidth="1"/>
    <col min="11" max="12" width="18.42578125" bestFit="1" customWidth="1"/>
    <col min="13" max="14" width="17.5703125" bestFit="1" customWidth="1"/>
    <col min="15" max="15" width="44.85546875" bestFit="1" customWidth="1"/>
    <col min="16" max="16" width="5.5703125" bestFit="1" customWidth="1"/>
    <col min="17" max="17" width="6.28515625" bestFit="1" customWidth="1"/>
    <col min="18" max="18" width="255.7109375" bestFit="1" customWidth="1"/>
    <col min="19" max="19" width="20" bestFit="1" customWidth="1"/>
    <col min="20" max="20" width="22" bestFit="1" customWidth="1"/>
    <col min="21" max="21" width="15.7109375" bestFit="1" customWidth="1"/>
    <col min="22" max="22" width="8" bestFit="1" customWidth="1"/>
    <col min="23" max="23" width="8.85546875" bestFit="1" customWidth="1"/>
    <col min="24" max="24" width="12.7109375" bestFit="1" customWidth="1"/>
    <col min="25" max="25" width="15.7109375" bestFit="1" customWidth="1"/>
    <col min="26" max="26" width="12.7109375" bestFit="1" customWidth="1"/>
    <col min="27" max="27" width="8" bestFit="1" customWidth="1"/>
    <col min="28" max="28" width="8.85546875" bestFit="1" customWidth="1"/>
    <col min="29" max="29" width="14.42578125" bestFit="1" customWidth="1"/>
    <col min="30" max="30" width="16.42578125" bestFit="1" customWidth="1"/>
    <col min="31" max="31" width="20.140625" bestFit="1" customWidth="1"/>
    <col min="32" max="32" width="7.5703125" bestFit="1" customWidth="1"/>
    <col min="33" max="33" width="15.7109375" bestFit="1" customWidth="1"/>
    <col min="34" max="34" width="14.28515625" bestFit="1" customWidth="1"/>
    <col min="35" max="35" width="23" bestFit="1" customWidth="1"/>
    <col min="36" max="36" width="27.28515625" bestFit="1" customWidth="1"/>
    <col min="37" max="37" width="15.28515625" bestFit="1" customWidth="1"/>
    <col min="38" max="38" width="15.42578125" bestFit="1" customWidth="1"/>
    <col min="39" max="39" width="25.85546875" bestFit="1" customWidth="1"/>
    <col min="40" max="40" width="26.140625" bestFit="1" customWidth="1"/>
    <col min="41" max="41" width="13.7109375" bestFit="1" customWidth="1"/>
    <col min="42" max="42" width="13.85546875" bestFit="1" customWidth="1"/>
    <col min="43" max="43" width="5.7109375" bestFit="1" customWidth="1"/>
    <col min="44" max="44" width="14.85546875" bestFit="1" customWidth="1"/>
    <col min="45" max="45" width="16.7109375" bestFit="1" customWidth="1"/>
    <col min="46" max="46" width="5" bestFit="1" customWidth="1"/>
    <col min="47" max="47" width="12.7109375" bestFit="1" customWidth="1"/>
    <col min="48" max="48" width="23.7109375" bestFit="1" customWidth="1"/>
    <col min="49" max="49" width="4.28515625" bestFit="1" customWidth="1"/>
    <col min="50" max="50" width="255.7109375" bestFit="1" customWidth="1"/>
    <col min="51" max="51" width="32.5703125" bestFit="1" customWidth="1"/>
    <col min="52" max="52" width="9.5703125" bestFit="1" customWidth="1"/>
    <col min="53" max="53" width="27.7109375" bestFit="1" customWidth="1"/>
    <col min="54" max="54" width="17.85546875" bestFit="1" customWidth="1"/>
    <col min="55" max="55" width="23.7109375" bestFit="1" customWidth="1"/>
  </cols>
  <sheetData>
    <row r="1" spans="1:56" ht="19.5" thickBot="1" x14ac:dyDescent="0.35">
      <c r="A1" s="1">
        <v>45720</v>
      </c>
      <c r="B1" s="42" t="s">
        <v>0</v>
      </c>
      <c r="C1" s="43" t="s">
        <v>1</v>
      </c>
      <c r="D1" s="42" t="s">
        <v>2</v>
      </c>
      <c r="E1" s="44" t="s">
        <v>3</v>
      </c>
      <c r="F1" s="44" t="s">
        <v>4</v>
      </c>
      <c r="G1" s="42" t="s">
        <v>5</v>
      </c>
      <c r="H1" s="42" t="s">
        <v>6</v>
      </c>
      <c r="I1" s="42" t="s">
        <v>7</v>
      </c>
      <c r="J1" s="42" t="s">
        <v>8</v>
      </c>
      <c r="K1" s="42" t="s">
        <v>9</v>
      </c>
      <c r="L1" s="42" t="s">
        <v>10</v>
      </c>
      <c r="M1" s="42" t="s">
        <v>11</v>
      </c>
      <c r="N1" s="42" t="s">
        <v>12</v>
      </c>
      <c r="O1" s="42" t="s">
        <v>13</v>
      </c>
      <c r="P1" s="42" t="s">
        <v>14</v>
      </c>
      <c r="Q1" s="42" t="s">
        <v>15</v>
      </c>
      <c r="R1" s="42" t="s">
        <v>16</v>
      </c>
      <c r="S1" s="42" t="s">
        <v>17</v>
      </c>
      <c r="T1" s="42" t="s">
        <v>18</v>
      </c>
      <c r="U1" s="42" t="s">
        <v>19</v>
      </c>
      <c r="V1" s="42" t="s">
        <v>20</v>
      </c>
      <c r="W1" s="42" t="s">
        <v>21</v>
      </c>
      <c r="X1" s="42" t="s">
        <v>22</v>
      </c>
      <c r="Y1" s="42" t="s">
        <v>23</v>
      </c>
      <c r="Z1" s="42" t="s">
        <v>24</v>
      </c>
      <c r="AA1" s="42" t="s">
        <v>25</v>
      </c>
      <c r="AB1" s="42" t="s">
        <v>26</v>
      </c>
      <c r="AC1" s="42" t="s">
        <v>27</v>
      </c>
      <c r="AD1" s="42" t="s">
        <v>28</v>
      </c>
      <c r="AE1" s="42" t="s">
        <v>29</v>
      </c>
      <c r="AF1" s="42" t="s">
        <v>30</v>
      </c>
      <c r="AG1" s="42" t="s">
        <v>31</v>
      </c>
      <c r="AH1" s="42" t="s">
        <v>32</v>
      </c>
      <c r="AI1" s="42" t="s">
        <v>33</v>
      </c>
      <c r="AJ1" s="42" t="s">
        <v>34</v>
      </c>
      <c r="AK1" s="42" t="s">
        <v>35</v>
      </c>
      <c r="AL1" s="42" t="s">
        <v>36</v>
      </c>
      <c r="AM1" s="42" t="s">
        <v>37</v>
      </c>
      <c r="AN1" s="42" t="s">
        <v>38</v>
      </c>
      <c r="AO1" s="42" t="s">
        <v>39</v>
      </c>
      <c r="AP1" s="42" t="s">
        <v>40</v>
      </c>
      <c r="AQ1" s="42" t="s">
        <v>41</v>
      </c>
      <c r="AR1" s="42" t="s">
        <v>42</v>
      </c>
      <c r="AS1" s="42" t="s">
        <v>43</v>
      </c>
      <c r="AT1" s="42" t="s">
        <v>44</v>
      </c>
      <c r="AU1" s="42" t="s">
        <v>45</v>
      </c>
      <c r="AV1" s="42" t="s">
        <v>46</v>
      </c>
      <c r="AW1" s="42" t="s">
        <v>47</v>
      </c>
      <c r="AX1" s="42" t="s">
        <v>48</v>
      </c>
      <c r="AY1" s="42" t="s">
        <v>49</v>
      </c>
      <c r="AZ1" s="42" t="s">
        <v>50</v>
      </c>
      <c r="BA1" s="42" t="s">
        <v>51</v>
      </c>
      <c r="BB1" s="42" t="s">
        <v>52</v>
      </c>
      <c r="BC1" s="42" t="s">
        <v>53</v>
      </c>
    </row>
    <row r="2" spans="1:56" ht="15.75" x14ac:dyDescent="0.25">
      <c r="B2" s="45" t="str" cm="1">
        <f t="array" ref="B2:BD2">_xlfn._xlws.FILTER(RMS[], (RMS[INC_DATE] &gt;= A1 - 7) * (RMS[INC_DATE] &lt;= A1 - 1))</f>
        <v>25-015290</v>
      </c>
      <c r="C2" s="46">
        <v>45713</v>
      </c>
      <c r="D2" s="47" t="str">
        <v>08:00-11:59 Morning Peak</v>
      </c>
      <c r="E2" s="48">
        <v>0.41666666666666669</v>
      </c>
      <c r="F2" s="48">
        <v>0.41666666666666669</v>
      </c>
      <c r="G2" s="47" t="str">
        <v>Tue</v>
      </c>
      <c r="H2" s="47" t="str">
        <v>Feb</v>
      </c>
      <c r="I2" s="47" t="str">
        <v>Washington Ave, 400 Block</v>
      </c>
      <c r="J2" s="47" t="str">
        <v>430 Washington Avenue</v>
      </c>
      <c r="K2" s="47" t="str">
        <v>Motor Vehicle Theft</v>
      </c>
      <c r="L2" s="47" t="str">
        <v>Motor Vehicle Theft</v>
      </c>
      <c r="M2" s="47" t="str">
        <v/>
      </c>
      <c r="N2" s="47" t="str">
        <v/>
      </c>
      <c r="O2" s="47" t="str">
        <v>430 Washington Avenue, Hackensack, NJ, 07601</v>
      </c>
      <c r="P2" s="47" t="str">
        <v>E3</v>
      </c>
      <c r="Q2" s="47">
        <v>5</v>
      </c>
      <c r="R2" s="47" t="str">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v>
      </c>
      <c r="S2">
        <v>0</v>
      </c>
      <c r="T2">
        <v>0</v>
      </c>
      <c r="U2" t="str">
        <v>8FL4661</v>
      </c>
      <c r="V2" t="str">
        <v>HONDA</v>
      </c>
      <c r="W2" t="str">
        <v>PILOT</v>
      </c>
      <c r="X2" t="str">
        <v>MD</v>
      </c>
      <c r="Y2">
        <v>0</v>
      </c>
      <c r="Z2">
        <v>0</v>
      </c>
      <c r="AA2">
        <v>0</v>
      </c>
      <c r="AB2">
        <v>0</v>
      </c>
      <c r="AC2" t="str">
        <v>Klosk_J</v>
      </c>
      <c r="AD2" t="str">
        <v>Complete</v>
      </c>
      <c r="AE2" t="str">
        <v>P.O. Denisse Caero 367</v>
      </c>
      <c r="AF2" t="str">
        <v>B2</v>
      </c>
      <c r="AG2">
        <v>0</v>
      </c>
      <c r="AH2">
        <v>0</v>
      </c>
      <c r="AI2">
        <v>0</v>
      </c>
      <c r="AJ2">
        <v>9</v>
      </c>
      <c r="AK2">
        <v>45713</v>
      </c>
      <c r="AL2">
        <v>0.41666666666666669</v>
      </c>
      <c r="AM2">
        <v>45713</v>
      </c>
      <c r="AN2">
        <v>0.95833333333333337</v>
      </c>
      <c r="AO2">
        <v>45712</v>
      </c>
      <c r="AP2">
        <v>0.99136574074074069</v>
      </c>
      <c r="AQ2">
        <v>2025</v>
      </c>
      <c r="AR2">
        <v>9</v>
      </c>
      <c r="AS2">
        <v>5</v>
      </c>
      <c r="AT2">
        <v>25</v>
      </c>
      <c r="AU2">
        <v>56</v>
      </c>
      <c r="AV2">
        <v>45713.416666666664</v>
      </c>
      <c r="AW2">
        <v>430</v>
      </c>
      <c r="AX2" t="str">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v>
      </c>
      <c r="AY2" t="str">
        <v>Vehicle 1: MD-8FL4661 HONDA, PILOT</v>
      </c>
      <c r="AZ2" t="str">
        <v/>
      </c>
      <c r="BA2" t="str">
        <v/>
      </c>
      <c r="BB2" t="str">
        <v>C03W09</v>
      </c>
      <c r="BC2" t="str">
        <v>Morning Peak (08:00-11:59)</v>
      </c>
      <c r="BD2" t="str">
        <v>Motor Vehicle Theft</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CAE8F-7CCB-4F3A-A24C-45070C95DB16}">
  <sheetPr codeName="Sheet14"/>
  <dimension ref="A1:C55"/>
  <sheetViews>
    <sheetView workbookViewId="0"/>
  </sheetViews>
  <sheetFormatPr defaultRowHeight="15" x14ac:dyDescent="0.25"/>
  <cols>
    <col min="1" max="1" width="18.85546875" bestFit="1" customWidth="1"/>
    <col min="2" max="2" width="13.140625" bestFit="1" customWidth="1"/>
    <col min="3" max="3" width="12.28515625" bestFit="1" customWidth="1"/>
  </cols>
  <sheetData>
    <row r="1" spans="1:3" x14ac:dyDescent="0.25">
      <c r="A1" t="s">
        <v>521</v>
      </c>
      <c r="B1" t="s">
        <v>522</v>
      </c>
      <c r="C1" t="s">
        <v>523</v>
      </c>
    </row>
    <row r="2" spans="1:3" x14ac:dyDescent="0.25">
      <c r="A2" t="s">
        <v>524</v>
      </c>
      <c r="B2" s="1">
        <v>45657</v>
      </c>
      <c r="C2" s="1">
        <v>45663</v>
      </c>
    </row>
    <row r="3" spans="1:3" x14ac:dyDescent="0.25">
      <c r="A3" t="s">
        <v>525</v>
      </c>
      <c r="B3" s="1">
        <v>45664</v>
      </c>
      <c r="C3" s="1">
        <v>45670</v>
      </c>
    </row>
    <row r="4" spans="1:3" x14ac:dyDescent="0.25">
      <c r="A4" t="s">
        <v>526</v>
      </c>
      <c r="B4" s="1">
        <v>45671</v>
      </c>
      <c r="C4" s="1">
        <v>45677</v>
      </c>
    </row>
    <row r="5" spans="1:3" x14ac:dyDescent="0.25">
      <c r="A5" t="s">
        <v>527</v>
      </c>
      <c r="B5" s="1">
        <v>45678</v>
      </c>
      <c r="C5" s="1">
        <v>45684</v>
      </c>
    </row>
    <row r="6" spans="1:3" x14ac:dyDescent="0.25">
      <c r="A6" t="s">
        <v>528</v>
      </c>
      <c r="B6" s="1">
        <v>45685</v>
      </c>
      <c r="C6" s="1">
        <v>45691</v>
      </c>
    </row>
    <row r="7" spans="1:3" x14ac:dyDescent="0.25">
      <c r="A7" t="s">
        <v>529</v>
      </c>
      <c r="B7" s="1">
        <v>45692</v>
      </c>
      <c r="C7" s="1">
        <v>45698</v>
      </c>
    </row>
    <row r="8" spans="1:3" x14ac:dyDescent="0.25">
      <c r="A8" t="s">
        <v>530</v>
      </c>
      <c r="B8" s="1">
        <v>45699</v>
      </c>
      <c r="C8" s="1">
        <v>45705</v>
      </c>
    </row>
    <row r="9" spans="1:3" x14ac:dyDescent="0.25">
      <c r="A9" t="s">
        <v>531</v>
      </c>
      <c r="B9" s="1">
        <v>45706</v>
      </c>
      <c r="C9" s="1">
        <v>45712</v>
      </c>
    </row>
    <row r="10" spans="1:3" x14ac:dyDescent="0.25">
      <c r="A10" t="s">
        <v>532</v>
      </c>
      <c r="B10" s="1">
        <v>45713</v>
      </c>
      <c r="C10" s="1">
        <v>45719</v>
      </c>
    </row>
    <row r="11" spans="1:3" x14ac:dyDescent="0.25">
      <c r="A11" t="s">
        <v>533</v>
      </c>
      <c r="B11" s="1">
        <v>45720</v>
      </c>
      <c r="C11" s="1">
        <v>45726</v>
      </c>
    </row>
    <row r="12" spans="1:3" x14ac:dyDescent="0.25">
      <c r="A12" t="s">
        <v>534</v>
      </c>
      <c r="B12" s="1">
        <v>45727</v>
      </c>
      <c r="C12" s="1">
        <v>45733</v>
      </c>
    </row>
    <row r="13" spans="1:3" x14ac:dyDescent="0.25">
      <c r="A13" t="s">
        <v>535</v>
      </c>
      <c r="B13" s="1">
        <v>45734</v>
      </c>
      <c r="C13" s="1">
        <v>45740</v>
      </c>
    </row>
    <row r="14" spans="1:3" x14ac:dyDescent="0.25">
      <c r="A14" t="s">
        <v>536</v>
      </c>
      <c r="B14" s="1">
        <v>45741</v>
      </c>
      <c r="C14" s="1">
        <v>45747</v>
      </c>
    </row>
    <row r="15" spans="1:3" x14ac:dyDescent="0.25">
      <c r="A15" t="s">
        <v>537</v>
      </c>
      <c r="B15" s="1">
        <v>45748</v>
      </c>
      <c r="C15" s="1">
        <v>45754</v>
      </c>
    </row>
    <row r="16" spans="1:3" x14ac:dyDescent="0.25">
      <c r="A16" t="s">
        <v>538</v>
      </c>
      <c r="B16" s="1">
        <v>45755</v>
      </c>
      <c r="C16" s="1">
        <v>45761</v>
      </c>
    </row>
    <row r="17" spans="1:3" x14ac:dyDescent="0.25">
      <c r="A17" t="s">
        <v>539</v>
      </c>
      <c r="B17" s="1">
        <v>45762</v>
      </c>
      <c r="C17" s="1">
        <v>45768</v>
      </c>
    </row>
    <row r="18" spans="1:3" x14ac:dyDescent="0.25">
      <c r="A18" t="s">
        <v>540</v>
      </c>
      <c r="B18" s="1">
        <v>45769</v>
      </c>
      <c r="C18" s="1">
        <v>45775</v>
      </c>
    </row>
    <row r="19" spans="1:3" x14ac:dyDescent="0.25">
      <c r="A19" t="s">
        <v>541</v>
      </c>
      <c r="B19" s="1">
        <v>45776</v>
      </c>
      <c r="C19" s="1">
        <v>45782</v>
      </c>
    </row>
    <row r="20" spans="1:3" x14ac:dyDescent="0.25">
      <c r="A20" t="s">
        <v>542</v>
      </c>
      <c r="B20" s="1">
        <v>45783</v>
      </c>
      <c r="C20" s="1">
        <v>45789</v>
      </c>
    </row>
    <row r="21" spans="1:3" x14ac:dyDescent="0.25">
      <c r="A21" t="s">
        <v>543</v>
      </c>
      <c r="B21" s="1">
        <v>45790</v>
      </c>
      <c r="C21" s="1">
        <v>45796</v>
      </c>
    </row>
    <row r="22" spans="1:3" x14ac:dyDescent="0.25">
      <c r="A22" t="s">
        <v>544</v>
      </c>
      <c r="B22" s="1">
        <v>45797</v>
      </c>
      <c r="C22" s="1">
        <v>45803</v>
      </c>
    </row>
    <row r="23" spans="1:3" x14ac:dyDescent="0.25">
      <c r="A23" t="s">
        <v>545</v>
      </c>
      <c r="B23" s="1">
        <v>45804</v>
      </c>
      <c r="C23" s="1">
        <v>45810</v>
      </c>
    </row>
    <row r="24" spans="1:3" x14ac:dyDescent="0.25">
      <c r="A24" t="s">
        <v>546</v>
      </c>
      <c r="B24" s="1">
        <v>45811</v>
      </c>
      <c r="C24" s="1">
        <v>45817</v>
      </c>
    </row>
    <row r="25" spans="1:3" x14ac:dyDescent="0.25">
      <c r="A25" t="s">
        <v>547</v>
      </c>
      <c r="B25" s="1">
        <v>45818</v>
      </c>
      <c r="C25" s="1">
        <v>45824</v>
      </c>
    </row>
    <row r="26" spans="1:3" x14ac:dyDescent="0.25">
      <c r="A26" t="s">
        <v>548</v>
      </c>
      <c r="B26" s="1">
        <v>45825</v>
      </c>
      <c r="C26" s="1">
        <v>45831</v>
      </c>
    </row>
    <row r="27" spans="1:3" x14ac:dyDescent="0.25">
      <c r="A27" t="s">
        <v>549</v>
      </c>
      <c r="B27" s="1">
        <v>45832</v>
      </c>
      <c r="C27" s="1">
        <v>45838</v>
      </c>
    </row>
    <row r="28" spans="1:3" x14ac:dyDescent="0.25">
      <c r="A28" t="s">
        <v>550</v>
      </c>
      <c r="B28" s="1">
        <v>45839</v>
      </c>
      <c r="C28" s="1">
        <v>45845</v>
      </c>
    </row>
    <row r="29" spans="1:3" x14ac:dyDescent="0.25">
      <c r="A29" t="s">
        <v>551</v>
      </c>
      <c r="B29" s="1">
        <v>45846</v>
      </c>
      <c r="C29" s="1">
        <v>45852</v>
      </c>
    </row>
    <row r="30" spans="1:3" x14ac:dyDescent="0.25">
      <c r="A30" t="s">
        <v>552</v>
      </c>
      <c r="B30" s="1">
        <v>45853</v>
      </c>
      <c r="C30" s="1">
        <v>45859</v>
      </c>
    </row>
    <row r="31" spans="1:3" x14ac:dyDescent="0.25">
      <c r="A31" t="s">
        <v>553</v>
      </c>
      <c r="B31" s="1">
        <v>45860</v>
      </c>
      <c r="C31" s="1">
        <v>45866</v>
      </c>
    </row>
    <row r="32" spans="1:3" x14ac:dyDescent="0.25">
      <c r="A32" t="s">
        <v>554</v>
      </c>
      <c r="B32" s="1">
        <v>45867</v>
      </c>
      <c r="C32" s="1">
        <v>45873</v>
      </c>
    </row>
    <row r="33" spans="1:3" x14ac:dyDescent="0.25">
      <c r="A33" t="s">
        <v>555</v>
      </c>
      <c r="B33" s="1">
        <v>45874</v>
      </c>
      <c r="C33" s="1">
        <v>45880</v>
      </c>
    </row>
    <row r="34" spans="1:3" x14ac:dyDescent="0.25">
      <c r="A34" t="s">
        <v>556</v>
      </c>
      <c r="B34" s="1">
        <v>45881</v>
      </c>
      <c r="C34" s="1">
        <v>45887</v>
      </c>
    </row>
    <row r="35" spans="1:3" x14ac:dyDescent="0.25">
      <c r="A35" t="s">
        <v>557</v>
      </c>
      <c r="B35" s="1">
        <v>45888</v>
      </c>
      <c r="C35" s="1">
        <v>45894</v>
      </c>
    </row>
    <row r="36" spans="1:3" x14ac:dyDescent="0.25">
      <c r="A36" t="s">
        <v>558</v>
      </c>
      <c r="B36" s="1">
        <v>45895</v>
      </c>
      <c r="C36" s="1">
        <v>45901</v>
      </c>
    </row>
    <row r="37" spans="1:3" x14ac:dyDescent="0.25">
      <c r="A37" t="s">
        <v>559</v>
      </c>
      <c r="B37" s="1">
        <v>45902</v>
      </c>
      <c r="C37" s="1">
        <v>45908</v>
      </c>
    </row>
    <row r="38" spans="1:3" x14ac:dyDescent="0.25">
      <c r="A38" t="s">
        <v>560</v>
      </c>
      <c r="B38" s="1">
        <v>45909</v>
      </c>
      <c r="C38" s="1">
        <v>45915</v>
      </c>
    </row>
    <row r="39" spans="1:3" x14ac:dyDescent="0.25">
      <c r="A39" t="s">
        <v>561</v>
      </c>
      <c r="B39" s="1">
        <v>45916</v>
      </c>
      <c r="C39" s="1">
        <v>45922</v>
      </c>
    </row>
    <row r="40" spans="1:3" x14ac:dyDescent="0.25">
      <c r="A40" t="s">
        <v>562</v>
      </c>
      <c r="B40" s="1">
        <v>45923</v>
      </c>
      <c r="C40" s="1">
        <v>45929</v>
      </c>
    </row>
    <row r="41" spans="1:3" x14ac:dyDescent="0.25">
      <c r="A41" t="s">
        <v>563</v>
      </c>
      <c r="B41" s="1">
        <v>45930</v>
      </c>
      <c r="C41" s="1">
        <v>45936</v>
      </c>
    </row>
    <row r="42" spans="1:3" x14ac:dyDescent="0.25">
      <c r="A42" t="s">
        <v>564</v>
      </c>
      <c r="B42" s="1">
        <v>45937</v>
      </c>
      <c r="C42" s="1">
        <v>45943</v>
      </c>
    </row>
    <row r="43" spans="1:3" x14ac:dyDescent="0.25">
      <c r="A43" t="s">
        <v>565</v>
      </c>
      <c r="B43" s="1">
        <v>45944</v>
      </c>
      <c r="C43" s="1">
        <v>45950</v>
      </c>
    </row>
    <row r="44" spans="1:3" x14ac:dyDescent="0.25">
      <c r="A44" t="s">
        <v>566</v>
      </c>
      <c r="B44" s="1">
        <v>45951</v>
      </c>
      <c r="C44" s="1">
        <v>45957</v>
      </c>
    </row>
    <row r="45" spans="1:3" x14ac:dyDescent="0.25">
      <c r="A45" t="s">
        <v>567</v>
      </c>
      <c r="B45" s="1">
        <v>45958</v>
      </c>
      <c r="C45" s="1">
        <v>45964</v>
      </c>
    </row>
    <row r="46" spans="1:3" x14ac:dyDescent="0.25">
      <c r="A46" t="s">
        <v>568</v>
      </c>
      <c r="B46" s="1">
        <v>45965</v>
      </c>
      <c r="C46" s="1">
        <v>45971</v>
      </c>
    </row>
    <row r="47" spans="1:3" x14ac:dyDescent="0.25">
      <c r="A47" t="s">
        <v>569</v>
      </c>
      <c r="B47" s="1">
        <v>45972</v>
      </c>
      <c r="C47" s="1">
        <v>45978</v>
      </c>
    </row>
    <row r="48" spans="1:3" x14ac:dyDescent="0.25">
      <c r="A48" t="s">
        <v>570</v>
      </c>
      <c r="B48" s="1">
        <v>45979</v>
      </c>
      <c r="C48" s="1">
        <v>45985</v>
      </c>
    </row>
    <row r="49" spans="1:3" x14ac:dyDescent="0.25">
      <c r="A49" t="s">
        <v>571</v>
      </c>
      <c r="B49" s="1">
        <v>45986</v>
      </c>
      <c r="C49" s="1">
        <v>45992</v>
      </c>
    </row>
    <row r="50" spans="1:3" x14ac:dyDescent="0.25">
      <c r="A50" t="s">
        <v>572</v>
      </c>
      <c r="B50" s="1">
        <v>45993</v>
      </c>
      <c r="C50" s="1">
        <v>45999</v>
      </c>
    </row>
    <row r="51" spans="1:3" x14ac:dyDescent="0.25">
      <c r="A51" t="s">
        <v>573</v>
      </c>
      <c r="B51" s="1">
        <v>46000</v>
      </c>
      <c r="C51" s="1">
        <v>46006</v>
      </c>
    </row>
    <row r="52" spans="1:3" x14ac:dyDescent="0.25">
      <c r="A52" t="s">
        <v>574</v>
      </c>
      <c r="B52" s="1">
        <v>46007</v>
      </c>
      <c r="C52" s="1">
        <v>46013</v>
      </c>
    </row>
    <row r="53" spans="1:3" x14ac:dyDescent="0.25">
      <c r="A53" t="s">
        <v>575</v>
      </c>
      <c r="B53" s="1">
        <v>46014</v>
      </c>
      <c r="C53" s="1">
        <v>46020</v>
      </c>
    </row>
    <row r="54" spans="1:3" x14ac:dyDescent="0.25">
      <c r="A54" t="s">
        <v>576</v>
      </c>
      <c r="B54" s="1">
        <v>46021</v>
      </c>
      <c r="C54" s="1">
        <v>46027</v>
      </c>
    </row>
    <row r="55" spans="1:3" x14ac:dyDescent="0.25">
      <c r="A55" t="s">
        <v>577</v>
      </c>
      <c r="B55" s="1">
        <v>46028</v>
      </c>
      <c r="C55" s="1">
        <v>46034</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CCE86-674B-4BE3-A9F2-D19912F79771}">
  <sheetPr codeName="Sheet16"/>
  <dimension ref="A1:BB50"/>
  <sheetViews>
    <sheetView workbookViewId="0"/>
  </sheetViews>
  <sheetFormatPr defaultRowHeight="15" x14ac:dyDescent="0.25"/>
  <cols>
    <col min="1" max="1" width="14.42578125" bestFit="1" customWidth="1"/>
    <col min="2" max="2" width="11.7109375" bestFit="1" customWidth="1"/>
    <col min="3" max="3" width="22.7109375" bestFit="1" customWidth="1"/>
    <col min="4" max="4" width="14" bestFit="1" customWidth="1"/>
    <col min="5" max="5" width="11.5703125" bestFit="1" customWidth="1"/>
    <col min="6" max="6" width="11.85546875" bestFit="1" customWidth="1"/>
    <col min="7" max="7" width="14.42578125" bestFit="1" customWidth="1"/>
    <col min="8" max="9" width="33.7109375" bestFit="1" customWidth="1"/>
    <col min="10" max="10" width="25" bestFit="1" customWidth="1"/>
    <col min="11" max="11" width="60.28515625" bestFit="1" customWidth="1"/>
    <col min="12" max="12" width="24.28515625" bestFit="1" customWidth="1"/>
    <col min="13" max="13" width="20.28515625" bestFit="1" customWidth="1"/>
    <col min="14" max="14" width="65.42578125" bestFit="1" customWidth="1"/>
    <col min="15" max="15" width="6.7109375" bestFit="1" customWidth="1"/>
    <col min="16" max="16" width="7.42578125" bestFit="1" customWidth="1"/>
    <col min="17" max="17" width="80.85546875" bestFit="1" customWidth="1"/>
    <col min="18" max="18" width="18.5703125" bestFit="1" customWidth="1"/>
    <col min="19" max="19" width="20.140625" bestFit="1" customWidth="1"/>
    <col min="20" max="20" width="14.7109375" bestFit="1" customWidth="1"/>
    <col min="21" max="21" width="10.7109375" bestFit="1" customWidth="1"/>
    <col min="22" max="22" width="11.28515625" bestFit="1" customWidth="1"/>
    <col min="23" max="23" width="12.5703125" bestFit="1" customWidth="1"/>
    <col min="24" max="24" width="14.7109375" bestFit="1" customWidth="1"/>
    <col min="25" max="25" width="12.5703125" bestFit="1" customWidth="1"/>
    <col min="26" max="26" width="9" bestFit="1" customWidth="1"/>
    <col min="27" max="27" width="9.7109375" bestFit="1" customWidth="1"/>
    <col min="28" max="28" width="13.85546875" bestFit="1" customWidth="1"/>
    <col min="29" max="29" width="14.7109375" bestFit="1" customWidth="1"/>
    <col min="30" max="30" width="26" bestFit="1" customWidth="1"/>
    <col min="31" max="31" width="8.5703125" bestFit="1" customWidth="1"/>
    <col min="32" max="32" width="25" bestFit="1" customWidth="1"/>
    <col min="33" max="33" width="26.140625" bestFit="1" customWidth="1"/>
    <col min="34" max="34" width="29.7109375" bestFit="1" customWidth="1"/>
    <col min="35" max="35" width="24.28515625" bestFit="1" customWidth="1"/>
    <col min="36" max="36" width="14.42578125" bestFit="1" customWidth="1"/>
    <col min="37" max="37" width="14.7109375" bestFit="1" customWidth="1"/>
    <col min="38" max="38" width="23" bestFit="1" customWidth="1"/>
    <col min="39" max="39" width="23.28515625" bestFit="1" customWidth="1"/>
    <col min="40" max="40" width="13.28515625" bestFit="1" customWidth="1"/>
    <col min="41" max="41" width="13.7109375" bestFit="1" customWidth="1"/>
    <col min="42" max="42" width="6.85546875" bestFit="1" customWidth="1"/>
    <col min="43" max="43" width="14.28515625" bestFit="1" customWidth="1"/>
    <col min="44" max="44" width="16.5703125" bestFit="1" customWidth="1"/>
    <col min="45" max="45" width="6.42578125" bestFit="1" customWidth="1"/>
    <col min="46" max="46" width="12.7109375" bestFit="1" customWidth="1"/>
    <col min="47" max="47" width="22" bestFit="1" customWidth="1"/>
    <col min="48" max="48" width="5.85546875" bestFit="1" customWidth="1"/>
    <col min="49" max="49" width="80.85546875" bestFit="1" customWidth="1"/>
    <col min="50" max="50" width="35.85546875" bestFit="1" customWidth="1"/>
    <col min="51" max="52" width="80.85546875" bestFit="1" customWidth="1"/>
    <col min="53" max="53" width="16.140625" bestFit="1" customWidth="1"/>
    <col min="54" max="54" width="23.85546875" bestFit="1" customWidth="1"/>
  </cols>
  <sheetData>
    <row r="1" spans="1:5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row>
    <row r="2" spans="1:54" x14ac:dyDescent="0.25">
      <c r="A2" t="s">
        <v>218</v>
      </c>
      <c r="B2" s="1">
        <v>45660</v>
      </c>
      <c r="C2" t="s">
        <v>100</v>
      </c>
      <c r="D2" s="50">
        <v>0.875</v>
      </c>
      <c r="E2" s="50">
        <v>0.89583333333333337</v>
      </c>
      <c r="F2" t="s">
        <v>157</v>
      </c>
      <c r="G2" t="s">
        <v>57</v>
      </c>
      <c r="H2" t="s">
        <v>219</v>
      </c>
      <c r="I2" t="s">
        <v>220</v>
      </c>
      <c r="J2" t="s">
        <v>221</v>
      </c>
      <c r="K2" t="s">
        <v>221</v>
      </c>
      <c r="L2" t="s">
        <v>61</v>
      </c>
      <c r="M2" t="s">
        <v>61</v>
      </c>
      <c r="N2" t="s">
        <v>222</v>
      </c>
      <c r="O2" t="s">
        <v>223</v>
      </c>
      <c r="P2">
        <v>9</v>
      </c>
      <c r="Q2" t="s">
        <v>224</v>
      </c>
      <c r="T2" t="s">
        <v>225</v>
      </c>
      <c r="U2" t="s">
        <v>65</v>
      </c>
      <c r="V2" t="s">
        <v>226</v>
      </c>
      <c r="W2" t="s">
        <v>67</v>
      </c>
      <c r="AB2" t="s">
        <v>163</v>
      </c>
      <c r="AC2" t="s">
        <v>69</v>
      </c>
      <c r="AD2" t="s">
        <v>227</v>
      </c>
      <c r="AE2" t="s">
        <v>214</v>
      </c>
      <c r="AF2" t="s">
        <v>228</v>
      </c>
      <c r="AG2" t="s">
        <v>73</v>
      </c>
      <c r="AH2" t="s">
        <v>229</v>
      </c>
      <c r="AI2">
        <v>9</v>
      </c>
      <c r="AJ2" s="1">
        <v>45660</v>
      </c>
      <c r="AK2" s="2">
        <v>0.89583333333333337</v>
      </c>
      <c r="AL2" s="1">
        <v>45661</v>
      </c>
      <c r="AM2" s="2">
        <v>0.2673611111111111</v>
      </c>
      <c r="AN2" s="1">
        <v>45661</v>
      </c>
      <c r="AO2" s="2">
        <v>0.45774305555555556</v>
      </c>
      <c r="AP2">
        <v>2025</v>
      </c>
      <c r="AQ2">
        <v>1</v>
      </c>
      <c r="AR2">
        <v>1</v>
      </c>
      <c r="AS2">
        <v>3</v>
      </c>
      <c r="AT2">
        <v>3</v>
      </c>
      <c r="AU2" s="2">
        <v>45660.895833333336</v>
      </c>
      <c r="AV2">
        <v>309</v>
      </c>
      <c r="AW2" t="s">
        <v>224</v>
      </c>
      <c r="AX2" t="s">
        <v>230</v>
      </c>
      <c r="AY2" t="s">
        <v>231</v>
      </c>
      <c r="AZ2" t="s">
        <v>61</v>
      </c>
      <c r="BA2" t="s">
        <v>587</v>
      </c>
      <c r="BB2" t="s">
        <v>113</v>
      </c>
    </row>
    <row r="3" spans="1:54" x14ac:dyDescent="0.25">
      <c r="A3" t="s">
        <v>54</v>
      </c>
      <c r="B3" s="1">
        <v>45663</v>
      </c>
      <c r="C3" t="s">
        <v>55</v>
      </c>
      <c r="D3" s="50">
        <v>0.625</v>
      </c>
      <c r="E3" s="50">
        <v>0.64583333333333337</v>
      </c>
      <c r="F3" t="s">
        <v>56</v>
      </c>
      <c r="G3" t="s">
        <v>57</v>
      </c>
      <c r="H3" t="s">
        <v>58</v>
      </c>
      <c r="I3" t="s">
        <v>59</v>
      </c>
      <c r="J3" t="s">
        <v>60</v>
      </c>
      <c r="K3" t="s">
        <v>60</v>
      </c>
      <c r="L3" t="s">
        <v>61</v>
      </c>
      <c r="M3" t="s">
        <v>61</v>
      </c>
      <c r="N3" t="s">
        <v>62</v>
      </c>
      <c r="P3">
        <v>7</v>
      </c>
      <c r="Q3" t="s">
        <v>63</v>
      </c>
      <c r="T3" t="s">
        <v>64</v>
      </c>
      <c r="U3" t="s">
        <v>65</v>
      </c>
      <c r="V3" t="s">
        <v>66</v>
      </c>
      <c r="W3" t="s">
        <v>67</v>
      </c>
      <c r="AB3" t="s">
        <v>68</v>
      </c>
      <c r="AC3" t="s">
        <v>69</v>
      </c>
      <c r="AD3" t="s">
        <v>70</v>
      </c>
      <c r="AE3" t="s">
        <v>71</v>
      </c>
      <c r="AF3" t="s">
        <v>72</v>
      </c>
      <c r="AG3" t="s">
        <v>73</v>
      </c>
      <c r="AH3" t="s">
        <v>74</v>
      </c>
      <c r="AI3">
        <v>9</v>
      </c>
      <c r="AJ3" s="1">
        <v>45663</v>
      </c>
      <c r="AK3" s="2">
        <v>0.64583333333333337</v>
      </c>
      <c r="AL3" s="1">
        <v>45667</v>
      </c>
      <c r="AM3" s="2"/>
      <c r="AN3" s="1">
        <v>45667</v>
      </c>
      <c r="AO3" s="2">
        <v>0.82629629629629631</v>
      </c>
      <c r="AP3">
        <v>2025</v>
      </c>
      <c r="AQ3">
        <v>2</v>
      </c>
      <c r="AR3">
        <v>2</v>
      </c>
      <c r="AS3">
        <v>6</v>
      </c>
      <c r="AT3">
        <v>6</v>
      </c>
      <c r="AU3" s="2">
        <v>45663.645833333336</v>
      </c>
      <c r="AV3">
        <v>90</v>
      </c>
      <c r="AW3" t="s">
        <v>63</v>
      </c>
      <c r="AX3" t="s">
        <v>75</v>
      </c>
      <c r="AY3" t="s">
        <v>76</v>
      </c>
      <c r="AZ3" t="s">
        <v>77</v>
      </c>
      <c r="BA3" t="s">
        <v>587</v>
      </c>
      <c r="BB3" t="s">
        <v>78</v>
      </c>
    </row>
    <row r="4" spans="1:54" x14ac:dyDescent="0.25">
      <c r="A4" t="s">
        <v>404</v>
      </c>
      <c r="B4" s="1">
        <v>45664</v>
      </c>
      <c r="C4" t="s">
        <v>55</v>
      </c>
      <c r="D4" s="50">
        <v>0.58333333333333337</v>
      </c>
      <c r="E4" s="50">
        <v>0.58333333333333337</v>
      </c>
      <c r="F4" t="s">
        <v>192</v>
      </c>
      <c r="G4" t="s">
        <v>57</v>
      </c>
      <c r="H4" t="s">
        <v>405</v>
      </c>
      <c r="I4" t="s">
        <v>406</v>
      </c>
      <c r="J4" t="s">
        <v>407</v>
      </c>
      <c r="K4" t="s">
        <v>408</v>
      </c>
      <c r="L4" t="s">
        <v>409</v>
      </c>
      <c r="M4" t="s">
        <v>61</v>
      </c>
      <c r="N4" t="s">
        <v>410</v>
      </c>
      <c r="O4" t="s">
        <v>139</v>
      </c>
      <c r="P4">
        <v>7</v>
      </c>
      <c r="Q4" t="s">
        <v>411</v>
      </c>
      <c r="AB4" t="s">
        <v>412</v>
      </c>
      <c r="AC4" t="s">
        <v>69</v>
      </c>
      <c r="AD4" t="s">
        <v>413</v>
      </c>
      <c r="AE4" t="s">
        <v>414</v>
      </c>
      <c r="AF4" t="s">
        <v>415</v>
      </c>
      <c r="AG4" t="s">
        <v>73</v>
      </c>
      <c r="AH4" t="s">
        <v>416</v>
      </c>
      <c r="AI4">
        <v>9</v>
      </c>
      <c r="AJ4" s="1">
        <v>45664</v>
      </c>
      <c r="AK4" s="2">
        <v>0.58333333333333337</v>
      </c>
      <c r="AL4" s="1"/>
      <c r="AM4" s="2"/>
      <c r="AN4" s="1">
        <v>45667</v>
      </c>
      <c r="AO4" s="2">
        <v>0.59781249999999997</v>
      </c>
      <c r="AP4">
        <v>2025</v>
      </c>
      <c r="AQ4">
        <v>2</v>
      </c>
      <c r="AR4">
        <v>2</v>
      </c>
      <c r="AS4">
        <v>7</v>
      </c>
      <c r="AT4">
        <v>7</v>
      </c>
      <c r="AU4" s="2">
        <v>45664.583333333336</v>
      </c>
      <c r="AV4">
        <v>135</v>
      </c>
      <c r="AW4" t="s">
        <v>411</v>
      </c>
      <c r="AY4" t="s">
        <v>417</v>
      </c>
      <c r="AZ4" t="s">
        <v>61</v>
      </c>
      <c r="BA4" t="s">
        <v>586</v>
      </c>
      <c r="BB4" t="s">
        <v>78</v>
      </c>
    </row>
    <row r="5" spans="1:54" x14ac:dyDescent="0.25">
      <c r="A5" t="s">
        <v>349</v>
      </c>
      <c r="B5" s="1">
        <v>45670</v>
      </c>
      <c r="C5" t="s">
        <v>55</v>
      </c>
      <c r="D5" s="50">
        <v>0.5</v>
      </c>
      <c r="E5" s="50">
        <v>0.50347222222222221</v>
      </c>
      <c r="F5" t="s">
        <v>56</v>
      </c>
      <c r="G5" t="s">
        <v>57</v>
      </c>
      <c r="H5" t="s">
        <v>350</v>
      </c>
      <c r="I5" t="s">
        <v>351</v>
      </c>
      <c r="J5" t="s">
        <v>352</v>
      </c>
      <c r="K5" t="s">
        <v>353</v>
      </c>
      <c r="L5" t="s">
        <v>354</v>
      </c>
      <c r="M5" t="s">
        <v>355</v>
      </c>
      <c r="N5" t="s">
        <v>356</v>
      </c>
      <c r="O5" t="s">
        <v>87</v>
      </c>
      <c r="P5">
        <v>8</v>
      </c>
      <c r="Q5" t="s">
        <v>357</v>
      </c>
      <c r="AB5" t="s">
        <v>163</v>
      </c>
      <c r="AC5" t="s">
        <v>69</v>
      </c>
      <c r="AD5" t="s">
        <v>358</v>
      </c>
      <c r="AE5" t="s">
        <v>359</v>
      </c>
      <c r="AF5" t="s">
        <v>360</v>
      </c>
      <c r="AG5" t="s">
        <v>128</v>
      </c>
      <c r="AH5" t="s">
        <v>361</v>
      </c>
      <c r="AI5">
        <v>9</v>
      </c>
      <c r="AJ5" s="1">
        <v>45670</v>
      </c>
      <c r="AK5" s="2">
        <v>0.50347222222222221</v>
      </c>
      <c r="AL5" s="1"/>
      <c r="AM5" s="2"/>
      <c r="AN5" s="1">
        <v>45670</v>
      </c>
      <c r="AO5" s="2">
        <v>0.50537037037037036</v>
      </c>
      <c r="AP5">
        <v>2025</v>
      </c>
      <c r="AQ5">
        <v>3</v>
      </c>
      <c r="AR5">
        <v>3</v>
      </c>
      <c r="AS5">
        <v>13</v>
      </c>
      <c r="AT5">
        <v>13</v>
      </c>
      <c r="AU5" s="2">
        <v>45670.503472222219</v>
      </c>
      <c r="AV5">
        <v>204</v>
      </c>
      <c r="AW5" t="s">
        <v>357</v>
      </c>
      <c r="AY5" t="s">
        <v>362</v>
      </c>
      <c r="AZ5" t="s">
        <v>363</v>
      </c>
      <c r="BA5" t="s">
        <v>586</v>
      </c>
      <c r="BB5" t="s">
        <v>78</v>
      </c>
    </row>
    <row r="6" spans="1:54" x14ac:dyDescent="0.25">
      <c r="A6" t="s">
        <v>191</v>
      </c>
      <c r="B6" s="1">
        <v>45671</v>
      </c>
      <c r="C6" t="s">
        <v>146</v>
      </c>
      <c r="D6" s="50">
        <v>0.45833333333333331</v>
      </c>
      <c r="E6" s="50">
        <v>0.46388888888888891</v>
      </c>
      <c r="F6" t="s">
        <v>192</v>
      </c>
      <c r="G6" t="s">
        <v>57</v>
      </c>
      <c r="H6" t="s">
        <v>193</v>
      </c>
      <c r="I6" t="s">
        <v>194</v>
      </c>
      <c r="J6" t="s">
        <v>137</v>
      </c>
      <c r="K6" t="s">
        <v>195</v>
      </c>
      <c r="L6" t="s">
        <v>196</v>
      </c>
      <c r="M6" t="s">
        <v>197</v>
      </c>
      <c r="N6" t="s">
        <v>198</v>
      </c>
      <c r="O6" t="s">
        <v>199</v>
      </c>
      <c r="P6">
        <v>9</v>
      </c>
      <c r="Q6" t="s">
        <v>200</v>
      </c>
      <c r="AB6" t="s">
        <v>201</v>
      </c>
      <c r="AC6" t="s">
        <v>69</v>
      </c>
      <c r="AD6" t="s">
        <v>202</v>
      </c>
      <c r="AE6" t="s">
        <v>165</v>
      </c>
      <c r="AF6" t="s">
        <v>166</v>
      </c>
      <c r="AG6" t="s">
        <v>203</v>
      </c>
      <c r="AH6" t="s">
        <v>142</v>
      </c>
      <c r="AI6">
        <v>9</v>
      </c>
      <c r="AJ6" s="1">
        <v>45671</v>
      </c>
      <c r="AK6" s="2">
        <v>0.46388888888888891</v>
      </c>
      <c r="AL6" s="1"/>
      <c r="AM6" s="2"/>
      <c r="AN6" s="1">
        <v>45671</v>
      </c>
      <c r="AO6" s="2">
        <v>0.46740740740740738</v>
      </c>
      <c r="AP6">
        <v>2025</v>
      </c>
      <c r="AQ6">
        <v>3</v>
      </c>
      <c r="AR6">
        <v>3</v>
      </c>
      <c r="AS6">
        <v>14</v>
      </c>
      <c r="AT6">
        <v>14</v>
      </c>
      <c r="AU6" s="2">
        <v>45671.463888888888</v>
      </c>
      <c r="AV6">
        <v>895</v>
      </c>
      <c r="AW6" t="s">
        <v>200</v>
      </c>
      <c r="AY6" t="s">
        <v>204</v>
      </c>
      <c r="AZ6" t="s">
        <v>61</v>
      </c>
      <c r="BA6" t="s">
        <v>585</v>
      </c>
      <c r="BB6" t="s">
        <v>155</v>
      </c>
    </row>
    <row r="7" spans="1:54" x14ac:dyDescent="0.25">
      <c r="A7" t="s">
        <v>364</v>
      </c>
      <c r="B7" s="1">
        <v>45671</v>
      </c>
      <c r="C7" t="s">
        <v>55</v>
      </c>
      <c r="D7" s="50">
        <v>0.625</v>
      </c>
      <c r="E7" s="50">
        <v>0.64067129629629627</v>
      </c>
      <c r="F7" t="s">
        <v>192</v>
      </c>
      <c r="G7" t="s">
        <v>57</v>
      </c>
      <c r="H7" t="s">
        <v>365</v>
      </c>
      <c r="I7" t="s">
        <v>366</v>
      </c>
      <c r="J7" t="s">
        <v>355</v>
      </c>
      <c r="K7" t="s">
        <v>367</v>
      </c>
      <c r="L7" t="s">
        <v>368</v>
      </c>
      <c r="M7" t="s">
        <v>369</v>
      </c>
      <c r="N7" t="s">
        <v>370</v>
      </c>
      <c r="O7" t="s">
        <v>371</v>
      </c>
      <c r="P7">
        <v>9</v>
      </c>
      <c r="Q7" t="s">
        <v>372</v>
      </c>
      <c r="T7" t="s">
        <v>373</v>
      </c>
      <c r="U7" t="s">
        <v>374</v>
      </c>
      <c r="V7" t="s">
        <v>375</v>
      </c>
      <c r="W7" t="s">
        <v>67</v>
      </c>
      <c r="AB7" t="s">
        <v>124</v>
      </c>
      <c r="AC7" t="s">
        <v>69</v>
      </c>
      <c r="AD7" t="s">
        <v>227</v>
      </c>
      <c r="AE7" t="s">
        <v>376</v>
      </c>
      <c r="AF7" t="s">
        <v>166</v>
      </c>
      <c r="AG7" t="s">
        <v>128</v>
      </c>
      <c r="AH7" t="s">
        <v>361</v>
      </c>
      <c r="AI7">
        <v>9</v>
      </c>
      <c r="AJ7" s="1">
        <v>45671</v>
      </c>
      <c r="AK7" s="2">
        <v>0.64067129629629627</v>
      </c>
      <c r="AL7" s="1"/>
      <c r="AM7" s="2"/>
      <c r="AN7" s="1">
        <v>45671</v>
      </c>
      <c r="AO7" s="2">
        <v>0.64067129629629627</v>
      </c>
      <c r="AP7">
        <v>2025</v>
      </c>
      <c r="AQ7">
        <v>3</v>
      </c>
      <c r="AR7">
        <v>3</v>
      </c>
      <c r="AS7">
        <v>14</v>
      </c>
      <c r="AT7">
        <v>14</v>
      </c>
      <c r="AU7" s="2">
        <v>45671.640277777777</v>
      </c>
      <c r="AV7">
        <v>450</v>
      </c>
      <c r="AW7" t="s">
        <v>372</v>
      </c>
      <c r="AX7" t="s">
        <v>377</v>
      </c>
      <c r="AY7" t="s">
        <v>61</v>
      </c>
      <c r="AZ7" t="s">
        <v>378</v>
      </c>
      <c r="BA7" t="s">
        <v>585</v>
      </c>
      <c r="BB7" t="s">
        <v>78</v>
      </c>
    </row>
    <row r="8" spans="1:54" x14ac:dyDescent="0.25">
      <c r="A8" t="s">
        <v>232</v>
      </c>
      <c r="B8" s="1">
        <v>45672</v>
      </c>
      <c r="C8" t="s">
        <v>55</v>
      </c>
      <c r="D8" s="50">
        <v>0.5</v>
      </c>
      <c r="E8" s="50">
        <v>0.53988425925925931</v>
      </c>
      <c r="F8" t="s">
        <v>169</v>
      </c>
      <c r="G8" t="s">
        <v>57</v>
      </c>
      <c r="H8" t="s">
        <v>233</v>
      </c>
      <c r="I8" t="s">
        <v>234</v>
      </c>
      <c r="J8" t="s">
        <v>221</v>
      </c>
      <c r="K8" t="s">
        <v>221</v>
      </c>
      <c r="L8" t="s">
        <v>61</v>
      </c>
      <c r="M8" t="s">
        <v>61</v>
      </c>
      <c r="N8" t="s">
        <v>235</v>
      </c>
      <c r="O8" t="s">
        <v>87</v>
      </c>
      <c r="P8">
        <v>8</v>
      </c>
      <c r="Q8" t="s">
        <v>236</v>
      </c>
      <c r="T8" t="s">
        <v>237</v>
      </c>
      <c r="U8" t="s">
        <v>65</v>
      </c>
      <c r="V8" t="s">
        <v>238</v>
      </c>
      <c r="W8" t="s">
        <v>67</v>
      </c>
      <c r="AB8" t="s">
        <v>124</v>
      </c>
      <c r="AC8" t="s">
        <v>69</v>
      </c>
      <c r="AD8" t="s">
        <v>239</v>
      </c>
      <c r="AE8" t="s">
        <v>240</v>
      </c>
      <c r="AF8" t="s">
        <v>72</v>
      </c>
      <c r="AG8" t="s">
        <v>73</v>
      </c>
      <c r="AH8" t="s">
        <v>229</v>
      </c>
      <c r="AI8">
        <v>9</v>
      </c>
      <c r="AJ8" s="1">
        <v>45672</v>
      </c>
      <c r="AK8" s="2">
        <v>0.53988425925925931</v>
      </c>
      <c r="AL8" s="1"/>
      <c r="AM8" s="2"/>
      <c r="AN8" s="1">
        <v>45672</v>
      </c>
      <c r="AO8" s="2">
        <v>0.53988425925925931</v>
      </c>
      <c r="AP8">
        <v>2025</v>
      </c>
      <c r="AQ8">
        <v>3</v>
      </c>
      <c r="AR8">
        <v>3</v>
      </c>
      <c r="AS8">
        <v>15</v>
      </c>
      <c r="AT8">
        <v>15</v>
      </c>
      <c r="AU8" s="2">
        <v>45672.539583333331</v>
      </c>
      <c r="AV8">
        <v>244</v>
      </c>
      <c r="AW8" t="s">
        <v>236</v>
      </c>
      <c r="AX8" t="s">
        <v>241</v>
      </c>
      <c r="AY8" t="s">
        <v>242</v>
      </c>
      <c r="AZ8" t="s">
        <v>243</v>
      </c>
      <c r="BA8" t="s">
        <v>585</v>
      </c>
      <c r="BB8" t="s">
        <v>78</v>
      </c>
    </row>
    <row r="9" spans="1:54" x14ac:dyDescent="0.25">
      <c r="A9" t="s">
        <v>134</v>
      </c>
      <c r="B9" s="1">
        <v>45673</v>
      </c>
      <c r="C9" t="s">
        <v>55</v>
      </c>
      <c r="D9" s="50">
        <v>0.5</v>
      </c>
      <c r="E9" s="50">
        <v>0.5</v>
      </c>
      <c r="F9" t="s">
        <v>115</v>
      </c>
      <c r="G9" t="s">
        <v>57</v>
      </c>
      <c r="H9" t="s">
        <v>135</v>
      </c>
      <c r="I9" t="s">
        <v>136</v>
      </c>
      <c r="J9" t="s">
        <v>137</v>
      </c>
      <c r="K9" t="s">
        <v>137</v>
      </c>
      <c r="L9" t="s">
        <v>61</v>
      </c>
      <c r="M9" t="s">
        <v>61</v>
      </c>
      <c r="N9" t="s">
        <v>138</v>
      </c>
      <c r="O9" t="s">
        <v>139</v>
      </c>
      <c r="P9">
        <v>7</v>
      </c>
      <c r="Q9" t="s">
        <v>140</v>
      </c>
      <c r="AB9" t="s">
        <v>68</v>
      </c>
      <c r="AC9" t="s">
        <v>69</v>
      </c>
      <c r="AD9" t="s">
        <v>141</v>
      </c>
      <c r="AE9" t="s">
        <v>71</v>
      </c>
      <c r="AF9" t="s">
        <v>72</v>
      </c>
      <c r="AG9" t="s">
        <v>73</v>
      </c>
      <c r="AH9" t="s">
        <v>142</v>
      </c>
      <c r="AI9">
        <v>9</v>
      </c>
      <c r="AJ9" s="1">
        <v>45673</v>
      </c>
      <c r="AK9" s="2">
        <v>0.5</v>
      </c>
      <c r="AL9" s="1">
        <v>45673</v>
      </c>
      <c r="AM9" s="2">
        <v>0.75</v>
      </c>
      <c r="AN9" s="1">
        <v>45673</v>
      </c>
      <c r="AO9" s="2">
        <v>0.81587962962962968</v>
      </c>
      <c r="AP9">
        <v>2025</v>
      </c>
      <c r="AQ9">
        <v>3</v>
      </c>
      <c r="AR9">
        <v>3</v>
      </c>
      <c r="AS9">
        <v>16</v>
      </c>
      <c r="AT9">
        <v>16</v>
      </c>
      <c r="AU9" s="2">
        <v>45673.5</v>
      </c>
      <c r="AV9">
        <v>30</v>
      </c>
      <c r="AW9" t="s">
        <v>140</v>
      </c>
      <c r="AY9" t="s">
        <v>143</v>
      </c>
      <c r="AZ9" t="s">
        <v>144</v>
      </c>
      <c r="BA9" t="s">
        <v>585</v>
      </c>
      <c r="BB9" t="s">
        <v>78</v>
      </c>
    </row>
    <row r="10" spans="1:54" x14ac:dyDescent="0.25">
      <c r="A10" t="s">
        <v>379</v>
      </c>
      <c r="B10" s="1">
        <v>45673</v>
      </c>
      <c r="C10" t="s">
        <v>100</v>
      </c>
      <c r="D10" s="50">
        <v>0.875</v>
      </c>
      <c r="E10" s="50">
        <v>0.87708333333333333</v>
      </c>
      <c r="F10" t="s">
        <v>115</v>
      </c>
      <c r="G10" t="s">
        <v>57</v>
      </c>
      <c r="H10" t="s">
        <v>380</v>
      </c>
      <c r="I10" t="s">
        <v>381</v>
      </c>
      <c r="J10" t="s">
        <v>355</v>
      </c>
      <c r="K10" t="s">
        <v>355</v>
      </c>
      <c r="L10" t="s">
        <v>61</v>
      </c>
      <c r="M10" t="s">
        <v>61</v>
      </c>
      <c r="N10" t="s">
        <v>382</v>
      </c>
      <c r="O10" t="s">
        <v>185</v>
      </c>
      <c r="P10">
        <v>9</v>
      </c>
      <c r="Q10" t="s">
        <v>383</v>
      </c>
      <c r="U10" t="s">
        <v>384</v>
      </c>
      <c r="V10" t="s">
        <v>385</v>
      </c>
      <c r="AB10" t="s">
        <v>68</v>
      </c>
      <c r="AC10" t="s">
        <v>69</v>
      </c>
      <c r="AD10" t="s">
        <v>92</v>
      </c>
      <c r="AE10" t="s">
        <v>93</v>
      </c>
      <c r="AF10" t="s">
        <v>386</v>
      </c>
      <c r="AG10" t="s">
        <v>203</v>
      </c>
      <c r="AH10" t="s">
        <v>361</v>
      </c>
      <c r="AI10">
        <v>9</v>
      </c>
      <c r="AJ10" s="1">
        <v>45673</v>
      </c>
      <c r="AK10" s="2">
        <v>0.87708333333333333</v>
      </c>
      <c r="AL10" s="1">
        <v>45673</v>
      </c>
      <c r="AM10" s="2">
        <v>0.88611111111111107</v>
      </c>
      <c r="AN10" s="1">
        <v>45674</v>
      </c>
      <c r="AO10" s="2">
        <v>0.51179398148148147</v>
      </c>
      <c r="AP10">
        <v>2025</v>
      </c>
      <c r="AQ10">
        <v>3</v>
      </c>
      <c r="AR10">
        <v>3</v>
      </c>
      <c r="AS10">
        <v>16</v>
      </c>
      <c r="AT10">
        <v>16</v>
      </c>
      <c r="AU10" s="2">
        <v>45673.877083333333</v>
      </c>
      <c r="AV10">
        <v>630</v>
      </c>
      <c r="AW10" t="s">
        <v>383</v>
      </c>
      <c r="AX10" t="s">
        <v>387</v>
      </c>
      <c r="AY10" t="s">
        <v>388</v>
      </c>
      <c r="AZ10" t="s">
        <v>389</v>
      </c>
      <c r="BA10" t="s">
        <v>585</v>
      </c>
      <c r="BB10" t="s">
        <v>113</v>
      </c>
    </row>
    <row r="11" spans="1:54" x14ac:dyDescent="0.25">
      <c r="A11" t="s">
        <v>205</v>
      </c>
      <c r="B11" s="1">
        <v>45673</v>
      </c>
      <c r="C11" t="s">
        <v>100</v>
      </c>
      <c r="D11" s="50">
        <v>0.83333333333333337</v>
      </c>
      <c r="E11" s="50">
        <v>0.83333333333333337</v>
      </c>
      <c r="F11" t="s">
        <v>115</v>
      </c>
      <c r="G11" t="s">
        <v>57</v>
      </c>
      <c r="H11" t="s">
        <v>206</v>
      </c>
      <c r="I11" t="s">
        <v>207</v>
      </c>
      <c r="J11" t="s">
        <v>208</v>
      </c>
      <c r="K11" t="s">
        <v>209</v>
      </c>
      <c r="L11" t="s">
        <v>137</v>
      </c>
      <c r="M11" t="s">
        <v>196</v>
      </c>
      <c r="N11" t="s">
        <v>210</v>
      </c>
      <c r="O11" t="s">
        <v>211</v>
      </c>
      <c r="P11">
        <v>5</v>
      </c>
      <c r="Q11" t="s">
        <v>212</v>
      </c>
      <c r="AB11" t="s">
        <v>91</v>
      </c>
      <c r="AC11" t="s">
        <v>69</v>
      </c>
      <c r="AD11" t="s">
        <v>213</v>
      </c>
      <c r="AE11" t="s">
        <v>214</v>
      </c>
      <c r="AH11" t="s">
        <v>142</v>
      </c>
      <c r="AI11">
        <v>9</v>
      </c>
      <c r="AJ11" s="1">
        <v>45673</v>
      </c>
      <c r="AK11" s="2">
        <v>0.83333333333333337</v>
      </c>
      <c r="AL11" s="1"/>
      <c r="AM11" s="2"/>
      <c r="AN11" s="1">
        <v>45673</v>
      </c>
      <c r="AO11" s="2">
        <v>9.0057870370370371E-2</v>
      </c>
      <c r="AP11">
        <v>2025</v>
      </c>
      <c r="AQ11">
        <v>3</v>
      </c>
      <c r="AR11">
        <v>3</v>
      </c>
      <c r="AS11">
        <v>16</v>
      </c>
      <c r="AT11">
        <v>16</v>
      </c>
      <c r="AU11" s="2">
        <v>45673.833333333336</v>
      </c>
      <c r="AV11">
        <v>152</v>
      </c>
      <c r="AW11" t="s">
        <v>212</v>
      </c>
      <c r="AY11" t="s">
        <v>215</v>
      </c>
      <c r="AZ11" t="s">
        <v>216</v>
      </c>
      <c r="BA11" t="s">
        <v>585</v>
      </c>
      <c r="BB11" t="s">
        <v>113</v>
      </c>
    </row>
    <row r="12" spans="1:54" x14ac:dyDescent="0.25">
      <c r="A12" t="s">
        <v>244</v>
      </c>
      <c r="B12" s="1">
        <v>45678</v>
      </c>
      <c r="C12" t="s">
        <v>80</v>
      </c>
      <c r="D12" s="50">
        <v>0.79166666666666663</v>
      </c>
      <c r="E12" s="50">
        <v>0.79166666666666663</v>
      </c>
      <c r="F12" t="s">
        <v>192</v>
      </c>
      <c r="G12" t="s">
        <v>57</v>
      </c>
      <c r="H12" t="s">
        <v>245</v>
      </c>
      <c r="I12" t="s">
        <v>246</v>
      </c>
      <c r="J12" t="s">
        <v>221</v>
      </c>
      <c r="K12" t="s">
        <v>221</v>
      </c>
      <c r="L12" t="s">
        <v>61</v>
      </c>
      <c r="M12" t="s">
        <v>61</v>
      </c>
      <c r="N12" t="s">
        <v>247</v>
      </c>
      <c r="O12" t="s">
        <v>185</v>
      </c>
      <c r="P12">
        <v>9</v>
      </c>
      <c r="Q12" t="s">
        <v>248</v>
      </c>
      <c r="T12" t="s">
        <v>249</v>
      </c>
      <c r="U12" t="s">
        <v>65</v>
      </c>
      <c r="V12" t="s">
        <v>250</v>
      </c>
      <c r="W12" t="s">
        <v>67</v>
      </c>
      <c r="AB12" t="s">
        <v>251</v>
      </c>
      <c r="AC12" t="s">
        <v>69</v>
      </c>
      <c r="AD12" t="s">
        <v>252</v>
      </c>
      <c r="AE12" t="s">
        <v>214</v>
      </c>
      <c r="AF12" t="s">
        <v>166</v>
      </c>
      <c r="AG12" t="s">
        <v>73</v>
      </c>
      <c r="AH12" t="s">
        <v>229</v>
      </c>
      <c r="AI12">
        <v>9</v>
      </c>
      <c r="AJ12" s="1">
        <v>45678</v>
      </c>
      <c r="AK12" s="2">
        <v>0.79166666666666663</v>
      </c>
      <c r="AL12" s="1">
        <v>45679</v>
      </c>
      <c r="AM12" s="2">
        <v>0.13125000000000001</v>
      </c>
      <c r="AN12" s="1">
        <v>45679</v>
      </c>
      <c r="AO12" s="2">
        <v>0.13255787037037037</v>
      </c>
      <c r="AP12">
        <v>2025</v>
      </c>
      <c r="AQ12">
        <v>4</v>
      </c>
      <c r="AR12">
        <v>4</v>
      </c>
      <c r="AS12">
        <v>21</v>
      </c>
      <c r="AT12">
        <v>21</v>
      </c>
      <c r="AU12" s="2">
        <v>45678.791666666664</v>
      </c>
      <c r="AV12">
        <v>33</v>
      </c>
      <c r="AW12" t="s">
        <v>248</v>
      </c>
      <c r="AX12" t="s">
        <v>253</v>
      </c>
      <c r="AY12" t="s">
        <v>61</v>
      </c>
      <c r="AZ12" t="s">
        <v>61</v>
      </c>
      <c r="BA12" t="s">
        <v>584</v>
      </c>
      <c r="BB12" t="s">
        <v>98</v>
      </c>
    </row>
    <row r="13" spans="1:54" x14ac:dyDescent="0.25">
      <c r="A13" t="s">
        <v>254</v>
      </c>
      <c r="B13" s="1">
        <v>45679</v>
      </c>
      <c r="C13" t="s">
        <v>146</v>
      </c>
      <c r="D13" s="50">
        <v>0.33333333333333331</v>
      </c>
      <c r="E13" s="50">
        <v>0.33333333333333331</v>
      </c>
      <c r="F13" t="s">
        <v>169</v>
      </c>
      <c r="G13" t="s">
        <v>57</v>
      </c>
      <c r="H13" t="s">
        <v>255</v>
      </c>
      <c r="I13" t="s">
        <v>256</v>
      </c>
      <c r="J13" t="s">
        <v>221</v>
      </c>
      <c r="K13" t="s">
        <v>221</v>
      </c>
      <c r="L13" t="s">
        <v>61</v>
      </c>
      <c r="M13" t="s">
        <v>61</v>
      </c>
      <c r="N13" t="s">
        <v>257</v>
      </c>
      <c r="O13" t="s">
        <v>258</v>
      </c>
      <c r="P13">
        <v>5</v>
      </c>
      <c r="Q13" t="s">
        <v>259</v>
      </c>
      <c r="T13" t="s">
        <v>260</v>
      </c>
      <c r="U13" t="s">
        <v>261</v>
      </c>
      <c r="V13" t="s">
        <v>262</v>
      </c>
      <c r="W13" t="s">
        <v>67</v>
      </c>
      <c r="AB13" t="s">
        <v>124</v>
      </c>
      <c r="AC13" t="s">
        <v>69</v>
      </c>
      <c r="AD13" t="s">
        <v>252</v>
      </c>
      <c r="AE13" t="s">
        <v>214</v>
      </c>
      <c r="AF13" t="s">
        <v>127</v>
      </c>
      <c r="AG13" t="s">
        <v>73</v>
      </c>
      <c r="AH13" t="s">
        <v>229</v>
      </c>
      <c r="AI13">
        <v>9</v>
      </c>
      <c r="AJ13" s="1">
        <v>45679</v>
      </c>
      <c r="AK13" s="2">
        <v>0.33333333333333331</v>
      </c>
      <c r="AL13" s="1">
        <v>45679</v>
      </c>
      <c r="AM13" s="2">
        <v>0.80069444444444449</v>
      </c>
      <c r="AN13" s="1">
        <v>45679</v>
      </c>
      <c r="AO13" s="2">
        <v>0.80203703703703699</v>
      </c>
      <c r="AP13">
        <v>2025</v>
      </c>
      <c r="AQ13">
        <v>4</v>
      </c>
      <c r="AR13">
        <v>4</v>
      </c>
      <c r="AS13">
        <v>22</v>
      </c>
      <c r="AT13">
        <v>22</v>
      </c>
      <c r="AU13" s="2">
        <v>45679.333333333336</v>
      </c>
      <c r="AV13">
        <v>443</v>
      </c>
      <c r="AW13" t="s">
        <v>259</v>
      </c>
      <c r="AX13" t="s">
        <v>263</v>
      </c>
      <c r="AY13" t="s">
        <v>61</v>
      </c>
      <c r="AZ13" t="s">
        <v>61</v>
      </c>
      <c r="BA13" t="s">
        <v>584</v>
      </c>
      <c r="BB13" t="s">
        <v>155</v>
      </c>
    </row>
    <row r="14" spans="1:54" x14ac:dyDescent="0.25">
      <c r="A14" t="s">
        <v>418</v>
      </c>
      <c r="B14" s="1">
        <v>45680</v>
      </c>
      <c r="C14" t="s">
        <v>55</v>
      </c>
      <c r="D14" s="50">
        <v>0.625</v>
      </c>
      <c r="E14" s="50">
        <v>0.625</v>
      </c>
      <c r="F14" t="s">
        <v>115</v>
      </c>
      <c r="G14" t="s">
        <v>57</v>
      </c>
      <c r="H14" t="s">
        <v>419</v>
      </c>
      <c r="I14" t="s">
        <v>420</v>
      </c>
      <c r="J14" t="s">
        <v>421</v>
      </c>
      <c r="K14" t="s">
        <v>422</v>
      </c>
      <c r="L14" t="s">
        <v>409</v>
      </c>
      <c r="M14" t="s">
        <v>61</v>
      </c>
      <c r="N14" t="s">
        <v>423</v>
      </c>
      <c r="O14" t="s">
        <v>87</v>
      </c>
      <c r="P14">
        <v>8</v>
      </c>
      <c r="Q14" t="s">
        <v>424</v>
      </c>
      <c r="AB14" t="s">
        <v>425</v>
      </c>
      <c r="AC14" t="s">
        <v>69</v>
      </c>
      <c r="AD14" t="s">
        <v>360</v>
      </c>
      <c r="AE14" t="s">
        <v>426</v>
      </c>
      <c r="AF14" t="s">
        <v>415</v>
      </c>
      <c r="AG14" t="s">
        <v>427</v>
      </c>
      <c r="AI14">
        <v>9</v>
      </c>
      <c r="AJ14" s="1">
        <v>45680</v>
      </c>
      <c r="AK14" s="2">
        <v>0.625</v>
      </c>
      <c r="AL14" s="1"/>
      <c r="AM14" s="2"/>
      <c r="AN14" s="1">
        <v>45680</v>
      </c>
      <c r="AO14" s="2">
        <v>0.66545138888888888</v>
      </c>
      <c r="AP14">
        <v>2025</v>
      </c>
      <c r="AQ14">
        <v>4</v>
      </c>
      <c r="AR14">
        <v>4</v>
      </c>
      <c r="AS14">
        <v>23</v>
      </c>
      <c r="AT14">
        <v>23</v>
      </c>
      <c r="AU14" s="2">
        <v>45680.625</v>
      </c>
      <c r="AV14">
        <v>176</v>
      </c>
      <c r="AW14" t="s">
        <v>424</v>
      </c>
      <c r="AY14" t="s">
        <v>428</v>
      </c>
      <c r="AZ14" t="s">
        <v>61</v>
      </c>
      <c r="BA14" t="s">
        <v>584</v>
      </c>
      <c r="BB14" t="s">
        <v>78</v>
      </c>
    </row>
    <row r="15" spans="1:54" x14ac:dyDescent="0.25">
      <c r="A15" t="s">
        <v>79</v>
      </c>
      <c r="B15" s="1">
        <v>45682</v>
      </c>
      <c r="C15" t="s">
        <v>80</v>
      </c>
      <c r="D15" s="50">
        <v>0.75</v>
      </c>
      <c r="E15" s="50">
        <v>0.76875000000000004</v>
      </c>
      <c r="F15" t="s">
        <v>81</v>
      </c>
      <c r="G15" t="s">
        <v>57</v>
      </c>
      <c r="H15" t="s">
        <v>82</v>
      </c>
      <c r="I15" t="s">
        <v>83</v>
      </c>
      <c r="J15" t="s">
        <v>60</v>
      </c>
      <c r="K15" t="s">
        <v>84</v>
      </c>
      <c r="L15" t="s">
        <v>85</v>
      </c>
      <c r="M15" t="s">
        <v>61</v>
      </c>
      <c r="N15" t="s">
        <v>86</v>
      </c>
      <c r="O15" t="s">
        <v>87</v>
      </c>
      <c r="P15">
        <v>8</v>
      </c>
      <c r="Q15" t="s">
        <v>88</v>
      </c>
      <c r="T15" t="s">
        <v>89</v>
      </c>
      <c r="U15" t="s">
        <v>65</v>
      </c>
      <c r="V15" t="s">
        <v>90</v>
      </c>
      <c r="W15" t="s">
        <v>67</v>
      </c>
      <c r="AB15" t="s">
        <v>91</v>
      </c>
      <c r="AC15" t="s">
        <v>69</v>
      </c>
      <c r="AD15" t="s">
        <v>92</v>
      </c>
      <c r="AE15" t="s">
        <v>93</v>
      </c>
      <c r="AF15" t="s">
        <v>94</v>
      </c>
      <c r="AG15" t="s">
        <v>95</v>
      </c>
      <c r="AH15" t="s">
        <v>74</v>
      </c>
      <c r="AI15">
        <v>9</v>
      </c>
      <c r="AJ15" s="1">
        <v>45682</v>
      </c>
      <c r="AK15" s="2">
        <v>0.76875000000000004</v>
      </c>
      <c r="AL15" s="1"/>
      <c r="AM15" s="2"/>
      <c r="AN15" s="1">
        <v>45683</v>
      </c>
      <c r="AO15" s="2">
        <v>0.44056712962962963</v>
      </c>
      <c r="AP15">
        <v>2025</v>
      </c>
      <c r="AQ15">
        <v>4</v>
      </c>
      <c r="AR15">
        <v>4</v>
      </c>
      <c r="AS15">
        <v>25</v>
      </c>
      <c r="AT15">
        <v>25</v>
      </c>
      <c r="AU15" s="2">
        <v>45682.768750000003</v>
      </c>
      <c r="AV15">
        <v>206</v>
      </c>
      <c r="AW15" t="s">
        <v>88</v>
      </c>
      <c r="AX15" t="s">
        <v>96</v>
      </c>
      <c r="AY15" t="s">
        <v>97</v>
      </c>
      <c r="AZ15" t="s">
        <v>61</v>
      </c>
      <c r="BA15" t="s">
        <v>584</v>
      </c>
      <c r="BB15" t="s">
        <v>98</v>
      </c>
    </row>
    <row r="16" spans="1:54" x14ac:dyDescent="0.25">
      <c r="A16" t="s">
        <v>145</v>
      </c>
      <c r="B16" s="1">
        <v>45682</v>
      </c>
      <c r="C16" t="s">
        <v>146</v>
      </c>
      <c r="D16" s="50">
        <v>0.45833333333333331</v>
      </c>
      <c r="E16" s="50">
        <v>0.45833333333333331</v>
      </c>
      <c r="F16" t="s">
        <v>81</v>
      </c>
      <c r="G16" t="s">
        <v>57</v>
      </c>
      <c r="H16" t="s">
        <v>147</v>
      </c>
      <c r="I16" t="s">
        <v>148</v>
      </c>
      <c r="J16" t="s">
        <v>137</v>
      </c>
      <c r="K16" t="s">
        <v>137</v>
      </c>
      <c r="L16" t="s">
        <v>61</v>
      </c>
      <c r="M16" t="s">
        <v>61</v>
      </c>
      <c r="N16" t="s">
        <v>149</v>
      </c>
      <c r="O16" t="s">
        <v>150</v>
      </c>
      <c r="P16">
        <v>5</v>
      </c>
      <c r="Q16" t="s">
        <v>151</v>
      </c>
      <c r="AB16" t="s">
        <v>91</v>
      </c>
      <c r="AC16" t="s">
        <v>69</v>
      </c>
      <c r="AD16" t="s">
        <v>152</v>
      </c>
      <c r="AE16" t="s">
        <v>93</v>
      </c>
      <c r="AF16" t="s">
        <v>72</v>
      </c>
      <c r="AG16" t="s">
        <v>128</v>
      </c>
      <c r="AH16" t="s">
        <v>142</v>
      </c>
      <c r="AI16">
        <v>9</v>
      </c>
      <c r="AJ16" s="1">
        <v>45682</v>
      </c>
      <c r="AK16" s="2">
        <v>0.45833333333333331</v>
      </c>
      <c r="AL16" s="1">
        <v>45682</v>
      </c>
      <c r="AM16" s="2">
        <v>0.58333333333333337</v>
      </c>
      <c r="AN16" s="1">
        <v>45682</v>
      </c>
      <c r="AO16" s="2">
        <v>0.58054398148148145</v>
      </c>
      <c r="AP16">
        <v>2025</v>
      </c>
      <c r="AQ16">
        <v>4</v>
      </c>
      <c r="AR16">
        <v>4</v>
      </c>
      <c r="AS16">
        <v>25</v>
      </c>
      <c r="AT16">
        <v>25</v>
      </c>
      <c r="AU16" s="2">
        <v>45682.458333333336</v>
      </c>
      <c r="AV16">
        <v>60</v>
      </c>
      <c r="AW16" t="s">
        <v>151</v>
      </c>
      <c r="AY16" t="s">
        <v>153</v>
      </c>
      <c r="AZ16" t="s">
        <v>154</v>
      </c>
      <c r="BA16" t="s">
        <v>584</v>
      </c>
      <c r="BB16" t="s">
        <v>155</v>
      </c>
    </row>
    <row r="17" spans="1:54" x14ac:dyDescent="0.25">
      <c r="A17" t="s">
        <v>99</v>
      </c>
      <c r="B17" s="1">
        <v>45683</v>
      </c>
      <c r="C17" t="s">
        <v>100</v>
      </c>
      <c r="D17" s="50">
        <v>0.83333333333333337</v>
      </c>
      <c r="E17" s="50">
        <v>0.84027777777777779</v>
      </c>
      <c r="F17" t="s">
        <v>101</v>
      </c>
      <c r="G17" t="s">
        <v>57</v>
      </c>
      <c r="H17" t="s">
        <v>102</v>
      </c>
      <c r="I17" t="s">
        <v>103</v>
      </c>
      <c r="J17" t="s">
        <v>60</v>
      </c>
      <c r="K17" t="s">
        <v>84</v>
      </c>
      <c r="L17" t="s">
        <v>85</v>
      </c>
      <c r="M17" t="s">
        <v>61</v>
      </c>
      <c r="N17" t="s">
        <v>104</v>
      </c>
      <c r="O17" t="s">
        <v>105</v>
      </c>
      <c r="P17">
        <v>9</v>
      </c>
      <c r="Q17" t="s">
        <v>106</v>
      </c>
      <c r="T17" t="s">
        <v>107</v>
      </c>
      <c r="U17" t="s">
        <v>65</v>
      </c>
      <c r="V17" t="s">
        <v>108</v>
      </c>
      <c r="W17" t="s">
        <v>67</v>
      </c>
      <c r="AB17" t="s">
        <v>68</v>
      </c>
      <c r="AC17" t="s">
        <v>69</v>
      </c>
      <c r="AD17" t="s">
        <v>109</v>
      </c>
      <c r="AE17" t="s">
        <v>71</v>
      </c>
      <c r="AF17" t="s">
        <v>110</v>
      </c>
      <c r="AG17" t="s">
        <v>73</v>
      </c>
      <c r="AH17" t="s">
        <v>74</v>
      </c>
      <c r="AI17">
        <v>9</v>
      </c>
      <c r="AJ17" s="1">
        <v>45683</v>
      </c>
      <c r="AK17" s="2">
        <v>0.84027777777777779</v>
      </c>
      <c r="AL17" s="1">
        <v>45683</v>
      </c>
      <c r="AM17" s="2">
        <v>0.84652777777777777</v>
      </c>
      <c r="AN17" s="1">
        <v>45683</v>
      </c>
      <c r="AO17" s="2">
        <v>0.85009259259259262</v>
      </c>
      <c r="AP17">
        <v>2025</v>
      </c>
      <c r="AQ17">
        <v>5</v>
      </c>
      <c r="AR17">
        <v>5</v>
      </c>
      <c r="AS17">
        <v>26</v>
      </c>
      <c r="AT17">
        <v>26</v>
      </c>
      <c r="AU17" s="2">
        <v>45683.840277777781</v>
      </c>
      <c r="AV17">
        <v>5</v>
      </c>
      <c r="AW17" t="s">
        <v>106</v>
      </c>
      <c r="AX17" t="s">
        <v>111</v>
      </c>
      <c r="AY17" t="s">
        <v>61</v>
      </c>
      <c r="AZ17" t="s">
        <v>112</v>
      </c>
      <c r="BA17" t="s">
        <v>584</v>
      </c>
      <c r="BB17" t="s">
        <v>113</v>
      </c>
    </row>
    <row r="18" spans="1:54" x14ac:dyDescent="0.25">
      <c r="A18" t="s">
        <v>264</v>
      </c>
      <c r="B18" s="1">
        <v>45685</v>
      </c>
      <c r="C18" t="s">
        <v>55</v>
      </c>
      <c r="D18" s="50">
        <v>0.625</v>
      </c>
      <c r="E18" s="50">
        <v>0.625</v>
      </c>
      <c r="F18" t="s">
        <v>192</v>
      </c>
      <c r="G18" t="s">
        <v>57</v>
      </c>
      <c r="H18" t="s">
        <v>265</v>
      </c>
      <c r="I18" t="s">
        <v>266</v>
      </c>
      <c r="J18" t="s">
        <v>221</v>
      </c>
      <c r="K18" t="s">
        <v>267</v>
      </c>
      <c r="L18" t="s">
        <v>85</v>
      </c>
      <c r="M18" t="s">
        <v>61</v>
      </c>
      <c r="N18" t="s">
        <v>268</v>
      </c>
      <c r="O18" t="s">
        <v>269</v>
      </c>
      <c r="P18">
        <v>6</v>
      </c>
      <c r="Q18" t="s">
        <v>270</v>
      </c>
      <c r="T18" t="s">
        <v>271</v>
      </c>
      <c r="U18" t="s">
        <v>272</v>
      </c>
      <c r="V18" t="s">
        <v>273</v>
      </c>
      <c r="W18" t="s">
        <v>67</v>
      </c>
      <c r="AB18" t="s">
        <v>124</v>
      </c>
      <c r="AC18" t="s">
        <v>69</v>
      </c>
      <c r="AD18" t="s">
        <v>252</v>
      </c>
      <c r="AE18" t="s">
        <v>214</v>
      </c>
      <c r="AF18" t="s">
        <v>72</v>
      </c>
      <c r="AG18" t="s">
        <v>274</v>
      </c>
      <c r="AH18" t="s">
        <v>229</v>
      </c>
      <c r="AI18">
        <v>9</v>
      </c>
      <c r="AJ18" s="1">
        <v>45685</v>
      </c>
      <c r="AK18" s="2">
        <v>0.625</v>
      </c>
      <c r="AL18" s="1">
        <v>45686</v>
      </c>
      <c r="AM18" s="2">
        <v>0.91736111111111107</v>
      </c>
      <c r="AN18" s="1">
        <v>45686</v>
      </c>
      <c r="AO18" s="2">
        <v>0.91833333333333333</v>
      </c>
      <c r="AP18">
        <v>2025</v>
      </c>
      <c r="AQ18">
        <v>5</v>
      </c>
      <c r="AR18">
        <v>5</v>
      </c>
      <c r="AS18">
        <v>28</v>
      </c>
      <c r="AT18">
        <v>28</v>
      </c>
      <c r="AU18" s="2">
        <v>45685.625</v>
      </c>
      <c r="AV18">
        <v>119</v>
      </c>
      <c r="AW18" t="s">
        <v>270</v>
      </c>
      <c r="AX18" t="s">
        <v>275</v>
      </c>
      <c r="AY18" t="s">
        <v>61</v>
      </c>
      <c r="AZ18" t="s">
        <v>276</v>
      </c>
      <c r="BA18" t="s">
        <v>583</v>
      </c>
      <c r="BB18" t="s">
        <v>78</v>
      </c>
    </row>
    <row r="19" spans="1:54" x14ac:dyDescent="0.25">
      <c r="A19" t="s">
        <v>156</v>
      </c>
      <c r="B19" s="1">
        <v>45688</v>
      </c>
      <c r="C19" t="s">
        <v>146</v>
      </c>
      <c r="D19" s="50">
        <v>0.45833333333333331</v>
      </c>
      <c r="E19" s="50">
        <v>0.49988425925925928</v>
      </c>
      <c r="F19" t="s">
        <v>157</v>
      </c>
      <c r="G19" t="s">
        <v>57</v>
      </c>
      <c r="H19" t="s">
        <v>158</v>
      </c>
      <c r="I19" t="s">
        <v>159</v>
      </c>
      <c r="J19" t="s">
        <v>137</v>
      </c>
      <c r="K19" t="s">
        <v>137</v>
      </c>
      <c r="L19" t="s">
        <v>61</v>
      </c>
      <c r="M19" t="s">
        <v>61</v>
      </c>
      <c r="N19" t="s">
        <v>160</v>
      </c>
      <c r="O19" t="s">
        <v>161</v>
      </c>
      <c r="P19">
        <v>8</v>
      </c>
      <c r="Q19" t="s">
        <v>162</v>
      </c>
      <c r="AB19" t="s">
        <v>163</v>
      </c>
      <c r="AC19" t="s">
        <v>69</v>
      </c>
      <c r="AD19" t="s">
        <v>164</v>
      </c>
      <c r="AE19" t="s">
        <v>165</v>
      </c>
      <c r="AF19" t="s">
        <v>166</v>
      </c>
      <c r="AG19" t="s">
        <v>73</v>
      </c>
      <c r="AH19" t="s">
        <v>142</v>
      </c>
      <c r="AI19">
        <v>9</v>
      </c>
      <c r="AJ19" s="1">
        <v>45688</v>
      </c>
      <c r="AK19" s="2">
        <v>0.49988425925925928</v>
      </c>
      <c r="AL19" s="1"/>
      <c r="AM19" s="2"/>
      <c r="AN19" s="1">
        <v>45688</v>
      </c>
      <c r="AO19" s="2">
        <v>0.49988425925925928</v>
      </c>
      <c r="AP19">
        <v>2025</v>
      </c>
      <c r="AQ19">
        <v>5</v>
      </c>
      <c r="AR19">
        <v>5</v>
      </c>
      <c r="AS19">
        <v>31</v>
      </c>
      <c r="AT19">
        <v>31</v>
      </c>
      <c r="AU19" s="2">
        <v>45688.499305555553</v>
      </c>
      <c r="AV19">
        <v>292</v>
      </c>
      <c r="AW19" t="s">
        <v>162</v>
      </c>
      <c r="AY19" t="s">
        <v>61</v>
      </c>
      <c r="AZ19" t="s">
        <v>61</v>
      </c>
      <c r="BA19" t="s">
        <v>583</v>
      </c>
      <c r="BB19" t="s">
        <v>155</v>
      </c>
    </row>
    <row r="20" spans="1:54" x14ac:dyDescent="0.25">
      <c r="A20" t="s">
        <v>313</v>
      </c>
      <c r="B20" s="1">
        <v>45688</v>
      </c>
      <c r="C20" t="s">
        <v>55</v>
      </c>
      <c r="D20" s="50">
        <v>0.5</v>
      </c>
      <c r="E20" s="50">
        <v>0.5</v>
      </c>
      <c r="F20" t="s">
        <v>157</v>
      </c>
      <c r="G20" t="s">
        <v>57</v>
      </c>
      <c r="H20" t="s">
        <v>314</v>
      </c>
      <c r="I20" t="s">
        <v>315</v>
      </c>
      <c r="J20" t="s">
        <v>221</v>
      </c>
      <c r="K20" t="s">
        <v>221</v>
      </c>
      <c r="L20" t="s">
        <v>61</v>
      </c>
      <c r="M20" t="s">
        <v>61</v>
      </c>
      <c r="N20" t="s">
        <v>316</v>
      </c>
      <c r="O20" t="s">
        <v>258</v>
      </c>
      <c r="P20">
        <v>5</v>
      </c>
      <c r="Q20" t="s">
        <v>317</v>
      </c>
      <c r="T20" t="s">
        <v>318</v>
      </c>
      <c r="V20" t="s">
        <v>238</v>
      </c>
      <c r="W20" t="s">
        <v>67</v>
      </c>
      <c r="AB20" t="s">
        <v>124</v>
      </c>
      <c r="AC20" t="s">
        <v>69</v>
      </c>
      <c r="AD20" t="s">
        <v>213</v>
      </c>
      <c r="AE20" t="s">
        <v>214</v>
      </c>
      <c r="AF20" t="s">
        <v>110</v>
      </c>
      <c r="AG20" t="s">
        <v>73</v>
      </c>
      <c r="AH20" t="s">
        <v>229</v>
      </c>
      <c r="AI20">
        <v>9</v>
      </c>
      <c r="AJ20" s="1">
        <v>45688</v>
      </c>
      <c r="AK20" s="2">
        <v>0.5</v>
      </c>
      <c r="AL20" s="1">
        <v>45695</v>
      </c>
      <c r="AM20" s="2">
        <v>0.54166666666666663</v>
      </c>
      <c r="AN20" s="1">
        <v>45696</v>
      </c>
      <c r="AO20" s="2">
        <v>0.3903240740740741</v>
      </c>
      <c r="AP20">
        <v>2025</v>
      </c>
      <c r="AQ20">
        <v>5</v>
      </c>
      <c r="AR20">
        <v>5</v>
      </c>
      <c r="AS20">
        <v>31</v>
      </c>
      <c r="AT20">
        <v>31</v>
      </c>
      <c r="AU20" s="2">
        <v>45688.5</v>
      </c>
      <c r="AV20">
        <v>535</v>
      </c>
      <c r="AW20" t="s">
        <v>317</v>
      </c>
      <c r="AX20" t="s">
        <v>319</v>
      </c>
      <c r="AY20" t="s">
        <v>61</v>
      </c>
      <c r="AZ20" t="s">
        <v>320</v>
      </c>
      <c r="BA20" t="s">
        <v>583</v>
      </c>
      <c r="BB20" t="s">
        <v>78</v>
      </c>
    </row>
    <row r="21" spans="1:54" x14ac:dyDescent="0.25">
      <c r="A21" t="s">
        <v>277</v>
      </c>
      <c r="B21" s="1">
        <v>45689</v>
      </c>
      <c r="C21" t="s">
        <v>168</v>
      </c>
      <c r="D21" s="50">
        <v>4.1666666666666664E-2</v>
      </c>
      <c r="E21" s="50">
        <v>4.1666666666666664E-2</v>
      </c>
      <c r="F21" t="s">
        <v>81</v>
      </c>
      <c r="G21" t="s">
        <v>116</v>
      </c>
      <c r="H21" t="s">
        <v>278</v>
      </c>
      <c r="I21" t="s">
        <v>279</v>
      </c>
      <c r="J21" t="s">
        <v>221</v>
      </c>
      <c r="K21" t="s">
        <v>221</v>
      </c>
      <c r="L21" t="s">
        <v>61</v>
      </c>
      <c r="M21" t="s">
        <v>61</v>
      </c>
      <c r="N21" t="s">
        <v>280</v>
      </c>
      <c r="O21" t="s">
        <v>281</v>
      </c>
      <c r="P21">
        <v>6</v>
      </c>
      <c r="Q21" t="s">
        <v>282</v>
      </c>
      <c r="T21" t="s">
        <v>283</v>
      </c>
      <c r="U21" t="s">
        <v>122</v>
      </c>
      <c r="V21" t="s">
        <v>284</v>
      </c>
      <c r="W21" t="s">
        <v>67</v>
      </c>
      <c r="AB21" t="s">
        <v>124</v>
      </c>
      <c r="AC21" t="s">
        <v>69</v>
      </c>
      <c r="AD21" t="s">
        <v>252</v>
      </c>
      <c r="AE21" t="s">
        <v>214</v>
      </c>
      <c r="AF21" t="s">
        <v>127</v>
      </c>
      <c r="AG21" t="s">
        <v>73</v>
      </c>
      <c r="AH21" t="s">
        <v>229</v>
      </c>
      <c r="AI21">
        <v>9</v>
      </c>
      <c r="AJ21" s="1">
        <v>45689</v>
      </c>
      <c r="AK21" s="2">
        <v>4.1666666666666664E-2</v>
      </c>
      <c r="AL21" s="1"/>
      <c r="AM21" s="2">
        <v>0.10416666666666667</v>
      </c>
      <c r="AN21" s="1">
        <v>45689</v>
      </c>
      <c r="AO21" s="2">
        <v>0.11982638888888889</v>
      </c>
      <c r="AP21">
        <v>2025</v>
      </c>
      <c r="AQ21">
        <v>5</v>
      </c>
      <c r="AR21">
        <v>1</v>
      </c>
      <c r="AS21">
        <v>1</v>
      </c>
      <c r="AT21">
        <v>32</v>
      </c>
      <c r="AU21" s="2">
        <v>45689.041666666664</v>
      </c>
      <c r="AV21">
        <v>453</v>
      </c>
      <c r="AW21" t="s">
        <v>282</v>
      </c>
      <c r="AX21" t="s">
        <v>285</v>
      </c>
      <c r="AY21" t="s">
        <v>61</v>
      </c>
      <c r="AZ21" t="s">
        <v>286</v>
      </c>
      <c r="BA21" t="s">
        <v>583</v>
      </c>
      <c r="BB21" t="s">
        <v>179</v>
      </c>
    </row>
    <row r="22" spans="1:54" x14ac:dyDescent="0.25">
      <c r="A22" t="s">
        <v>390</v>
      </c>
      <c r="B22" s="1">
        <v>45690</v>
      </c>
      <c r="C22" t="s">
        <v>80</v>
      </c>
      <c r="D22" s="50">
        <v>0.70833333333333337</v>
      </c>
      <c r="E22" s="50">
        <v>0.72569444444444442</v>
      </c>
      <c r="F22" t="s">
        <v>101</v>
      </c>
      <c r="G22" t="s">
        <v>116</v>
      </c>
      <c r="H22" t="s">
        <v>302</v>
      </c>
      <c r="I22" t="s">
        <v>391</v>
      </c>
      <c r="J22" t="s">
        <v>183</v>
      </c>
      <c r="K22" t="s">
        <v>392</v>
      </c>
      <c r="L22" t="s">
        <v>355</v>
      </c>
      <c r="M22" t="s">
        <v>61</v>
      </c>
      <c r="N22" t="s">
        <v>393</v>
      </c>
      <c r="O22" t="s">
        <v>150</v>
      </c>
      <c r="P22">
        <v>5</v>
      </c>
      <c r="Q22" t="s">
        <v>394</v>
      </c>
      <c r="AB22" t="s">
        <v>68</v>
      </c>
      <c r="AC22" t="s">
        <v>69</v>
      </c>
      <c r="AD22" t="s">
        <v>109</v>
      </c>
      <c r="AE22" t="s">
        <v>71</v>
      </c>
      <c r="AF22" t="s">
        <v>187</v>
      </c>
      <c r="AG22" t="s">
        <v>95</v>
      </c>
      <c r="AI22">
        <v>9</v>
      </c>
      <c r="AJ22" s="1">
        <v>45690</v>
      </c>
      <c r="AK22" s="2">
        <v>0.72569444444444442</v>
      </c>
      <c r="AL22" s="1">
        <v>45690</v>
      </c>
      <c r="AM22" s="2">
        <v>0.75</v>
      </c>
      <c r="AN22" s="1">
        <v>45691</v>
      </c>
      <c r="AO22" s="2">
        <v>0.50143518518518515</v>
      </c>
      <c r="AP22">
        <v>2025</v>
      </c>
      <c r="AQ22">
        <v>6</v>
      </c>
      <c r="AR22">
        <v>2</v>
      </c>
      <c r="AS22">
        <v>2</v>
      </c>
      <c r="AT22">
        <v>33</v>
      </c>
      <c r="AU22" s="2">
        <v>45690.725694444445</v>
      </c>
      <c r="AV22">
        <v>144</v>
      </c>
      <c r="AW22" t="s">
        <v>394</v>
      </c>
      <c r="AY22" t="s">
        <v>395</v>
      </c>
      <c r="AZ22" t="s">
        <v>61</v>
      </c>
      <c r="BA22" t="s">
        <v>583</v>
      </c>
      <c r="BB22" t="s">
        <v>98</v>
      </c>
    </row>
    <row r="23" spans="1:54" x14ac:dyDescent="0.25">
      <c r="A23" t="s">
        <v>396</v>
      </c>
      <c r="B23" s="1">
        <v>45691</v>
      </c>
      <c r="C23" t="s">
        <v>80</v>
      </c>
      <c r="D23" s="50">
        <v>0.66666666666666663</v>
      </c>
      <c r="E23" s="50">
        <v>0.694849537037037</v>
      </c>
      <c r="F23" t="s">
        <v>56</v>
      </c>
      <c r="G23" t="s">
        <v>116</v>
      </c>
      <c r="H23" t="s">
        <v>365</v>
      </c>
      <c r="I23" t="s">
        <v>397</v>
      </c>
      <c r="J23" t="s">
        <v>355</v>
      </c>
      <c r="K23" t="s">
        <v>355</v>
      </c>
      <c r="L23" t="s">
        <v>61</v>
      </c>
      <c r="M23" t="s">
        <v>61</v>
      </c>
      <c r="N23" t="s">
        <v>398</v>
      </c>
      <c r="O23" t="s">
        <v>371</v>
      </c>
      <c r="P23">
        <v>9</v>
      </c>
      <c r="Q23" t="s">
        <v>399</v>
      </c>
      <c r="AB23" t="s">
        <v>91</v>
      </c>
      <c r="AC23" t="s">
        <v>69</v>
      </c>
      <c r="AD23" t="s">
        <v>141</v>
      </c>
      <c r="AE23" t="s">
        <v>71</v>
      </c>
      <c r="AF23" t="s">
        <v>110</v>
      </c>
      <c r="AG23" t="s">
        <v>73</v>
      </c>
      <c r="AH23" t="s">
        <v>361</v>
      </c>
      <c r="AI23">
        <v>9</v>
      </c>
      <c r="AJ23" s="1"/>
      <c r="AK23" s="2"/>
      <c r="AL23" s="1"/>
      <c r="AM23" s="2"/>
      <c r="AN23" s="1">
        <v>45691</v>
      </c>
      <c r="AO23" s="2">
        <v>0.694849537037037</v>
      </c>
      <c r="AP23">
        <v>2025</v>
      </c>
      <c r="AQ23">
        <v>6</v>
      </c>
      <c r="AR23">
        <v>2</v>
      </c>
      <c r="AS23">
        <v>3</v>
      </c>
      <c r="AT23">
        <v>34</v>
      </c>
      <c r="AU23" s="2">
        <v>45691.694444444445</v>
      </c>
      <c r="AV23">
        <v>400</v>
      </c>
      <c r="AW23" t="s">
        <v>399</v>
      </c>
      <c r="AY23" t="s">
        <v>400</v>
      </c>
      <c r="AZ23" t="s">
        <v>401</v>
      </c>
      <c r="BA23" t="s">
        <v>583</v>
      </c>
      <c r="BB23" t="s">
        <v>98</v>
      </c>
    </row>
    <row r="24" spans="1:54" x14ac:dyDescent="0.25">
      <c r="A24" t="s">
        <v>287</v>
      </c>
      <c r="B24" s="1">
        <v>45691</v>
      </c>
      <c r="C24" t="s">
        <v>80</v>
      </c>
      <c r="D24" s="50">
        <v>0.75</v>
      </c>
      <c r="E24" s="50">
        <v>0.77083333333333337</v>
      </c>
      <c r="F24" t="s">
        <v>56</v>
      </c>
      <c r="G24" t="s">
        <v>116</v>
      </c>
      <c r="H24" t="s">
        <v>288</v>
      </c>
      <c r="I24" t="s">
        <v>289</v>
      </c>
      <c r="J24" t="s">
        <v>221</v>
      </c>
      <c r="K24" t="s">
        <v>221</v>
      </c>
      <c r="L24" t="s">
        <v>61</v>
      </c>
      <c r="M24" t="s">
        <v>61</v>
      </c>
      <c r="N24" t="s">
        <v>290</v>
      </c>
      <c r="O24" t="s">
        <v>291</v>
      </c>
      <c r="P24">
        <v>8</v>
      </c>
      <c r="Q24" t="s">
        <v>292</v>
      </c>
      <c r="T24" t="s">
        <v>293</v>
      </c>
      <c r="U24" t="s">
        <v>294</v>
      </c>
      <c r="V24" t="s">
        <v>295</v>
      </c>
      <c r="W24" t="s">
        <v>296</v>
      </c>
      <c r="AB24" t="s">
        <v>68</v>
      </c>
      <c r="AC24" t="s">
        <v>69</v>
      </c>
      <c r="AD24" t="s">
        <v>109</v>
      </c>
      <c r="AE24" t="s">
        <v>71</v>
      </c>
      <c r="AF24" t="s">
        <v>72</v>
      </c>
      <c r="AG24" t="s">
        <v>203</v>
      </c>
      <c r="AH24" t="s">
        <v>229</v>
      </c>
      <c r="AI24">
        <v>9</v>
      </c>
      <c r="AJ24" s="1">
        <v>45691</v>
      </c>
      <c r="AK24" s="2">
        <v>0.77083333333333337</v>
      </c>
      <c r="AL24" s="1">
        <v>45692</v>
      </c>
      <c r="AM24" s="2">
        <v>0.79166666666666663</v>
      </c>
      <c r="AN24" s="1">
        <v>45692</v>
      </c>
      <c r="AO24" s="2">
        <v>0.53023148148148147</v>
      </c>
      <c r="AP24">
        <v>2025</v>
      </c>
      <c r="AQ24">
        <v>6</v>
      </c>
      <c r="AR24">
        <v>2</v>
      </c>
      <c r="AS24">
        <v>3</v>
      </c>
      <c r="AT24">
        <v>34</v>
      </c>
      <c r="AU24" s="2">
        <v>45691.770833333336</v>
      </c>
      <c r="AV24">
        <v>55</v>
      </c>
      <c r="AW24" t="s">
        <v>292</v>
      </c>
      <c r="AX24" t="s">
        <v>297</v>
      </c>
      <c r="AY24" t="s">
        <v>298</v>
      </c>
      <c r="AZ24" t="s">
        <v>299</v>
      </c>
      <c r="BA24" t="s">
        <v>583</v>
      </c>
      <c r="BB24" t="s">
        <v>98</v>
      </c>
    </row>
    <row r="25" spans="1:54" x14ac:dyDescent="0.25">
      <c r="A25" t="s">
        <v>167</v>
      </c>
      <c r="B25" s="1">
        <v>45693</v>
      </c>
      <c r="C25" t="s">
        <v>168</v>
      </c>
      <c r="D25" s="50">
        <v>8.3333333333333329E-2</v>
      </c>
      <c r="E25" s="50">
        <v>0.12291666666666666</v>
      </c>
      <c r="F25" t="s">
        <v>169</v>
      </c>
      <c r="G25" t="s">
        <v>116</v>
      </c>
      <c r="H25" t="s">
        <v>170</v>
      </c>
      <c r="I25" t="s">
        <v>171</v>
      </c>
      <c r="J25" t="s">
        <v>172</v>
      </c>
      <c r="K25" t="s">
        <v>173</v>
      </c>
      <c r="L25" t="s">
        <v>174</v>
      </c>
      <c r="M25" t="s">
        <v>61</v>
      </c>
      <c r="N25" t="s">
        <v>175</v>
      </c>
      <c r="O25" t="s">
        <v>161</v>
      </c>
      <c r="P25">
        <v>8</v>
      </c>
      <c r="Q25" t="s">
        <v>176</v>
      </c>
      <c r="AB25" t="s">
        <v>124</v>
      </c>
      <c r="AC25" t="s">
        <v>69</v>
      </c>
      <c r="AD25" t="s">
        <v>177</v>
      </c>
      <c r="AE25" t="s">
        <v>93</v>
      </c>
      <c r="AF25" t="s">
        <v>178</v>
      </c>
      <c r="AG25" t="s">
        <v>128</v>
      </c>
      <c r="AH25" t="s">
        <v>142</v>
      </c>
      <c r="AI25">
        <v>9</v>
      </c>
      <c r="AJ25" s="1">
        <v>45693</v>
      </c>
      <c r="AK25" s="2">
        <v>0.12291666666666666</v>
      </c>
      <c r="AL25" s="1"/>
      <c r="AM25" s="2"/>
      <c r="AN25" s="1">
        <v>45693</v>
      </c>
      <c r="AO25" s="2">
        <v>0.1233912037037037</v>
      </c>
      <c r="AP25">
        <v>2025</v>
      </c>
      <c r="AQ25">
        <v>6</v>
      </c>
      <c r="AR25">
        <v>2</v>
      </c>
      <c r="AS25">
        <v>5</v>
      </c>
      <c r="AT25">
        <v>36</v>
      </c>
      <c r="AU25" s="2">
        <v>45693.122916666667</v>
      </c>
      <c r="AV25">
        <v>441</v>
      </c>
      <c r="AW25" t="s">
        <v>176</v>
      </c>
      <c r="AY25" t="s">
        <v>61</v>
      </c>
      <c r="AZ25" t="s">
        <v>61</v>
      </c>
      <c r="BA25" t="s">
        <v>582</v>
      </c>
      <c r="BB25" t="s">
        <v>179</v>
      </c>
    </row>
    <row r="26" spans="1:54" x14ac:dyDescent="0.25">
      <c r="A26" t="s">
        <v>300</v>
      </c>
      <c r="B26" s="1">
        <v>45695</v>
      </c>
      <c r="C26" t="s">
        <v>301</v>
      </c>
      <c r="D26" s="50">
        <v>0.25</v>
      </c>
      <c r="E26" s="50">
        <v>0.27430555555555558</v>
      </c>
      <c r="F26" t="s">
        <v>157</v>
      </c>
      <c r="G26" t="s">
        <v>116</v>
      </c>
      <c r="H26" t="s">
        <v>302</v>
      </c>
      <c r="I26" t="s">
        <v>303</v>
      </c>
      <c r="J26" t="s">
        <v>221</v>
      </c>
      <c r="K26" t="s">
        <v>221</v>
      </c>
      <c r="L26" t="s">
        <v>61</v>
      </c>
      <c r="M26" t="s">
        <v>61</v>
      </c>
      <c r="N26" t="s">
        <v>304</v>
      </c>
      <c r="O26" t="s">
        <v>211</v>
      </c>
      <c r="P26">
        <v>5</v>
      </c>
      <c r="Q26" t="s">
        <v>305</v>
      </c>
      <c r="T26" t="s">
        <v>306</v>
      </c>
      <c r="U26" t="s">
        <v>307</v>
      </c>
      <c r="V26" t="s">
        <v>308</v>
      </c>
      <c r="W26" t="s">
        <v>67</v>
      </c>
      <c r="AB26" t="s">
        <v>124</v>
      </c>
      <c r="AC26" t="s">
        <v>69</v>
      </c>
      <c r="AD26" t="s">
        <v>309</v>
      </c>
      <c r="AE26" t="s">
        <v>126</v>
      </c>
      <c r="AF26" t="s">
        <v>187</v>
      </c>
      <c r="AG26" t="s">
        <v>95</v>
      </c>
      <c r="AH26" t="s">
        <v>229</v>
      </c>
      <c r="AI26">
        <v>9</v>
      </c>
      <c r="AJ26" s="1">
        <v>45695</v>
      </c>
      <c r="AK26" s="2">
        <v>0.27430555555555558</v>
      </c>
      <c r="AL26" s="1">
        <v>45695</v>
      </c>
      <c r="AM26" s="2">
        <v>0.28472222222222221</v>
      </c>
      <c r="AN26" s="1">
        <v>45695</v>
      </c>
      <c r="AO26" s="2">
        <v>0.30738425925925927</v>
      </c>
      <c r="AP26">
        <v>2025</v>
      </c>
      <c r="AQ26">
        <v>6</v>
      </c>
      <c r="AR26">
        <v>2</v>
      </c>
      <c r="AS26">
        <v>7</v>
      </c>
      <c r="AT26">
        <v>38</v>
      </c>
      <c r="AU26" s="2">
        <v>45695.274305555555</v>
      </c>
      <c r="AV26">
        <v>170</v>
      </c>
      <c r="AW26" t="s">
        <v>305</v>
      </c>
      <c r="AX26" t="s">
        <v>310</v>
      </c>
      <c r="AY26" t="s">
        <v>61</v>
      </c>
      <c r="AZ26" t="s">
        <v>311</v>
      </c>
      <c r="BA26" t="s">
        <v>582</v>
      </c>
      <c r="BB26" t="s">
        <v>312</v>
      </c>
    </row>
    <row r="27" spans="1:54" x14ac:dyDescent="0.25">
      <c r="A27" t="s">
        <v>114</v>
      </c>
      <c r="B27" s="1">
        <v>45701</v>
      </c>
      <c r="C27" t="s">
        <v>80</v>
      </c>
      <c r="D27" s="50">
        <v>0.66666666666666663</v>
      </c>
      <c r="E27" s="50">
        <v>0.66666666666666663</v>
      </c>
      <c r="F27" t="s">
        <v>115</v>
      </c>
      <c r="G27" t="s">
        <v>116</v>
      </c>
      <c r="H27" t="s">
        <v>117</v>
      </c>
      <c r="I27" t="s">
        <v>117</v>
      </c>
      <c r="J27" t="s">
        <v>60</v>
      </c>
      <c r="K27" t="s">
        <v>60</v>
      </c>
      <c r="L27" t="s">
        <v>61</v>
      </c>
      <c r="M27" t="s">
        <v>61</v>
      </c>
      <c r="N27" t="s">
        <v>118</v>
      </c>
      <c r="O27" t="s">
        <v>119</v>
      </c>
      <c r="P27">
        <v>6</v>
      </c>
      <c r="Q27" t="s">
        <v>120</v>
      </c>
      <c r="T27" t="s">
        <v>121</v>
      </c>
      <c r="U27" t="s">
        <v>122</v>
      </c>
      <c r="V27" t="s">
        <v>123</v>
      </c>
      <c r="W27" t="s">
        <v>67</v>
      </c>
      <c r="AB27" t="s">
        <v>124</v>
      </c>
      <c r="AC27" t="s">
        <v>69</v>
      </c>
      <c r="AD27" t="s">
        <v>125</v>
      </c>
      <c r="AE27" t="s">
        <v>126</v>
      </c>
      <c r="AF27" t="s">
        <v>127</v>
      </c>
      <c r="AG27" t="s">
        <v>128</v>
      </c>
      <c r="AH27" t="s">
        <v>74</v>
      </c>
      <c r="AI27">
        <v>9</v>
      </c>
      <c r="AJ27" s="1">
        <v>45701</v>
      </c>
      <c r="AK27" s="2">
        <v>0.66666666666666663</v>
      </c>
      <c r="AL27" s="1"/>
      <c r="AM27" s="2"/>
      <c r="AN27" s="1">
        <v>45702</v>
      </c>
      <c r="AO27" s="2">
        <v>0.29906250000000001</v>
      </c>
      <c r="AP27">
        <v>2025</v>
      </c>
      <c r="AQ27">
        <v>7</v>
      </c>
      <c r="AR27">
        <v>3</v>
      </c>
      <c r="AS27">
        <v>13</v>
      </c>
      <c r="AT27">
        <v>44</v>
      </c>
      <c r="AU27" s="2">
        <v>45701.666666666664</v>
      </c>
      <c r="AW27" t="s">
        <v>120</v>
      </c>
      <c r="AX27" t="s">
        <v>129</v>
      </c>
      <c r="AY27" t="s">
        <v>130</v>
      </c>
      <c r="AZ27" t="s">
        <v>131</v>
      </c>
      <c r="BA27" t="s">
        <v>581</v>
      </c>
      <c r="BB27" t="s">
        <v>98</v>
      </c>
    </row>
    <row r="28" spans="1:54" x14ac:dyDescent="0.25">
      <c r="A28" t="s">
        <v>446</v>
      </c>
      <c r="B28" s="1">
        <v>45701</v>
      </c>
      <c r="C28" t="s">
        <v>168</v>
      </c>
      <c r="D28" s="50">
        <v>8.3333333333333329E-2</v>
      </c>
      <c r="E28" s="50">
        <v>8.3333333333333329E-2</v>
      </c>
      <c r="F28" t="s">
        <v>115</v>
      </c>
      <c r="G28" t="s">
        <v>116</v>
      </c>
      <c r="H28" t="s">
        <v>447</v>
      </c>
      <c r="I28" t="s">
        <v>448</v>
      </c>
      <c r="J28" t="s">
        <v>449</v>
      </c>
      <c r="K28" t="s">
        <v>450</v>
      </c>
      <c r="L28" t="s">
        <v>451</v>
      </c>
      <c r="M28" t="s">
        <v>355</v>
      </c>
      <c r="N28" t="s">
        <v>452</v>
      </c>
      <c r="O28" t="s">
        <v>199</v>
      </c>
      <c r="P28">
        <v>9</v>
      </c>
      <c r="Q28" t="s">
        <v>453</v>
      </c>
      <c r="AB28" t="s">
        <v>454</v>
      </c>
      <c r="AC28" t="s">
        <v>69</v>
      </c>
      <c r="AD28" t="s">
        <v>125</v>
      </c>
      <c r="AE28" t="s">
        <v>126</v>
      </c>
      <c r="AF28" t="s">
        <v>386</v>
      </c>
      <c r="AG28" t="s">
        <v>455</v>
      </c>
      <c r="AI28">
        <v>9</v>
      </c>
      <c r="AJ28" s="1">
        <v>45701</v>
      </c>
      <c r="AK28" s="2">
        <v>8.3333333333333329E-2</v>
      </c>
      <c r="AL28" s="1"/>
      <c r="AM28" s="2"/>
      <c r="AN28" s="1">
        <v>45701</v>
      </c>
      <c r="AO28" s="2">
        <v>0.51225694444444447</v>
      </c>
      <c r="AP28">
        <v>2025</v>
      </c>
      <c r="AQ28">
        <v>7</v>
      </c>
      <c r="AR28">
        <v>3</v>
      </c>
      <c r="AS28">
        <v>13</v>
      </c>
      <c r="AT28">
        <v>44</v>
      </c>
      <c r="AU28" s="2">
        <v>45701.083333333336</v>
      </c>
      <c r="AV28">
        <v>128</v>
      </c>
      <c r="AW28" t="s">
        <v>453</v>
      </c>
      <c r="AY28" t="s">
        <v>456</v>
      </c>
      <c r="AZ28" t="s">
        <v>457</v>
      </c>
      <c r="BA28" t="s">
        <v>581</v>
      </c>
      <c r="BB28" t="s">
        <v>179</v>
      </c>
    </row>
    <row r="29" spans="1:54" x14ac:dyDescent="0.25">
      <c r="A29" t="s">
        <v>321</v>
      </c>
      <c r="B29" s="1">
        <v>45705</v>
      </c>
      <c r="C29" t="s">
        <v>146</v>
      </c>
      <c r="D29" s="50">
        <v>0.33333333333333331</v>
      </c>
      <c r="E29" s="50">
        <v>0.34877314814814814</v>
      </c>
      <c r="F29" t="s">
        <v>56</v>
      </c>
      <c r="G29" t="s">
        <v>116</v>
      </c>
      <c r="H29" t="s">
        <v>322</v>
      </c>
      <c r="I29" t="s">
        <v>323</v>
      </c>
      <c r="J29" t="s">
        <v>221</v>
      </c>
      <c r="K29" t="s">
        <v>324</v>
      </c>
      <c r="L29" t="s">
        <v>325</v>
      </c>
      <c r="M29" t="s">
        <v>61</v>
      </c>
      <c r="N29" t="s">
        <v>326</v>
      </c>
      <c r="O29" t="s">
        <v>139</v>
      </c>
      <c r="P29">
        <v>7</v>
      </c>
      <c r="Q29" t="s">
        <v>327</v>
      </c>
      <c r="T29" t="s">
        <v>328</v>
      </c>
      <c r="U29" t="s">
        <v>65</v>
      </c>
      <c r="V29" t="s">
        <v>226</v>
      </c>
      <c r="W29" t="s">
        <v>67</v>
      </c>
      <c r="AB29" t="s">
        <v>68</v>
      </c>
      <c r="AC29" t="s">
        <v>69</v>
      </c>
      <c r="AD29" t="s">
        <v>70</v>
      </c>
      <c r="AE29" t="s">
        <v>71</v>
      </c>
      <c r="AF29" t="s">
        <v>127</v>
      </c>
      <c r="AG29" t="s">
        <v>128</v>
      </c>
      <c r="AH29" t="s">
        <v>229</v>
      </c>
      <c r="AI29">
        <v>9</v>
      </c>
      <c r="AJ29" s="1">
        <v>45705</v>
      </c>
      <c r="AK29" s="2">
        <v>0.34877314814814814</v>
      </c>
      <c r="AL29" s="1"/>
      <c r="AM29" s="2"/>
      <c r="AN29" s="1">
        <v>45705</v>
      </c>
      <c r="AO29" s="2">
        <v>0.34877314814814814</v>
      </c>
      <c r="AP29">
        <v>2025</v>
      </c>
      <c r="AQ29">
        <v>8</v>
      </c>
      <c r="AR29">
        <v>4</v>
      </c>
      <c r="AS29">
        <v>17</v>
      </c>
      <c r="AT29">
        <v>48</v>
      </c>
      <c r="AU29" s="2">
        <v>45705.348611111112</v>
      </c>
      <c r="AV29">
        <v>100</v>
      </c>
      <c r="AW29" t="s">
        <v>327</v>
      </c>
      <c r="AX29" t="s">
        <v>329</v>
      </c>
      <c r="AY29" t="s">
        <v>330</v>
      </c>
      <c r="AZ29" t="s">
        <v>331</v>
      </c>
      <c r="BA29" t="s">
        <v>581</v>
      </c>
      <c r="BB29" t="s">
        <v>155</v>
      </c>
    </row>
    <row r="30" spans="1:54" x14ac:dyDescent="0.25">
      <c r="A30" t="s">
        <v>332</v>
      </c>
      <c r="B30" s="1">
        <v>45705</v>
      </c>
      <c r="C30" t="s">
        <v>146</v>
      </c>
      <c r="D30" s="50">
        <v>0.375</v>
      </c>
      <c r="E30" s="50">
        <v>0.39716435185185184</v>
      </c>
      <c r="F30" t="s">
        <v>56</v>
      </c>
      <c r="G30" t="s">
        <v>116</v>
      </c>
      <c r="H30" t="s">
        <v>58</v>
      </c>
      <c r="I30" t="s">
        <v>333</v>
      </c>
      <c r="J30" t="s">
        <v>221</v>
      </c>
      <c r="K30" t="s">
        <v>221</v>
      </c>
      <c r="L30" t="s">
        <v>61</v>
      </c>
      <c r="M30" t="s">
        <v>61</v>
      </c>
      <c r="N30" t="s">
        <v>334</v>
      </c>
      <c r="O30" t="s">
        <v>335</v>
      </c>
      <c r="P30">
        <v>7</v>
      </c>
      <c r="Q30" t="s">
        <v>336</v>
      </c>
      <c r="T30" t="s">
        <v>337</v>
      </c>
      <c r="U30" t="s">
        <v>65</v>
      </c>
      <c r="V30" t="s">
        <v>226</v>
      </c>
      <c r="W30" t="s">
        <v>67</v>
      </c>
      <c r="AB30" t="s">
        <v>68</v>
      </c>
      <c r="AC30" t="s">
        <v>69</v>
      </c>
      <c r="AD30" t="s">
        <v>338</v>
      </c>
      <c r="AE30" t="s">
        <v>71</v>
      </c>
      <c r="AF30" t="s">
        <v>127</v>
      </c>
      <c r="AG30" t="s">
        <v>73</v>
      </c>
      <c r="AH30" t="s">
        <v>229</v>
      </c>
      <c r="AI30">
        <v>9</v>
      </c>
      <c r="AJ30" s="1">
        <v>45705</v>
      </c>
      <c r="AK30" s="2">
        <v>0.39716435185185184</v>
      </c>
      <c r="AL30" s="1"/>
      <c r="AM30" s="2"/>
      <c r="AN30" s="1">
        <v>45705</v>
      </c>
      <c r="AO30" s="2">
        <v>0.39716435185185184</v>
      </c>
      <c r="AP30">
        <v>2025</v>
      </c>
      <c r="AQ30">
        <v>8</v>
      </c>
      <c r="AR30">
        <v>4</v>
      </c>
      <c r="AS30">
        <v>17</v>
      </c>
      <c r="AT30">
        <v>48</v>
      </c>
      <c r="AU30" s="2">
        <v>45705.396527777775</v>
      </c>
      <c r="AV30">
        <v>30</v>
      </c>
      <c r="AW30" t="s">
        <v>336</v>
      </c>
      <c r="AX30" t="s">
        <v>339</v>
      </c>
      <c r="AY30" t="s">
        <v>61</v>
      </c>
      <c r="AZ30" t="s">
        <v>61</v>
      </c>
      <c r="BA30" t="s">
        <v>581</v>
      </c>
      <c r="BB30" t="s">
        <v>155</v>
      </c>
    </row>
    <row r="31" spans="1:54" x14ac:dyDescent="0.25">
      <c r="A31" t="s">
        <v>180</v>
      </c>
      <c r="B31" s="1">
        <v>45705</v>
      </c>
      <c r="C31" t="s">
        <v>55</v>
      </c>
      <c r="D31" s="50">
        <v>0.5</v>
      </c>
      <c r="E31" s="50">
        <v>0.52497685185185183</v>
      </c>
      <c r="F31" t="s">
        <v>56</v>
      </c>
      <c r="G31" t="s">
        <v>116</v>
      </c>
      <c r="H31" t="s">
        <v>102</v>
      </c>
      <c r="I31" t="s">
        <v>181</v>
      </c>
      <c r="J31" t="s">
        <v>172</v>
      </c>
      <c r="K31" t="s">
        <v>182</v>
      </c>
      <c r="L31" t="s">
        <v>183</v>
      </c>
      <c r="M31" t="s">
        <v>61</v>
      </c>
      <c r="N31" t="s">
        <v>184</v>
      </c>
      <c r="O31" t="s">
        <v>185</v>
      </c>
      <c r="P31">
        <v>9</v>
      </c>
      <c r="Q31" t="s">
        <v>186</v>
      </c>
      <c r="AB31" t="s">
        <v>68</v>
      </c>
      <c r="AC31" t="s">
        <v>69</v>
      </c>
      <c r="AD31" t="s">
        <v>70</v>
      </c>
      <c r="AE31" t="s">
        <v>71</v>
      </c>
      <c r="AF31" t="s">
        <v>187</v>
      </c>
      <c r="AG31" t="s">
        <v>188</v>
      </c>
      <c r="AH31" t="s">
        <v>142</v>
      </c>
      <c r="AI31">
        <v>9</v>
      </c>
      <c r="AJ31" s="1">
        <v>45705</v>
      </c>
      <c r="AK31" s="2">
        <v>0.52497685185185183</v>
      </c>
      <c r="AL31" s="1"/>
      <c r="AM31" s="2"/>
      <c r="AN31" s="1">
        <v>45705</v>
      </c>
      <c r="AO31" s="2">
        <v>0.52497685185185183</v>
      </c>
      <c r="AP31">
        <v>2025</v>
      </c>
      <c r="AQ31">
        <v>8</v>
      </c>
      <c r="AR31">
        <v>4</v>
      </c>
      <c r="AS31">
        <v>17</v>
      </c>
      <c r="AT31">
        <v>48</v>
      </c>
      <c r="AU31" s="2">
        <v>45705.524305555555</v>
      </c>
      <c r="AV31">
        <v>35</v>
      </c>
      <c r="AW31" t="s">
        <v>186</v>
      </c>
      <c r="AY31" t="s">
        <v>189</v>
      </c>
      <c r="AZ31" t="s">
        <v>190</v>
      </c>
      <c r="BA31" t="s">
        <v>581</v>
      </c>
      <c r="BB31" t="s">
        <v>78</v>
      </c>
    </row>
    <row r="32" spans="1:54" x14ac:dyDescent="0.25">
      <c r="A32" t="s">
        <v>429</v>
      </c>
      <c r="B32" s="1">
        <v>45705</v>
      </c>
      <c r="C32" t="s">
        <v>100</v>
      </c>
      <c r="D32" s="50">
        <v>0.83333333333333337</v>
      </c>
      <c r="E32" s="50">
        <v>0.83333333333333337</v>
      </c>
      <c r="F32" t="s">
        <v>56</v>
      </c>
      <c r="G32" t="s">
        <v>116</v>
      </c>
      <c r="H32" t="s">
        <v>430</v>
      </c>
      <c r="I32" t="s">
        <v>431</v>
      </c>
      <c r="J32" t="s">
        <v>432</v>
      </c>
      <c r="K32" t="s">
        <v>433</v>
      </c>
      <c r="L32" t="s">
        <v>421</v>
      </c>
      <c r="M32" t="s">
        <v>61</v>
      </c>
      <c r="N32" t="s">
        <v>434</v>
      </c>
      <c r="O32" t="s">
        <v>435</v>
      </c>
      <c r="P32">
        <v>8</v>
      </c>
      <c r="Q32" t="s">
        <v>436</v>
      </c>
      <c r="AB32" t="s">
        <v>425</v>
      </c>
      <c r="AC32" t="s">
        <v>69</v>
      </c>
      <c r="AD32" t="s">
        <v>110</v>
      </c>
      <c r="AE32" t="s">
        <v>426</v>
      </c>
      <c r="AF32" t="s">
        <v>110</v>
      </c>
      <c r="AG32" t="s">
        <v>274</v>
      </c>
      <c r="AI32">
        <v>9</v>
      </c>
      <c r="AJ32" s="1">
        <v>45705</v>
      </c>
      <c r="AK32" s="2">
        <v>0.83333333333333337</v>
      </c>
      <c r="AL32" s="1">
        <v>45705</v>
      </c>
      <c r="AM32" s="2">
        <v>0.98958333333333337</v>
      </c>
      <c r="AN32" s="1">
        <v>45706</v>
      </c>
      <c r="AO32" s="2">
        <v>0.73564814814814816</v>
      </c>
      <c r="AP32">
        <v>2025</v>
      </c>
      <c r="AQ32">
        <v>8</v>
      </c>
      <c r="AR32">
        <v>4</v>
      </c>
      <c r="AS32">
        <v>17</v>
      </c>
      <c r="AT32">
        <v>48</v>
      </c>
      <c r="AU32" s="2">
        <v>45705.833333333336</v>
      </c>
      <c r="AV32">
        <v>240</v>
      </c>
      <c r="AW32" t="s">
        <v>436</v>
      </c>
      <c r="AY32" t="s">
        <v>437</v>
      </c>
      <c r="AZ32" t="s">
        <v>61</v>
      </c>
      <c r="BA32" t="s">
        <v>581</v>
      </c>
      <c r="BB32" t="s">
        <v>113</v>
      </c>
    </row>
    <row r="33" spans="1:54" x14ac:dyDescent="0.25">
      <c r="A33" t="s">
        <v>438</v>
      </c>
      <c r="B33" s="1">
        <v>45708</v>
      </c>
      <c r="C33" t="s">
        <v>55</v>
      </c>
      <c r="D33" s="50">
        <v>0.5</v>
      </c>
      <c r="E33" s="50">
        <v>0.53615740740740736</v>
      </c>
      <c r="F33" t="s">
        <v>192</v>
      </c>
      <c r="G33" t="s">
        <v>116</v>
      </c>
      <c r="H33" t="s">
        <v>439</v>
      </c>
      <c r="I33" t="s">
        <v>440</v>
      </c>
      <c r="J33" t="s">
        <v>421</v>
      </c>
      <c r="K33" t="s">
        <v>421</v>
      </c>
      <c r="L33" t="s">
        <v>61</v>
      </c>
      <c r="M33" t="s">
        <v>61</v>
      </c>
      <c r="N33" t="s">
        <v>441</v>
      </c>
      <c r="O33" t="s">
        <v>105</v>
      </c>
      <c r="P33">
        <v>8</v>
      </c>
      <c r="Q33" t="s">
        <v>442</v>
      </c>
      <c r="AB33" t="s">
        <v>68</v>
      </c>
      <c r="AC33" t="s">
        <v>69</v>
      </c>
      <c r="AD33" t="s">
        <v>443</v>
      </c>
      <c r="AE33" t="s">
        <v>71</v>
      </c>
      <c r="AF33" t="s">
        <v>360</v>
      </c>
      <c r="AG33" t="s">
        <v>444</v>
      </c>
      <c r="AH33" t="s">
        <v>445</v>
      </c>
      <c r="AI33">
        <v>9</v>
      </c>
      <c r="AJ33" s="1">
        <v>42906</v>
      </c>
      <c r="AK33" s="2">
        <v>0.53615740740740736</v>
      </c>
      <c r="AL33" s="1">
        <v>45555</v>
      </c>
      <c r="AM33" s="2"/>
      <c r="AN33" s="1">
        <v>45708</v>
      </c>
      <c r="AO33" s="2">
        <v>0.53615740740740736</v>
      </c>
      <c r="AP33">
        <v>2017</v>
      </c>
      <c r="AQ33">
        <v>25</v>
      </c>
      <c r="AR33">
        <v>4</v>
      </c>
      <c r="AS33">
        <v>20</v>
      </c>
      <c r="AT33">
        <v>171</v>
      </c>
      <c r="AU33" s="2">
        <v>42906.536111111112</v>
      </c>
      <c r="AV33">
        <v>360</v>
      </c>
      <c r="AW33" t="s">
        <v>442</v>
      </c>
      <c r="AY33" t="s">
        <v>61</v>
      </c>
      <c r="AZ33" t="s">
        <v>61</v>
      </c>
      <c r="BA33" t="s">
        <v>580</v>
      </c>
      <c r="BB33" t="s">
        <v>78</v>
      </c>
    </row>
    <row r="34" spans="1:54" x14ac:dyDescent="0.25">
      <c r="A34" t="s">
        <v>340</v>
      </c>
      <c r="B34" s="1">
        <v>45713</v>
      </c>
      <c r="C34" t="s">
        <v>146</v>
      </c>
      <c r="D34" s="50">
        <v>0.41666666666666669</v>
      </c>
      <c r="E34" s="50">
        <v>0.41666666666666669</v>
      </c>
      <c r="F34" t="s">
        <v>192</v>
      </c>
      <c r="G34" t="s">
        <v>116</v>
      </c>
      <c r="H34" t="s">
        <v>341</v>
      </c>
      <c r="I34" t="s">
        <v>342</v>
      </c>
      <c r="J34" t="s">
        <v>221</v>
      </c>
      <c r="K34" t="s">
        <v>221</v>
      </c>
      <c r="L34" t="s">
        <v>61</v>
      </c>
      <c r="M34" t="s">
        <v>61</v>
      </c>
      <c r="N34" t="s">
        <v>343</v>
      </c>
      <c r="O34" t="s">
        <v>258</v>
      </c>
      <c r="P34">
        <v>5</v>
      </c>
      <c r="Q34" t="s">
        <v>344</v>
      </c>
      <c r="T34" t="s">
        <v>345</v>
      </c>
      <c r="U34" t="s">
        <v>65</v>
      </c>
      <c r="V34" t="s">
        <v>346</v>
      </c>
      <c r="W34" t="s">
        <v>347</v>
      </c>
      <c r="AB34" t="s">
        <v>163</v>
      </c>
      <c r="AC34" t="s">
        <v>69</v>
      </c>
      <c r="AD34" t="s">
        <v>164</v>
      </c>
      <c r="AE34" t="s">
        <v>165</v>
      </c>
      <c r="AI34">
        <v>9</v>
      </c>
      <c r="AJ34" s="1">
        <v>45713</v>
      </c>
      <c r="AK34" s="2">
        <v>0.41666666666666669</v>
      </c>
      <c r="AL34" s="1">
        <v>45713</v>
      </c>
      <c r="AM34" s="2">
        <v>0.95833333333333337</v>
      </c>
      <c r="AN34" s="1">
        <v>45712</v>
      </c>
      <c r="AO34" s="2">
        <v>0.99136574074074069</v>
      </c>
      <c r="AP34">
        <v>2025</v>
      </c>
      <c r="AQ34">
        <v>9</v>
      </c>
      <c r="AR34">
        <v>5</v>
      </c>
      <c r="AS34">
        <v>25</v>
      </c>
      <c r="AT34">
        <v>56</v>
      </c>
      <c r="AU34" s="2">
        <v>45713.416666666664</v>
      </c>
      <c r="AV34">
        <v>430</v>
      </c>
      <c r="AW34" t="s">
        <v>344</v>
      </c>
      <c r="AX34" t="s">
        <v>348</v>
      </c>
      <c r="AY34" t="s">
        <v>61</v>
      </c>
      <c r="AZ34" t="s">
        <v>61</v>
      </c>
      <c r="BA34" t="s">
        <v>579</v>
      </c>
      <c r="BB34" t="s">
        <v>155</v>
      </c>
    </row>
    <row r="35" spans="1:54" x14ac:dyDescent="0.25">
      <c r="A35" t="s">
        <v>500</v>
      </c>
      <c r="B35" s="1">
        <v>45720</v>
      </c>
      <c r="C35" t="s">
        <v>80</v>
      </c>
      <c r="D35" s="50">
        <v>0.75</v>
      </c>
      <c r="E35" s="50">
        <v>0.79126157407407405</v>
      </c>
      <c r="F35" t="s">
        <v>192</v>
      </c>
      <c r="G35" t="s">
        <v>477</v>
      </c>
      <c r="H35" t="s">
        <v>501</v>
      </c>
      <c r="I35" t="s">
        <v>502</v>
      </c>
      <c r="J35" t="s">
        <v>355</v>
      </c>
      <c r="K35" t="s">
        <v>355</v>
      </c>
      <c r="L35" t="s">
        <v>61</v>
      </c>
      <c r="M35" t="s">
        <v>61</v>
      </c>
      <c r="N35" t="s">
        <v>503</v>
      </c>
      <c r="O35" t="s">
        <v>269</v>
      </c>
      <c r="P35">
        <v>6</v>
      </c>
      <c r="Q35" t="s">
        <v>504</v>
      </c>
      <c r="AB35" t="s">
        <v>425</v>
      </c>
      <c r="AC35" t="s">
        <v>69</v>
      </c>
      <c r="AD35" t="s">
        <v>505</v>
      </c>
      <c r="AE35" t="s">
        <v>214</v>
      </c>
      <c r="AF35" t="s">
        <v>72</v>
      </c>
      <c r="AG35" t="s">
        <v>128</v>
      </c>
      <c r="AH35" t="s">
        <v>361</v>
      </c>
      <c r="AI35">
        <v>9</v>
      </c>
      <c r="AJ35" s="1">
        <v>45720</v>
      </c>
      <c r="AK35" s="2">
        <v>0.79126157407407405</v>
      </c>
      <c r="AL35" s="1"/>
      <c r="AM35" s="2"/>
      <c r="AN35" s="1">
        <v>45720</v>
      </c>
      <c r="AO35" s="2">
        <v>0.79126157407407405</v>
      </c>
      <c r="AP35">
        <v>2025</v>
      </c>
      <c r="AQ35">
        <v>10</v>
      </c>
      <c r="AR35">
        <v>2</v>
      </c>
      <c r="AS35">
        <v>4</v>
      </c>
      <c r="AT35">
        <v>63</v>
      </c>
      <c r="AU35" s="2">
        <v>45720.790972222225</v>
      </c>
      <c r="AV35">
        <v>216</v>
      </c>
      <c r="AW35" t="s">
        <v>504</v>
      </c>
      <c r="AY35" t="s">
        <v>506</v>
      </c>
      <c r="AZ35" t="s">
        <v>507</v>
      </c>
      <c r="BA35" t="s">
        <v>578</v>
      </c>
      <c r="BB35" t="s">
        <v>98</v>
      </c>
    </row>
    <row r="36" spans="1:54" x14ac:dyDescent="0.25">
      <c r="A36" t="s">
        <v>508</v>
      </c>
      <c r="B36" s="1">
        <v>45720</v>
      </c>
      <c r="C36" t="s">
        <v>55</v>
      </c>
      <c r="D36" s="50">
        <v>0.625</v>
      </c>
      <c r="E36" s="50">
        <v>0.64097222222222228</v>
      </c>
      <c r="F36" t="s">
        <v>192</v>
      </c>
      <c r="G36" t="s">
        <v>477</v>
      </c>
      <c r="H36" t="s">
        <v>509</v>
      </c>
      <c r="I36" t="s">
        <v>510</v>
      </c>
      <c r="J36" t="s">
        <v>355</v>
      </c>
      <c r="K36" t="s">
        <v>511</v>
      </c>
      <c r="L36" t="s">
        <v>512</v>
      </c>
      <c r="M36" t="s">
        <v>352</v>
      </c>
      <c r="N36" t="s">
        <v>513</v>
      </c>
      <c r="O36" t="s">
        <v>87</v>
      </c>
      <c r="P36">
        <v>8</v>
      </c>
      <c r="Q36" t="s">
        <v>514</v>
      </c>
      <c r="T36" t="s">
        <v>515</v>
      </c>
      <c r="U36" t="s">
        <v>516</v>
      </c>
      <c r="V36" t="s">
        <v>517</v>
      </c>
      <c r="W36" t="s">
        <v>67</v>
      </c>
      <c r="AB36" t="s">
        <v>425</v>
      </c>
      <c r="AC36" t="s">
        <v>69</v>
      </c>
      <c r="AD36" t="s">
        <v>518</v>
      </c>
      <c r="AE36" t="s">
        <v>165</v>
      </c>
      <c r="AF36" t="s">
        <v>386</v>
      </c>
      <c r="AG36" t="s">
        <v>203</v>
      </c>
      <c r="AH36" t="s">
        <v>361</v>
      </c>
      <c r="AI36">
        <v>9</v>
      </c>
      <c r="AJ36" s="1">
        <v>45720</v>
      </c>
      <c r="AK36" s="2">
        <v>0.64097222222222228</v>
      </c>
      <c r="AL36" s="1"/>
      <c r="AM36" s="2"/>
      <c r="AN36" s="1">
        <v>45720</v>
      </c>
      <c r="AO36" s="2">
        <v>0.64444444444444449</v>
      </c>
      <c r="AP36">
        <v>2025</v>
      </c>
      <c r="AQ36">
        <v>10</v>
      </c>
      <c r="AR36">
        <v>2</v>
      </c>
      <c r="AS36">
        <v>4</v>
      </c>
      <c r="AT36">
        <v>63</v>
      </c>
      <c r="AU36" s="2">
        <v>45720.640972222223</v>
      </c>
      <c r="AV36">
        <v>195</v>
      </c>
      <c r="AW36" t="s">
        <v>514</v>
      </c>
      <c r="AX36" t="s">
        <v>519</v>
      </c>
      <c r="AY36" t="s">
        <v>520</v>
      </c>
      <c r="AZ36" t="s">
        <v>61</v>
      </c>
      <c r="BA36" t="s">
        <v>578</v>
      </c>
      <c r="BB36" t="s">
        <v>78</v>
      </c>
    </row>
    <row r="37" spans="1:54" x14ac:dyDescent="0.25">
      <c r="A37" t="s">
        <v>476</v>
      </c>
      <c r="B37" s="1">
        <v>45722</v>
      </c>
      <c r="C37" t="s">
        <v>100</v>
      </c>
      <c r="D37" s="50">
        <v>0.91666666666666663</v>
      </c>
      <c r="E37" s="50">
        <v>0.94149305555555551</v>
      </c>
      <c r="F37" t="s">
        <v>115</v>
      </c>
      <c r="G37" t="s">
        <v>477</v>
      </c>
      <c r="H37" t="s">
        <v>478</v>
      </c>
      <c r="I37" t="s">
        <v>479</v>
      </c>
      <c r="J37" t="s">
        <v>60</v>
      </c>
      <c r="K37" t="s">
        <v>60</v>
      </c>
      <c r="L37" t="s">
        <v>61</v>
      </c>
      <c r="M37" t="s">
        <v>61</v>
      </c>
      <c r="N37" t="s">
        <v>480</v>
      </c>
      <c r="O37" t="s">
        <v>87</v>
      </c>
      <c r="P37">
        <v>8</v>
      </c>
      <c r="Q37" t="s">
        <v>481</v>
      </c>
      <c r="T37" t="s">
        <v>482</v>
      </c>
      <c r="U37" t="s">
        <v>122</v>
      </c>
      <c r="V37" t="s">
        <v>483</v>
      </c>
      <c r="W37" t="s">
        <v>67</v>
      </c>
      <c r="AB37" t="s">
        <v>484</v>
      </c>
      <c r="AC37" t="s">
        <v>69</v>
      </c>
      <c r="AD37" t="s">
        <v>70</v>
      </c>
      <c r="AE37" t="s">
        <v>71</v>
      </c>
      <c r="AF37" t="s">
        <v>166</v>
      </c>
      <c r="AG37" t="s">
        <v>128</v>
      </c>
      <c r="AI37">
        <v>9</v>
      </c>
      <c r="AJ37" s="1">
        <v>45722</v>
      </c>
      <c r="AK37" s="2">
        <v>0.94149305555555551</v>
      </c>
      <c r="AL37" s="1"/>
      <c r="AM37" s="2"/>
      <c r="AN37" s="1">
        <v>45722</v>
      </c>
      <c r="AO37" s="2">
        <v>0.94149305555555551</v>
      </c>
      <c r="AP37">
        <v>2025</v>
      </c>
      <c r="AQ37">
        <v>10</v>
      </c>
      <c r="AR37">
        <v>2</v>
      </c>
      <c r="AS37">
        <v>6</v>
      </c>
      <c r="AT37">
        <v>65</v>
      </c>
      <c r="AU37" s="2">
        <v>45722.940972222219</v>
      </c>
      <c r="AV37">
        <v>216</v>
      </c>
      <c r="AW37" t="s">
        <v>481</v>
      </c>
      <c r="AX37" t="s">
        <v>485</v>
      </c>
      <c r="AY37" t="s">
        <v>486</v>
      </c>
      <c r="AZ37" t="s">
        <v>487</v>
      </c>
      <c r="BA37" t="s">
        <v>578</v>
      </c>
      <c r="BB37" t="s">
        <v>113</v>
      </c>
    </row>
    <row r="38" spans="1:54" x14ac:dyDescent="0.25">
      <c r="A38" t="s">
        <v>488</v>
      </c>
      <c r="B38" s="1">
        <v>45725</v>
      </c>
      <c r="C38" t="s">
        <v>80</v>
      </c>
      <c r="D38" s="50">
        <v>0.79166666666666663</v>
      </c>
      <c r="E38" s="50">
        <v>0.8125</v>
      </c>
      <c r="F38" t="s">
        <v>101</v>
      </c>
      <c r="G38" t="s">
        <v>477</v>
      </c>
      <c r="H38" t="s">
        <v>489</v>
      </c>
      <c r="I38" t="s">
        <v>490</v>
      </c>
      <c r="J38" t="s">
        <v>60</v>
      </c>
      <c r="K38" t="s">
        <v>60</v>
      </c>
      <c r="L38" t="s">
        <v>61</v>
      </c>
      <c r="M38" t="s">
        <v>61</v>
      </c>
      <c r="N38" t="s">
        <v>491</v>
      </c>
      <c r="O38" t="s">
        <v>139</v>
      </c>
      <c r="P38">
        <v>7</v>
      </c>
      <c r="Q38" t="s">
        <v>492</v>
      </c>
      <c r="T38" t="s">
        <v>493</v>
      </c>
      <c r="U38" t="s">
        <v>494</v>
      </c>
      <c r="V38" t="s">
        <v>495</v>
      </c>
      <c r="W38" t="s">
        <v>67</v>
      </c>
      <c r="AB38" t="s">
        <v>163</v>
      </c>
      <c r="AC38" t="s">
        <v>69</v>
      </c>
      <c r="AD38" t="s">
        <v>496</v>
      </c>
      <c r="AE38" t="s">
        <v>359</v>
      </c>
      <c r="AI38">
        <v>9</v>
      </c>
      <c r="AJ38" s="1">
        <v>45725</v>
      </c>
      <c r="AK38" s="2">
        <v>0.8125</v>
      </c>
      <c r="AL38" s="1">
        <v>45726</v>
      </c>
      <c r="AM38" s="2">
        <v>0.35416666666666669</v>
      </c>
      <c r="AN38" s="1">
        <v>45726</v>
      </c>
      <c r="AO38" s="2">
        <v>0.37046296296296294</v>
      </c>
      <c r="AP38">
        <v>2025</v>
      </c>
      <c r="AQ38">
        <v>11</v>
      </c>
      <c r="AR38">
        <v>3</v>
      </c>
      <c r="AS38">
        <v>9</v>
      </c>
      <c r="AT38">
        <v>68</v>
      </c>
      <c r="AU38" s="2">
        <v>45725.8125</v>
      </c>
      <c r="AV38">
        <v>282</v>
      </c>
      <c r="AW38" t="s">
        <v>492</v>
      </c>
      <c r="AX38" t="s">
        <v>497</v>
      </c>
      <c r="AY38" t="s">
        <v>498</v>
      </c>
      <c r="AZ38" t="s">
        <v>499</v>
      </c>
      <c r="BA38" t="s">
        <v>578</v>
      </c>
      <c r="BB38" t="s">
        <v>98</v>
      </c>
    </row>
    <row r="39" spans="1:54" x14ac:dyDescent="0.25">
      <c r="A39" t="s">
        <v>605</v>
      </c>
      <c r="B39" s="1">
        <v>45726</v>
      </c>
      <c r="C39" t="s">
        <v>168</v>
      </c>
      <c r="D39" s="50">
        <v>4.1666666666666664E-2</v>
      </c>
      <c r="E39" s="50">
        <v>4.6527777777777779E-2</v>
      </c>
      <c r="F39" t="s">
        <v>56</v>
      </c>
      <c r="G39" t="s">
        <v>477</v>
      </c>
      <c r="H39" t="s">
        <v>606</v>
      </c>
      <c r="I39" t="s">
        <v>607</v>
      </c>
      <c r="J39" t="s">
        <v>137</v>
      </c>
      <c r="K39" t="s">
        <v>137</v>
      </c>
      <c r="L39" t="s">
        <v>61</v>
      </c>
      <c r="M39" t="s">
        <v>61</v>
      </c>
      <c r="N39" t="s">
        <v>608</v>
      </c>
      <c r="O39" t="s">
        <v>291</v>
      </c>
      <c r="P39">
        <v>8</v>
      </c>
      <c r="Q39" t="s">
        <v>609</v>
      </c>
      <c r="AB39" t="s">
        <v>610</v>
      </c>
      <c r="AC39" t="s">
        <v>69</v>
      </c>
      <c r="AD39" t="s">
        <v>227</v>
      </c>
      <c r="AE39" t="s">
        <v>165</v>
      </c>
      <c r="AF39" t="s">
        <v>110</v>
      </c>
      <c r="AG39" t="s">
        <v>128</v>
      </c>
      <c r="AH39" t="s">
        <v>142</v>
      </c>
      <c r="AI39">
        <v>9</v>
      </c>
      <c r="AJ39" s="1">
        <v>45726</v>
      </c>
      <c r="AK39" s="2">
        <v>4.6527777777777779E-2</v>
      </c>
      <c r="AL39" s="1">
        <v>45726</v>
      </c>
      <c r="AM39" s="2">
        <v>0.16180555555555556</v>
      </c>
      <c r="AN39" s="1">
        <v>45727</v>
      </c>
      <c r="AO39" s="2">
        <v>0.44234953703703705</v>
      </c>
      <c r="AP39">
        <v>2025</v>
      </c>
      <c r="AQ39">
        <v>11</v>
      </c>
      <c r="AR39">
        <v>3</v>
      </c>
      <c r="AS39">
        <v>10</v>
      </c>
      <c r="AT39">
        <v>69</v>
      </c>
      <c r="AU39" s="2">
        <v>45726.046527777777</v>
      </c>
      <c r="AV39">
        <v>1</v>
      </c>
      <c r="AW39" t="s">
        <v>609</v>
      </c>
      <c r="AY39" t="s">
        <v>611</v>
      </c>
      <c r="AZ39" t="s">
        <v>61</v>
      </c>
      <c r="BA39" t="s">
        <v>578</v>
      </c>
      <c r="BB39" t="s">
        <v>179</v>
      </c>
    </row>
    <row r="40" spans="1:54" x14ac:dyDescent="0.25">
      <c r="A40" t="s">
        <v>592</v>
      </c>
      <c r="B40" s="1">
        <v>45727</v>
      </c>
      <c r="C40" t="s">
        <v>55</v>
      </c>
      <c r="D40" s="50">
        <v>0.58333333333333337</v>
      </c>
      <c r="E40" s="50">
        <v>0.60416666666666663</v>
      </c>
      <c r="F40" t="s">
        <v>192</v>
      </c>
      <c r="G40" t="s">
        <v>477</v>
      </c>
      <c r="H40" t="s">
        <v>593</v>
      </c>
      <c r="I40" t="s">
        <v>594</v>
      </c>
      <c r="J40" t="s">
        <v>60</v>
      </c>
      <c r="K40" t="s">
        <v>60</v>
      </c>
      <c r="L40" t="s">
        <v>61</v>
      </c>
      <c r="M40" t="s">
        <v>61</v>
      </c>
      <c r="N40" t="s">
        <v>595</v>
      </c>
      <c r="O40" t="s">
        <v>87</v>
      </c>
      <c r="P40">
        <v>8</v>
      </c>
      <c r="Q40" t="s">
        <v>596</v>
      </c>
      <c r="T40" t="s">
        <v>597</v>
      </c>
      <c r="U40" t="s">
        <v>598</v>
      </c>
      <c r="V40" t="s">
        <v>599</v>
      </c>
      <c r="W40" t="s">
        <v>67</v>
      </c>
      <c r="AB40" t="s">
        <v>425</v>
      </c>
      <c r="AC40" t="s">
        <v>69</v>
      </c>
      <c r="AD40" t="s">
        <v>164</v>
      </c>
      <c r="AE40" t="s">
        <v>165</v>
      </c>
      <c r="AF40" t="s">
        <v>600</v>
      </c>
      <c r="AG40" t="s">
        <v>128</v>
      </c>
      <c r="AH40" t="s">
        <v>74</v>
      </c>
      <c r="AI40">
        <v>9</v>
      </c>
      <c r="AJ40" s="1">
        <v>45727</v>
      </c>
      <c r="AK40" s="2">
        <v>0.60416666666666663</v>
      </c>
      <c r="AL40" s="1"/>
      <c r="AM40" s="2"/>
      <c r="AN40" s="1">
        <v>45727</v>
      </c>
      <c r="AO40" s="2">
        <v>0.69039351851851849</v>
      </c>
      <c r="AP40">
        <v>2025</v>
      </c>
      <c r="AQ40">
        <v>11</v>
      </c>
      <c r="AR40">
        <v>3</v>
      </c>
      <c r="AS40">
        <v>11</v>
      </c>
      <c r="AT40">
        <v>70</v>
      </c>
      <c r="AU40" s="2">
        <v>45727.604166666664</v>
      </c>
      <c r="AV40">
        <v>123</v>
      </c>
      <c r="AW40" t="s">
        <v>596</v>
      </c>
      <c r="AX40" t="s">
        <v>601</v>
      </c>
      <c r="AY40" t="s">
        <v>602</v>
      </c>
      <c r="AZ40" t="s">
        <v>603</v>
      </c>
      <c r="BA40" t="s">
        <v>604</v>
      </c>
      <c r="BB40" t="s">
        <v>78</v>
      </c>
    </row>
    <row r="41" spans="1:54" x14ac:dyDescent="0.25">
      <c r="A41" t="s">
        <v>612</v>
      </c>
      <c r="B41" s="1">
        <v>45734</v>
      </c>
      <c r="C41" t="s">
        <v>301</v>
      </c>
      <c r="D41" s="50">
        <v>0.20833333333333334</v>
      </c>
      <c r="E41" s="50">
        <v>0.22916666666666666</v>
      </c>
      <c r="F41" t="s">
        <v>192</v>
      </c>
      <c r="G41" t="s">
        <v>477</v>
      </c>
      <c r="H41" t="s">
        <v>365</v>
      </c>
      <c r="I41" t="s">
        <v>613</v>
      </c>
      <c r="J41" t="s">
        <v>449</v>
      </c>
      <c r="K41" t="s">
        <v>614</v>
      </c>
      <c r="L41" t="s">
        <v>137</v>
      </c>
      <c r="M41" t="s">
        <v>61</v>
      </c>
      <c r="N41" t="s">
        <v>615</v>
      </c>
      <c r="O41" t="s">
        <v>371</v>
      </c>
      <c r="P41">
        <v>9</v>
      </c>
      <c r="Q41" t="s">
        <v>616</v>
      </c>
      <c r="T41" t="s">
        <v>617</v>
      </c>
      <c r="U41" t="s">
        <v>618</v>
      </c>
      <c r="V41" t="s">
        <v>619</v>
      </c>
      <c r="W41" t="s">
        <v>67</v>
      </c>
      <c r="AC41" t="s">
        <v>69</v>
      </c>
      <c r="AD41" t="s">
        <v>620</v>
      </c>
      <c r="AE41" t="s">
        <v>621</v>
      </c>
      <c r="AI41">
        <v>9</v>
      </c>
      <c r="AJ41" s="1"/>
      <c r="AK41" s="2"/>
      <c r="AL41" s="1">
        <v>45734</v>
      </c>
      <c r="AM41" s="2">
        <v>0.22916666666666666</v>
      </c>
      <c r="AN41" s="1">
        <v>45734</v>
      </c>
      <c r="AO41" s="2">
        <v>0.27405092592592595</v>
      </c>
      <c r="AP41">
        <v>2025</v>
      </c>
      <c r="AQ41">
        <v>12</v>
      </c>
      <c r="AR41">
        <v>4</v>
      </c>
      <c r="AS41">
        <v>18</v>
      </c>
      <c r="AT41">
        <v>77</v>
      </c>
      <c r="AU41" s="2">
        <v>45734.229166666664</v>
      </c>
      <c r="AV41">
        <v>414</v>
      </c>
      <c r="AW41" t="s">
        <v>616</v>
      </c>
      <c r="AX41" t="s">
        <v>622</v>
      </c>
      <c r="AY41" t="s">
        <v>61</v>
      </c>
      <c r="AZ41" t="s">
        <v>61</v>
      </c>
      <c r="BA41" t="s">
        <v>623</v>
      </c>
      <c r="BB41" t="s">
        <v>312</v>
      </c>
    </row>
    <row r="42" spans="1:54" x14ac:dyDescent="0.25">
      <c r="A42" t="s">
        <v>640</v>
      </c>
      <c r="B42" s="1">
        <v>45737</v>
      </c>
      <c r="C42" t="s">
        <v>301</v>
      </c>
      <c r="D42" s="50">
        <v>0.29166666666666669</v>
      </c>
      <c r="E42" s="50">
        <v>0.32500000000000001</v>
      </c>
      <c r="F42" t="s">
        <v>157</v>
      </c>
      <c r="G42" t="s">
        <v>477</v>
      </c>
      <c r="H42" t="s">
        <v>641</v>
      </c>
      <c r="I42" t="s">
        <v>642</v>
      </c>
      <c r="J42" t="s">
        <v>221</v>
      </c>
      <c r="K42" t="s">
        <v>221</v>
      </c>
      <c r="L42" t="s">
        <v>61</v>
      </c>
      <c r="M42" t="s">
        <v>61</v>
      </c>
      <c r="N42" t="s">
        <v>643</v>
      </c>
      <c r="O42" t="s">
        <v>269</v>
      </c>
      <c r="P42">
        <v>6</v>
      </c>
      <c r="Q42" t="s">
        <v>644</v>
      </c>
      <c r="T42" t="s">
        <v>645</v>
      </c>
      <c r="U42" t="s">
        <v>646</v>
      </c>
      <c r="W42" t="s">
        <v>67</v>
      </c>
      <c r="AB42" t="s">
        <v>484</v>
      </c>
      <c r="AC42" t="s">
        <v>69</v>
      </c>
      <c r="AD42" t="s">
        <v>152</v>
      </c>
      <c r="AE42" t="s">
        <v>93</v>
      </c>
      <c r="AF42" t="s">
        <v>187</v>
      </c>
      <c r="AG42" t="s">
        <v>188</v>
      </c>
      <c r="AI42">
        <v>9</v>
      </c>
      <c r="AJ42" s="1">
        <v>45737</v>
      </c>
      <c r="AK42" s="2">
        <v>0.32500000000000001</v>
      </c>
      <c r="AL42" s="1"/>
      <c r="AM42" s="2"/>
      <c r="AN42" s="1">
        <v>45737</v>
      </c>
      <c r="AO42" s="2">
        <v>0.59714120370370372</v>
      </c>
      <c r="AP42">
        <v>2025</v>
      </c>
      <c r="AQ42">
        <v>12</v>
      </c>
      <c r="AR42">
        <v>4</v>
      </c>
      <c r="AS42">
        <v>21</v>
      </c>
      <c r="AT42">
        <v>80</v>
      </c>
      <c r="AU42" s="2">
        <v>45737.324999999997</v>
      </c>
      <c r="AV42">
        <v>171</v>
      </c>
      <c r="AW42" t="s">
        <v>644</v>
      </c>
      <c r="AX42" t="s">
        <v>647</v>
      </c>
      <c r="AY42" t="s">
        <v>648</v>
      </c>
      <c r="AZ42" t="s">
        <v>649</v>
      </c>
      <c r="BA42" t="s">
        <v>623</v>
      </c>
      <c r="BB42" t="s">
        <v>312</v>
      </c>
    </row>
    <row r="43" spans="1:54" x14ac:dyDescent="0.25">
      <c r="A43" t="s">
        <v>650</v>
      </c>
      <c r="B43" s="1">
        <v>45739</v>
      </c>
      <c r="C43" t="s">
        <v>301</v>
      </c>
      <c r="D43" s="50">
        <v>0.16666666666666666</v>
      </c>
      <c r="E43" s="50">
        <v>0.1736111111111111</v>
      </c>
      <c r="F43" t="s">
        <v>101</v>
      </c>
      <c r="G43" t="s">
        <v>477</v>
      </c>
      <c r="H43" t="s">
        <v>651</v>
      </c>
      <c r="I43" t="s">
        <v>652</v>
      </c>
      <c r="J43" t="s">
        <v>60</v>
      </c>
      <c r="K43" t="s">
        <v>653</v>
      </c>
      <c r="L43" t="s">
        <v>654</v>
      </c>
      <c r="M43" t="s">
        <v>61</v>
      </c>
      <c r="N43" t="s">
        <v>655</v>
      </c>
      <c r="O43" t="s">
        <v>258</v>
      </c>
      <c r="P43">
        <v>5</v>
      </c>
      <c r="Q43" t="s">
        <v>656</v>
      </c>
      <c r="T43" t="s">
        <v>657</v>
      </c>
      <c r="U43" t="s">
        <v>122</v>
      </c>
      <c r="V43" t="s">
        <v>658</v>
      </c>
      <c r="W43" t="s">
        <v>67</v>
      </c>
      <c r="AB43" t="s">
        <v>659</v>
      </c>
      <c r="AC43" t="s">
        <v>69</v>
      </c>
      <c r="AD43" t="s">
        <v>109</v>
      </c>
      <c r="AE43" t="s">
        <v>71</v>
      </c>
      <c r="AF43" t="s">
        <v>127</v>
      </c>
      <c r="AG43" t="s">
        <v>128</v>
      </c>
      <c r="AI43">
        <v>9</v>
      </c>
      <c r="AJ43" s="1">
        <v>45739</v>
      </c>
      <c r="AK43" s="2">
        <v>0.1736111111111111</v>
      </c>
      <c r="AL43" s="1">
        <v>45739</v>
      </c>
      <c r="AM43" s="2">
        <v>0.18055555555555555</v>
      </c>
      <c r="AN43" s="1">
        <v>45739</v>
      </c>
      <c r="AO43" s="2">
        <v>0.20511574074074074</v>
      </c>
      <c r="AP43">
        <v>2025</v>
      </c>
      <c r="AQ43">
        <v>13</v>
      </c>
      <c r="AR43">
        <v>5</v>
      </c>
      <c r="AS43">
        <v>23</v>
      </c>
      <c r="AT43">
        <v>82</v>
      </c>
      <c r="AU43" s="2">
        <v>45739.173611111109</v>
      </c>
      <c r="AV43">
        <v>24</v>
      </c>
      <c r="AW43" t="s">
        <v>656</v>
      </c>
      <c r="AX43" t="s">
        <v>660</v>
      </c>
      <c r="AY43" t="s">
        <v>661</v>
      </c>
      <c r="AZ43" t="s">
        <v>662</v>
      </c>
      <c r="BA43" t="s">
        <v>623</v>
      </c>
      <c r="BB43" t="s">
        <v>312</v>
      </c>
    </row>
    <row r="44" spans="1:54" x14ac:dyDescent="0.25">
      <c r="A44" t="s">
        <v>663</v>
      </c>
      <c r="B44" s="1">
        <v>45741</v>
      </c>
      <c r="C44" t="s">
        <v>146</v>
      </c>
      <c r="D44" s="50">
        <v>0.45833333333333331</v>
      </c>
      <c r="E44" s="50">
        <v>0.48402777777777778</v>
      </c>
      <c r="F44" t="s">
        <v>192</v>
      </c>
      <c r="G44" t="s">
        <v>477</v>
      </c>
      <c r="H44" t="s">
        <v>365</v>
      </c>
      <c r="I44" t="s">
        <v>366</v>
      </c>
      <c r="J44" t="s">
        <v>355</v>
      </c>
      <c r="K44" t="s">
        <v>664</v>
      </c>
      <c r="L44" t="s">
        <v>85</v>
      </c>
      <c r="M44" t="s">
        <v>665</v>
      </c>
      <c r="N44" t="s">
        <v>370</v>
      </c>
      <c r="O44" t="s">
        <v>371</v>
      </c>
      <c r="P44">
        <v>9</v>
      </c>
      <c r="Q44" t="s">
        <v>666</v>
      </c>
      <c r="T44" t="s">
        <v>667</v>
      </c>
      <c r="U44" t="s">
        <v>598</v>
      </c>
      <c r="V44" t="s">
        <v>668</v>
      </c>
      <c r="W44" t="s">
        <v>67</v>
      </c>
      <c r="AB44" t="s">
        <v>163</v>
      </c>
      <c r="AC44" t="s">
        <v>69</v>
      </c>
      <c r="AD44" t="s">
        <v>669</v>
      </c>
      <c r="AE44" t="s">
        <v>359</v>
      </c>
      <c r="AF44" t="s">
        <v>166</v>
      </c>
      <c r="AG44" t="s">
        <v>128</v>
      </c>
      <c r="AI44">
        <v>9</v>
      </c>
      <c r="AJ44" s="1">
        <v>45741</v>
      </c>
      <c r="AK44" s="2">
        <v>0.48402777777777778</v>
      </c>
      <c r="AL44" s="1"/>
      <c r="AM44" s="2"/>
      <c r="AN44" s="1">
        <v>45741</v>
      </c>
      <c r="AO44" s="2">
        <v>0.50343749999999998</v>
      </c>
      <c r="AP44">
        <v>2025</v>
      </c>
      <c r="AQ44">
        <v>13</v>
      </c>
      <c r="AR44">
        <v>5</v>
      </c>
      <c r="AS44">
        <v>25</v>
      </c>
      <c r="AT44">
        <v>84</v>
      </c>
      <c r="AU44" s="2">
        <v>45741.484027777777</v>
      </c>
      <c r="AV44">
        <v>450</v>
      </c>
      <c r="AW44" t="s">
        <v>666</v>
      </c>
      <c r="AX44" t="s">
        <v>670</v>
      </c>
      <c r="AY44" t="s">
        <v>671</v>
      </c>
      <c r="AZ44" t="s">
        <v>672</v>
      </c>
      <c r="BA44" t="s">
        <v>632</v>
      </c>
      <c r="BB44" t="s">
        <v>155</v>
      </c>
    </row>
    <row r="45" spans="1:54" x14ac:dyDescent="0.25">
      <c r="A45" t="s">
        <v>624</v>
      </c>
      <c r="B45" s="1">
        <v>45743</v>
      </c>
      <c r="C45" t="s">
        <v>100</v>
      </c>
      <c r="D45" s="50">
        <v>0.91666666666666663</v>
      </c>
      <c r="E45" s="50">
        <v>0.94666666666666666</v>
      </c>
      <c r="F45" t="s">
        <v>115</v>
      </c>
      <c r="G45" t="s">
        <v>477</v>
      </c>
      <c r="H45" t="s">
        <v>501</v>
      </c>
      <c r="I45" t="s">
        <v>625</v>
      </c>
      <c r="J45" t="s">
        <v>172</v>
      </c>
      <c r="K45" t="s">
        <v>626</v>
      </c>
      <c r="L45" t="s">
        <v>627</v>
      </c>
      <c r="M45" t="s">
        <v>368</v>
      </c>
      <c r="N45" t="s">
        <v>628</v>
      </c>
      <c r="O45" t="s">
        <v>269</v>
      </c>
      <c r="P45">
        <v>6</v>
      </c>
      <c r="Q45" t="s">
        <v>629</v>
      </c>
      <c r="AB45" t="s">
        <v>425</v>
      </c>
      <c r="AC45" t="s">
        <v>69</v>
      </c>
      <c r="AD45" t="s">
        <v>630</v>
      </c>
      <c r="AE45" t="s">
        <v>126</v>
      </c>
      <c r="AF45" t="s">
        <v>386</v>
      </c>
      <c r="AG45" t="s">
        <v>128</v>
      </c>
      <c r="AI45">
        <v>9</v>
      </c>
      <c r="AJ45" s="1">
        <v>45743</v>
      </c>
      <c r="AK45" s="2">
        <v>0.94666666666666666</v>
      </c>
      <c r="AL45" s="1"/>
      <c r="AM45" s="2"/>
      <c r="AN45" s="1">
        <v>45743</v>
      </c>
      <c r="AO45" s="2">
        <v>0.94666666666666666</v>
      </c>
      <c r="AP45">
        <v>2025</v>
      </c>
      <c r="AQ45">
        <v>13</v>
      </c>
      <c r="AR45">
        <v>5</v>
      </c>
      <c r="AS45">
        <v>27</v>
      </c>
      <c r="AT45">
        <v>86</v>
      </c>
      <c r="AU45" s="2">
        <v>45743.946527777778</v>
      </c>
      <c r="AV45">
        <v>211</v>
      </c>
      <c r="AW45" t="s">
        <v>629</v>
      </c>
      <c r="AY45" t="s">
        <v>61</v>
      </c>
      <c r="AZ45" t="s">
        <v>631</v>
      </c>
      <c r="BA45" t="s">
        <v>632</v>
      </c>
      <c r="BB45" t="s">
        <v>113</v>
      </c>
    </row>
    <row r="46" spans="1:54" x14ac:dyDescent="0.25">
      <c r="A46" t="s">
        <v>633</v>
      </c>
      <c r="B46" s="1">
        <v>45743</v>
      </c>
      <c r="C46" t="s">
        <v>100</v>
      </c>
      <c r="D46" s="50">
        <v>0.95833333333333337</v>
      </c>
      <c r="E46" s="50">
        <v>0.97916666666666663</v>
      </c>
      <c r="F46" t="s">
        <v>115</v>
      </c>
      <c r="G46" t="s">
        <v>477</v>
      </c>
      <c r="H46" t="s">
        <v>606</v>
      </c>
      <c r="I46" t="s">
        <v>634</v>
      </c>
      <c r="J46" t="s">
        <v>137</v>
      </c>
      <c r="K46" t="s">
        <v>137</v>
      </c>
      <c r="L46" t="s">
        <v>61</v>
      </c>
      <c r="M46" t="s">
        <v>61</v>
      </c>
      <c r="N46" t="s">
        <v>635</v>
      </c>
      <c r="O46" t="s">
        <v>291</v>
      </c>
      <c r="P46">
        <v>8</v>
      </c>
      <c r="Q46" t="s">
        <v>636</v>
      </c>
      <c r="R46">
        <v>50300</v>
      </c>
      <c r="AB46" t="s">
        <v>163</v>
      </c>
      <c r="AC46" t="s">
        <v>69</v>
      </c>
      <c r="AD46" t="s">
        <v>496</v>
      </c>
      <c r="AE46" t="s">
        <v>359</v>
      </c>
      <c r="AF46" t="s">
        <v>637</v>
      </c>
      <c r="AG46" t="s">
        <v>128</v>
      </c>
      <c r="AI46">
        <v>9</v>
      </c>
      <c r="AJ46" s="1">
        <v>45743</v>
      </c>
      <c r="AK46" s="2">
        <v>0.97916666666666663</v>
      </c>
      <c r="AL46" s="1">
        <v>45744</v>
      </c>
      <c r="AM46" s="2">
        <v>2.5000000000000001E-2</v>
      </c>
      <c r="AN46" s="1">
        <v>45744</v>
      </c>
      <c r="AO46" s="2">
        <v>0.46781250000000002</v>
      </c>
      <c r="AP46">
        <v>2025</v>
      </c>
      <c r="AQ46">
        <v>13</v>
      </c>
      <c r="AR46">
        <v>5</v>
      </c>
      <c r="AS46">
        <v>27</v>
      </c>
      <c r="AT46">
        <v>86</v>
      </c>
      <c r="AU46" s="2">
        <v>45743.979166666664</v>
      </c>
      <c r="AV46">
        <v>2</v>
      </c>
      <c r="AW46" t="s">
        <v>636</v>
      </c>
      <c r="AY46" t="s">
        <v>638</v>
      </c>
      <c r="AZ46" t="s">
        <v>639</v>
      </c>
      <c r="BA46" t="s">
        <v>632</v>
      </c>
      <c r="BB46" t="s">
        <v>113</v>
      </c>
    </row>
    <row r="47" spans="1:54" x14ac:dyDescent="0.25">
      <c r="A47" t="s">
        <v>673</v>
      </c>
      <c r="B47" s="1">
        <v>45744</v>
      </c>
      <c r="C47" t="s">
        <v>100</v>
      </c>
      <c r="D47" s="50">
        <v>0.83333333333333337</v>
      </c>
      <c r="E47" s="50">
        <v>0.85416666666666663</v>
      </c>
      <c r="F47" t="s">
        <v>157</v>
      </c>
      <c r="G47" t="s">
        <v>477</v>
      </c>
      <c r="H47" t="s">
        <v>674</v>
      </c>
      <c r="I47" t="s">
        <v>675</v>
      </c>
      <c r="J47" t="s">
        <v>221</v>
      </c>
      <c r="K47" t="s">
        <v>221</v>
      </c>
      <c r="L47" t="s">
        <v>61</v>
      </c>
      <c r="M47" t="s">
        <v>61</v>
      </c>
      <c r="N47" t="s">
        <v>676</v>
      </c>
      <c r="O47" t="s">
        <v>435</v>
      </c>
      <c r="P47">
        <v>8</v>
      </c>
      <c r="Q47" t="s">
        <v>677</v>
      </c>
      <c r="T47" t="s">
        <v>678</v>
      </c>
      <c r="U47" t="s">
        <v>679</v>
      </c>
      <c r="V47" t="s">
        <v>680</v>
      </c>
      <c r="W47" t="s">
        <v>67</v>
      </c>
      <c r="AB47" t="s">
        <v>659</v>
      </c>
      <c r="AC47" t="s">
        <v>69</v>
      </c>
      <c r="AD47" t="s">
        <v>681</v>
      </c>
      <c r="AE47" t="s">
        <v>682</v>
      </c>
      <c r="AI47">
        <v>9</v>
      </c>
      <c r="AJ47" s="1">
        <v>45744</v>
      </c>
      <c r="AK47" s="2">
        <v>0.85416666666666663</v>
      </c>
      <c r="AL47" s="1">
        <v>45745</v>
      </c>
      <c r="AM47" s="2">
        <v>0.41666666666666669</v>
      </c>
      <c r="AN47" s="1">
        <v>45745</v>
      </c>
      <c r="AO47" s="2">
        <v>0.42986111111111114</v>
      </c>
      <c r="AP47">
        <v>2025</v>
      </c>
      <c r="AQ47">
        <v>13</v>
      </c>
      <c r="AR47">
        <v>5</v>
      </c>
      <c r="AS47">
        <v>28</v>
      </c>
      <c r="AT47">
        <v>87</v>
      </c>
      <c r="AU47" s="2">
        <v>45744.854166666664</v>
      </c>
      <c r="AV47">
        <v>296</v>
      </c>
      <c r="AW47" t="s">
        <v>677</v>
      </c>
      <c r="AX47" t="s">
        <v>683</v>
      </c>
      <c r="AY47" t="s">
        <v>61</v>
      </c>
      <c r="AZ47" t="s">
        <v>684</v>
      </c>
      <c r="BA47" t="s">
        <v>632</v>
      </c>
      <c r="BB47" t="s">
        <v>113</v>
      </c>
    </row>
    <row r="48" spans="1:54" x14ac:dyDescent="0.25">
      <c r="A48" t="s">
        <v>685</v>
      </c>
      <c r="B48" s="1">
        <v>45745</v>
      </c>
      <c r="C48" t="s">
        <v>301</v>
      </c>
      <c r="D48" s="50">
        <v>0.16666666666666666</v>
      </c>
      <c r="E48" s="50">
        <v>0.20515046296296297</v>
      </c>
      <c r="F48" t="s">
        <v>81</v>
      </c>
      <c r="G48" t="s">
        <v>477</v>
      </c>
      <c r="H48" t="s">
        <v>686</v>
      </c>
      <c r="I48" t="s">
        <v>687</v>
      </c>
      <c r="J48" t="s">
        <v>183</v>
      </c>
      <c r="K48" t="s">
        <v>688</v>
      </c>
      <c r="L48" t="s">
        <v>689</v>
      </c>
      <c r="M48" t="s">
        <v>61</v>
      </c>
      <c r="N48" t="s">
        <v>690</v>
      </c>
      <c r="O48" t="s">
        <v>281</v>
      </c>
      <c r="P48">
        <v>6</v>
      </c>
      <c r="Q48" t="s">
        <v>691</v>
      </c>
      <c r="T48" t="s">
        <v>692</v>
      </c>
      <c r="U48" t="s">
        <v>679</v>
      </c>
      <c r="V48" t="s">
        <v>680</v>
      </c>
      <c r="W48" t="s">
        <v>67</v>
      </c>
      <c r="AB48" t="s">
        <v>659</v>
      </c>
      <c r="AC48" t="s">
        <v>69</v>
      </c>
      <c r="AD48" t="s">
        <v>630</v>
      </c>
      <c r="AE48" t="s">
        <v>126</v>
      </c>
      <c r="AI48">
        <v>9</v>
      </c>
      <c r="AJ48" s="1">
        <v>45745</v>
      </c>
      <c r="AK48" s="2">
        <v>0.20515046296296297</v>
      </c>
      <c r="AL48" s="1"/>
      <c r="AM48" s="2"/>
      <c r="AN48" s="1">
        <v>45745</v>
      </c>
      <c r="AO48" s="2">
        <v>0.20931712962962962</v>
      </c>
      <c r="AP48">
        <v>2025</v>
      </c>
      <c r="AQ48">
        <v>13</v>
      </c>
      <c r="AR48">
        <v>5</v>
      </c>
      <c r="AS48">
        <v>29</v>
      </c>
      <c r="AT48">
        <v>88</v>
      </c>
      <c r="AU48" s="2">
        <v>45745.204861111109</v>
      </c>
      <c r="AV48">
        <v>15</v>
      </c>
      <c r="AW48" t="s">
        <v>691</v>
      </c>
      <c r="AX48" t="s">
        <v>693</v>
      </c>
      <c r="AY48" t="s">
        <v>694</v>
      </c>
      <c r="AZ48" t="s">
        <v>695</v>
      </c>
      <c r="BA48" t="s">
        <v>632</v>
      </c>
      <c r="BB48" t="s">
        <v>312</v>
      </c>
    </row>
    <row r="49" spans="1:54" x14ac:dyDescent="0.25">
      <c r="A49" t="s">
        <v>761</v>
      </c>
      <c r="B49" s="1">
        <v>45747</v>
      </c>
      <c r="C49" t="s">
        <v>55</v>
      </c>
      <c r="D49" s="50">
        <v>0.5</v>
      </c>
      <c r="E49" s="50">
        <v>0.5</v>
      </c>
      <c r="F49" t="s">
        <v>56</v>
      </c>
      <c r="G49" t="s">
        <v>477</v>
      </c>
      <c r="H49" t="s">
        <v>265</v>
      </c>
      <c r="I49" t="s">
        <v>762</v>
      </c>
      <c r="J49" t="s">
        <v>137</v>
      </c>
      <c r="K49" t="s">
        <v>137</v>
      </c>
      <c r="L49" t="s">
        <v>61</v>
      </c>
      <c r="M49" t="s">
        <v>61</v>
      </c>
      <c r="N49" t="s">
        <v>763</v>
      </c>
      <c r="O49" t="s">
        <v>764</v>
      </c>
      <c r="P49">
        <v>7</v>
      </c>
      <c r="Q49" t="s">
        <v>765</v>
      </c>
      <c r="AB49" t="s">
        <v>659</v>
      </c>
      <c r="AC49" t="s">
        <v>69</v>
      </c>
      <c r="AD49" t="s">
        <v>766</v>
      </c>
      <c r="AE49" t="s">
        <v>93</v>
      </c>
      <c r="AI49">
        <v>9</v>
      </c>
      <c r="AJ49" s="1">
        <v>45747</v>
      </c>
      <c r="AK49" s="2">
        <v>0.5</v>
      </c>
      <c r="AL49" s="1"/>
      <c r="AM49" s="2"/>
      <c r="AN49" s="1">
        <v>45747</v>
      </c>
      <c r="AO49" s="2">
        <v>0.54355324074074074</v>
      </c>
      <c r="AP49">
        <v>2025</v>
      </c>
      <c r="AQ49">
        <v>14</v>
      </c>
      <c r="AR49">
        <v>6</v>
      </c>
      <c r="AS49">
        <v>31</v>
      </c>
      <c r="AT49">
        <v>90</v>
      </c>
      <c r="AU49" s="2">
        <v>45747.5</v>
      </c>
      <c r="AV49">
        <v>100</v>
      </c>
      <c r="AW49" t="s">
        <v>765</v>
      </c>
      <c r="AY49" t="s">
        <v>767</v>
      </c>
      <c r="AZ49" t="s">
        <v>768</v>
      </c>
      <c r="BA49" t="s">
        <v>632</v>
      </c>
      <c r="BB49" t="s">
        <v>78</v>
      </c>
    </row>
    <row r="50" spans="1:54" x14ac:dyDescent="0.25">
      <c r="A50" t="s">
        <v>769</v>
      </c>
      <c r="B50" s="1">
        <v>45747</v>
      </c>
      <c r="C50" t="s">
        <v>80</v>
      </c>
      <c r="D50" s="50">
        <v>0.75</v>
      </c>
      <c r="E50" s="50">
        <v>0.77777777777777779</v>
      </c>
      <c r="F50" t="s">
        <v>56</v>
      </c>
      <c r="G50" t="s">
        <v>477</v>
      </c>
      <c r="H50" t="s">
        <v>770</v>
      </c>
      <c r="I50" t="s">
        <v>770</v>
      </c>
      <c r="J50" t="s">
        <v>60</v>
      </c>
      <c r="K50" t="s">
        <v>771</v>
      </c>
      <c r="L50" t="s">
        <v>85</v>
      </c>
      <c r="M50" t="s">
        <v>772</v>
      </c>
      <c r="N50" t="s">
        <v>773</v>
      </c>
      <c r="O50" t="s">
        <v>139</v>
      </c>
      <c r="P50">
        <v>7</v>
      </c>
      <c r="Q50" t="s">
        <v>774</v>
      </c>
      <c r="T50" t="s">
        <v>775</v>
      </c>
      <c r="U50" t="s">
        <v>776</v>
      </c>
      <c r="V50" t="s">
        <v>777</v>
      </c>
      <c r="W50" t="s">
        <v>67</v>
      </c>
      <c r="AB50" t="s">
        <v>484</v>
      </c>
      <c r="AC50" t="s">
        <v>69</v>
      </c>
      <c r="AD50" t="s">
        <v>778</v>
      </c>
      <c r="AE50" t="s">
        <v>93</v>
      </c>
      <c r="AI50">
        <v>9</v>
      </c>
      <c r="AJ50" s="1">
        <v>45747</v>
      </c>
      <c r="AK50" s="2">
        <v>0.77777777777777779</v>
      </c>
      <c r="AL50" s="1">
        <v>45747</v>
      </c>
      <c r="AM50" s="2">
        <v>0.91666666666666663</v>
      </c>
      <c r="AN50" s="1">
        <v>45747</v>
      </c>
      <c r="AO50" s="2">
        <v>0.93032407407407403</v>
      </c>
      <c r="AP50">
        <v>2025</v>
      </c>
      <c r="AQ50">
        <v>14</v>
      </c>
      <c r="AR50">
        <v>6</v>
      </c>
      <c r="AS50">
        <v>31</v>
      </c>
      <c r="AT50">
        <v>90</v>
      </c>
      <c r="AU50" s="2">
        <v>45747.777777777781</v>
      </c>
      <c r="AW50" t="s">
        <v>774</v>
      </c>
      <c r="AX50" t="s">
        <v>779</v>
      </c>
      <c r="AY50" t="s">
        <v>61</v>
      </c>
      <c r="AZ50" t="s">
        <v>780</v>
      </c>
      <c r="BA50" t="s">
        <v>632</v>
      </c>
      <c r="BB50" t="s">
        <v>98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2424E-F455-434A-A353-2C2E623C232F}">
  <sheetPr codeName="Sheet17"/>
  <dimension ref="A1:BB50"/>
  <sheetViews>
    <sheetView workbookViewId="0">
      <selection activeCell="F37" sqref="F37"/>
    </sheetView>
  </sheetViews>
  <sheetFormatPr defaultRowHeight="15" x14ac:dyDescent="0.25"/>
  <cols>
    <col min="1" max="1" width="14.42578125" bestFit="1" customWidth="1"/>
    <col min="2" max="2" width="11.7109375" bestFit="1" customWidth="1"/>
    <col min="3" max="3" width="22.7109375" bestFit="1" customWidth="1"/>
    <col min="4" max="4" width="14" bestFit="1" customWidth="1"/>
    <col min="5" max="5" width="11.5703125" bestFit="1" customWidth="1"/>
    <col min="6" max="6" width="11.85546875" bestFit="1" customWidth="1"/>
    <col min="7" max="7" width="14.42578125" bestFit="1" customWidth="1"/>
    <col min="8" max="9" width="33.7109375" bestFit="1" customWidth="1"/>
    <col min="10" max="10" width="25" bestFit="1" customWidth="1"/>
    <col min="11" max="11" width="60.28515625" bestFit="1" customWidth="1"/>
    <col min="12" max="12" width="24.28515625" bestFit="1" customWidth="1"/>
    <col min="13" max="13" width="20.28515625" bestFit="1" customWidth="1"/>
    <col min="14" max="14" width="65.42578125" bestFit="1" customWidth="1"/>
    <col min="15" max="15" width="6.7109375" bestFit="1" customWidth="1"/>
    <col min="16" max="16" width="7.42578125" bestFit="1" customWidth="1"/>
    <col min="17" max="17" width="80.85546875" bestFit="1" customWidth="1"/>
    <col min="18" max="18" width="18.5703125" bestFit="1" customWidth="1"/>
    <col min="19" max="19" width="20.140625" bestFit="1" customWidth="1"/>
    <col min="20" max="20" width="14.7109375" bestFit="1" customWidth="1"/>
    <col min="21" max="21" width="10.7109375" bestFit="1" customWidth="1"/>
    <col min="22" max="22" width="11.28515625" bestFit="1" customWidth="1"/>
    <col min="23" max="23" width="12.5703125" bestFit="1" customWidth="1"/>
    <col min="24" max="24" width="14.7109375" bestFit="1" customWidth="1"/>
    <col min="25" max="25" width="12.5703125" bestFit="1" customWidth="1"/>
    <col min="26" max="26" width="9" bestFit="1" customWidth="1"/>
    <col min="27" max="27" width="9.7109375" bestFit="1" customWidth="1"/>
    <col min="28" max="28" width="13.85546875" bestFit="1" customWidth="1"/>
    <col min="29" max="29" width="14.7109375" bestFit="1" customWidth="1"/>
    <col min="30" max="30" width="26" bestFit="1" customWidth="1"/>
    <col min="31" max="31" width="8.5703125" bestFit="1" customWidth="1"/>
    <col min="32" max="32" width="25" bestFit="1" customWidth="1"/>
    <col min="33" max="33" width="26.140625" bestFit="1" customWidth="1"/>
    <col min="34" max="34" width="29.7109375" bestFit="1" customWidth="1"/>
    <col min="35" max="35" width="24.28515625" bestFit="1" customWidth="1"/>
    <col min="36" max="36" width="14.42578125" bestFit="1" customWidth="1"/>
    <col min="37" max="37" width="14.7109375" bestFit="1" customWidth="1"/>
    <col min="38" max="38" width="23" bestFit="1" customWidth="1"/>
    <col min="39" max="39" width="23.28515625" bestFit="1" customWidth="1"/>
    <col min="40" max="40" width="13.28515625" bestFit="1" customWidth="1"/>
    <col min="41" max="41" width="13.7109375" bestFit="1" customWidth="1"/>
    <col min="42" max="42" width="6.85546875" bestFit="1" customWidth="1"/>
    <col min="43" max="43" width="14.28515625" bestFit="1" customWidth="1"/>
    <col min="44" max="44" width="16.5703125" bestFit="1" customWidth="1"/>
    <col min="45" max="45" width="6.42578125" bestFit="1" customWidth="1"/>
    <col min="46" max="46" width="12.7109375" bestFit="1" customWidth="1"/>
    <col min="47" max="47" width="22" bestFit="1" customWidth="1"/>
    <col min="48" max="48" width="5.85546875" bestFit="1" customWidth="1"/>
    <col min="49" max="49" width="80.85546875" bestFit="1" customWidth="1"/>
    <col min="50" max="50" width="35.85546875" bestFit="1" customWidth="1"/>
    <col min="51" max="52" width="80.85546875" bestFit="1" customWidth="1"/>
    <col min="53" max="53" width="18.28515625" style="49" bestFit="1" customWidth="1"/>
    <col min="54" max="54" width="23.85546875" style="49" bestFit="1" customWidth="1"/>
    <col min="55" max="55" width="25.28515625" bestFit="1" customWidth="1"/>
  </cols>
  <sheetData>
    <row r="1" spans="1:5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s="49" t="s">
        <v>52</v>
      </c>
      <c r="BB1" t="s">
        <v>53</v>
      </c>
    </row>
    <row r="2" spans="1:54" hidden="1" x14ac:dyDescent="0.25">
      <c r="A2" t="s">
        <v>218</v>
      </c>
      <c r="B2" s="1">
        <v>45660</v>
      </c>
      <c r="C2" t="s">
        <v>100</v>
      </c>
      <c r="D2" s="50">
        <v>0.875</v>
      </c>
      <c r="E2" s="50">
        <v>0.89583333333333337</v>
      </c>
      <c r="F2" t="s">
        <v>157</v>
      </c>
      <c r="G2" t="s">
        <v>57</v>
      </c>
      <c r="H2" t="s">
        <v>219</v>
      </c>
      <c r="I2" t="s">
        <v>220</v>
      </c>
      <c r="J2" t="s">
        <v>221</v>
      </c>
      <c r="K2" t="s">
        <v>221</v>
      </c>
      <c r="L2" t="s">
        <v>61</v>
      </c>
      <c r="M2" t="s">
        <v>61</v>
      </c>
      <c r="N2" t="s">
        <v>222</v>
      </c>
      <c r="O2" t="s">
        <v>223</v>
      </c>
      <c r="P2">
        <v>9</v>
      </c>
      <c r="Q2" t="s">
        <v>224</v>
      </c>
      <c r="T2" t="s">
        <v>225</v>
      </c>
      <c r="U2" t="s">
        <v>65</v>
      </c>
      <c r="V2" t="s">
        <v>226</v>
      </c>
      <c r="W2" t="s">
        <v>67</v>
      </c>
      <c r="AB2" t="s">
        <v>163</v>
      </c>
      <c r="AC2" t="s">
        <v>69</v>
      </c>
      <c r="AD2" t="s">
        <v>227</v>
      </c>
      <c r="AE2" t="s">
        <v>214</v>
      </c>
      <c r="AF2" t="s">
        <v>228</v>
      </c>
      <c r="AG2" t="s">
        <v>73</v>
      </c>
      <c r="AH2" t="s">
        <v>229</v>
      </c>
      <c r="AI2">
        <v>9</v>
      </c>
      <c r="AJ2" s="1">
        <v>45660</v>
      </c>
      <c r="AK2" s="2">
        <v>0.89583333333333337</v>
      </c>
      <c r="AL2" s="1">
        <v>45661</v>
      </c>
      <c r="AM2" s="2">
        <v>0.2673611111111111</v>
      </c>
      <c r="AN2" s="1">
        <v>45661</v>
      </c>
      <c r="AO2" s="2">
        <v>0.45774305555555556</v>
      </c>
      <c r="AP2">
        <v>2025</v>
      </c>
      <c r="AQ2">
        <v>1</v>
      </c>
      <c r="AR2">
        <v>1</v>
      </c>
      <c r="AS2">
        <v>3</v>
      </c>
      <c r="AT2">
        <v>3</v>
      </c>
      <c r="AU2" s="2">
        <v>45660.895833333336</v>
      </c>
      <c r="AV2">
        <v>309</v>
      </c>
      <c r="AW2" t="s">
        <v>224</v>
      </c>
      <c r="AX2" t="s">
        <v>230</v>
      </c>
      <c r="AY2" t="s">
        <v>231</v>
      </c>
      <c r="AZ2" t="s">
        <v>61</v>
      </c>
      <c r="BA2" s="49" t="s">
        <v>587</v>
      </c>
      <c r="BB2" t="s">
        <v>113</v>
      </c>
    </row>
    <row r="3" spans="1:54" hidden="1" x14ac:dyDescent="0.25">
      <c r="A3" t="s">
        <v>54</v>
      </c>
      <c r="B3" s="1">
        <v>45663</v>
      </c>
      <c r="C3" t="s">
        <v>55</v>
      </c>
      <c r="D3" s="50">
        <v>0.625</v>
      </c>
      <c r="E3" s="50">
        <v>0.64583333333333337</v>
      </c>
      <c r="F3" t="s">
        <v>56</v>
      </c>
      <c r="G3" t="s">
        <v>57</v>
      </c>
      <c r="H3" t="s">
        <v>58</v>
      </c>
      <c r="I3" t="s">
        <v>59</v>
      </c>
      <c r="J3" t="s">
        <v>60</v>
      </c>
      <c r="K3" t="s">
        <v>60</v>
      </c>
      <c r="L3" t="s">
        <v>61</v>
      </c>
      <c r="M3" t="s">
        <v>61</v>
      </c>
      <c r="N3" t="s">
        <v>62</v>
      </c>
      <c r="P3">
        <v>7</v>
      </c>
      <c r="Q3" t="s">
        <v>63</v>
      </c>
      <c r="T3" t="s">
        <v>64</v>
      </c>
      <c r="U3" t="s">
        <v>65</v>
      </c>
      <c r="V3" t="s">
        <v>66</v>
      </c>
      <c r="W3" t="s">
        <v>67</v>
      </c>
      <c r="AB3" t="s">
        <v>68</v>
      </c>
      <c r="AC3" t="s">
        <v>69</v>
      </c>
      <c r="AD3" t="s">
        <v>70</v>
      </c>
      <c r="AE3" t="s">
        <v>71</v>
      </c>
      <c r="AF3" t="s">
        <v>72</v>
      </c>
      <c r="AG3" t="s">
        <v>73</v>
      </c>
      <c r="AH3" t="s">
        <v>74</v>
      </c>
      <c r="AI3">
        <v>9</v>
      </c>
      <c r="AJ3" s="1">
        <v>45663</v>
      </c>
      <c r="AK3" s="2">
        <v>0.64583333333333337</v>
      </c>
      <c r="AL3" s="1">
        <v>45667</v>
      </c>
      <c r="AM3" s="2"/>
      <c r="AN3" s="1">
        <v>45667</v>
      </c>
      <c r="AO3" s="2">
        <v>0.82629629629629631</v>
      </c>
      <c r="AP3">
        <v>2025</v>
      </c>
      <c r="AQ3">
        <v>2</v>
      </c>
      <c r="AR3">
        <v>2</v>
      </c>
      <c r="AS3">
        <v>6</v>
      </c>
      <c r="AT3">
        <v>6</v>
      </c>
      <c r="AU3" s="2">
        <v>45663.645833333336</v>
      </c>
      <c r="AV3">
        <v>90</v>
      </c>
      <c r="AW3" t="s">
        <v>63</v>
      </c>
      <c r="AX3" t="s">
        <v>75</v>
      </c>
      <c r="AY3" t="s">
        <v>76</v>
      </c>
      <c r="AZ3" t="s">
        <v>77</v>
      </c>
      <c r="BA3" s="49" t="s">
        <v>587</v>
      </c>
      <c r="BB3" t="s">
        <v>78</v>
      </c>
    </row>
    <row r="4" spans="1:54" hidden="1" x14ac:dyDescent="0.25">
      <c r="A4" t="s">
        <v>404</v>
      </c>
      <c r="B4" s="1">
        <v>45664</v>
      </c>
      <c r="C4" t="s">
        <v>55</v>
      </c>
      <c r="D4" s="50">
        <v>0.58333333333333337</v>
      </c>
      <c r="E4" s="50">
        <v>0.58333333333333337</v>
      </c>
      <c r="F4" t="s">
        <v>192</v>
      </c>
      <c r="G4" t="s">
        <v>57</v>
      </c>
      <c r="H4" t="s">
        <v>405</v>
      </c>
      <c r="I4" t="s">
        <v>406</v>
      </c>
      <c r="J4" t="s">
        <v>407</v>
      </c>
      <c r="K4" t="s">
        <v>408</v>
      </c>
      <c r="L4" t="s">
        <v>409</v>
      </c>
      <c r="M4" t="s">
        <v>61</v>
      </c>
      <c r="N4" t="s">
        <v>410</v>
      </c>
      <c r="O4" t="s">
        <v>139</v>
      </c>
      <c r="P4">
        <v>7</v>
      </c>
      <c r="Q4" t="s">
        <v>411</v>
      </c>
      <c r="AB4" t="s">
        <v>412</v>
      </c>
      <c r="AC4" t="s">
        <v>69</v>
      </c>
      <c r="AD4" t="s">
        <v>413</v>
      </c>
      <c r="AE4" t="s">
        <v>414</v>
      </c>
      <c r="AF4" t="s">
        <v>415</v>
      </c>
      <c r="AG4" t="s">
        <v>73</v>
      </c>
      <c r="AH4" t="s">
        <v>416</v>
      </c>
      <c r="AI4">
        <v>9</v>
      </c>
      <c r="AJ4" s="1">
        <v>45664</v>
      </c>
      <c r="AK4" s="2">
        <v>0.58333333333333337</v>
      </c>
      <c r="AL4" s="1"/>
      <c r="AM4" s="2"/>
      <c r="AN4" s="1">
        <v>45667</v>
      </c>
      <c r="AO4" s="2">
        <v>0.59781249999999997</v>
      </c>
      <c r="AP4">
        <v>2025</v>
      </c>
      <c r="AQ4">
        <v>2</v>
      </c>
      <c r="AR4">
        <v>2</v>
      </c>
      <c r="AS4">
        <v>7</v>
      </c>
      <c r="AT4">
        <v>7</v>
      </c>
      <c r="AU4" s="2">
        <v>45664.583333333336</v>
      </c>
      <c r="AV4">
        <v>135</v>
      </c>
      <c r="AW4" t="s">
        <v>411</v>
      </c>
      <c r="AY4" t="s">
        <v>417</v>
      </c>
      <c r="AZ4" t="s">
        <v>61</v>
      </c>
      <c r="BA4" s="49" t="s">
        <v>586</v>
      </c>
      <c r="BB4" t="s">
        <v>78</v>
      </c>
    </row>
    <row r="5" spans="1:54" hidden="1" x14ac:dyDescent="0.25">
      <c r="A5" t="s">
        <v>349</v>
      </c>
      <c r="B5" s="1">
        <v>45670</v>
      </c>
      <c r="C5" t="s">
        <v>55</v>
      </c>
      <c r="D5" s="50">
        <v>0.5</v>
      </c>
      <c r="E5" s="50">
        <v>0.50347222222222221</v>
      </c>
      <c r="F5" t="s">
        <v>56</v>
      </c>
      <c r="G5" t="s">
        <v>57</v>
      </c>
      <c r="H5" t="s">
        <v>350</v>
      </c>
      <c r="I5" t="s">
        <v>351</v>
      </c>
      <c r="J5" t="s">
        <v>352</v>
      </c>
      <c r="K5" t="s">
        <v>353</v>
      </c>
      <c r="L5" t="s">
        <v>354</v>
      </c>
      <c r="M5" t="s">
        <v>355</v>
      </c>
      <c r="N5" t="s">
        <v>356</v>
      </c>
      <c r="O5" t="s">
        <v>87</v>
      </c>
      <c r="P5">
        <v>8</v>
      </c>
      <c r="Q5" t="s">
        <v>357</v>
      </c>
      <c r="AB5" t="s">
        <v>163</v>
      </c>
      <c r="AC5" t="s">
        <v>69</v>
      </c>
      <c r="AD5" t="s">
        <v>358</v>
      </c>
      <c r="AE5" t="s">
        <v>359</v>
      </c>
      <c r="AF5" t="s">
        <v>360</v>
      </c>
      <c r="AG5" t="s">
        <v>128</v>
      </c>
      <c r="AH5" t="s">
        <v>361</v>
      </c>
      <c r="AI5">
        <v>9</v>
      </c>
      <c r="AJ5" s="1">
        <v>45670</v>
      </c>
      <c r="AK5" s="2">
        <v>0.50347222222222221</v>
      </c>
      <c r="AL5" s="1"/>
      <c r="AM5" s="2"/>
      <c r="AN5" s="1">
        <v>45670</v>
      </c>
      <c r="AO5" s="2">
        <v>0.50537037037037036</v>
      </c>
      <c r="AP5">
        <v>2025</v>
      </c>
      <c r="AQ5">
        <v>3</v>
      </c>
      <c r="AR5">
        <v>3</v>
      </c>
      <c r="AS5">
        <v>13</v>
      </c>
      <c r="AT5">
        <v>13</v>
      </c>
      <c r="AU5" s="2">
        <v>45670.503472222219</v>
      </c>
      <c r="AV5">
        <v>204</v>
      </c>
      <c r="AW5" t="s">
        <v>357</v>
      </c>
      <c r="AY5" t="s">
        <v>362</v>
      </c>
      <c r="AZ5" t="s">
        <v>363</v>
      </c>
      <c r="BA5" s="49" t="s">
        <v>586</v>
      </c>
      <c r="BB5" t="s">
        <v>78</v>
      </c>
    </row>
    <row r="6" spans="1:54" hidden="1" x14ac:dyDescent="0.25">
      <c r="A6" t="s">
        <v>364</v>
      </c>
      <c r="B6" s="1">
        <v>45671</v>
      </c>
      <c r="C6" t="s">
        <v>55</v>
      </c>
      <c r="D6" s="50">
        <v>0.625</v>
      </c>
      <c r="E6" s="50">
        <v>0.64067129629629627</v>
      </c>
      <c r="F6" t="s">
        <v>192</v>
      </c>
      <c r="G6" t="s">
        <v>57</v>
      </c>
      <c r="H6" t="s">
        <v>365</v>
      </c>
      <c r="I6" t="s">
        <v>366</v>
      </c>
      <c r="J6" t="s">
        <v>355</v>
      </c>
      <c r="K6" t="s">
        <v>367</v>
      </c>
      <c r="L6" t="s">
        <v>368</v>
      </c>
      <c r="M6" t="s">
        <v>369</v>
      </c>
      <c r="N6" t="s">
        <v>370</v>
      </c>
      <c r="O6" t="s">
        <v>371</v>
      </c>
      <c r="P6">
        <v>9</v>
      </c>
      <c r="Q6" t="s">
        <v>372</v>
      </c>
      <c r="T6" t="s">
        <v>373</v>
      </c>
      <c r="U6" t="s">
        <v>374</v>
      </c>
      <c r="V6" t="s">
        <v>375</v>
      </c>
      <c r="W6" t="s">
        <v>67</v>
      </c>
      <c r="AB6" t="s">
        <v>124</v>
      </c>
      <c r="AC6" t="s">
        <v>69</v>
      </c>
      <c r="AD6" t="s">
        <v>227</v>
      </c>
      <c r="AE6" t="s">
        <v>376</v>
      </c>
      <c r="AF6" t="s">
        <v>166</v>
      </c>
      <c r="AG6" t="s">
        <v>128</v>
      </c>
      <c r="AH6" t="s">
        <v>361</v>
      </c>
      <c r="AI6">
        <v>9</v>
      </c>
      <c r="AJ6" s="1">
        <v>45671</v>
      </c>
      <c r="AK6" s="2">
        <v>0.64067129629629627</v>
      </c>
      <c r="AL6" s="1"/>
      <c r="AM6" s="2"/>
      <c r="AN6" s="1">
        <v>45671</v>
      </c>
      <c r="AO6" s="2">
        <v>0.64067129629629627</v>
      </c>
      <c r="AP6">
        <v>2025</v>
      </c>
      <c r="AQ6">
        <v>3</v>
      </c>
      <c r="AR6">
        <v>3</v>
      </c>
      <c r="AS6">
        <v>14</v>
      </c>
      <c r="AT6">
        <v>14</v>
      </c>
      <c r="AU6" s="2">
        <v>45671.640277777777</v>
      </c>
      <c r="AV6">
        <v>450</v>
      </c>
      <c r="AW6" t="s">
        <v>372</v>
      </c>
      <c r="AX6" t="s">
        <v>377</v>
      </c>
      <c r="AY6" t="s">
        <v>61</v>
      </c>
      <c r="AZ6" t="s">
        <v>378</v>
      </c>
      <c r="BA6" s="49" t="s">
        <v>585</v>
      </c>
      <c r="BB6" t="s">
        <v>78</v>
      </c>
    </row>
    <row r="7" spans="1:54" hidden="1" x14ac:dyDescent="0.25">
      <c r="A7" t="s">
        <v>232</v>
      </c>
      <c r="B7" s="1">
        <v>45672</v>
      </c>
      <c r="C7" t="s">
        <v>55</v>
      </c>
      <c r="D7" s="50">
        <v>0.5</v>
      </c>
      <c r="E7" s="50">
        <v>0.53988425925925931</v>
      </c>
      <c r="F7" t="s">
        <v>169</v>
      </c>
      <c r="G7" t="s">
        <v>57</v>
      </c>
      <c r="H7" t="s">
        <v>233</v>
      </c>
      <c r="I7" t="s">
        <v>234</v>
      </c>
      <c r="J7" t="s">
        <v>221</v>
      </c>
      <c r="K7" t="s">
        <v>221</v>
      </c>
      <c r="L7" t="s">
        <v>61</v>
      </c>
      <c r="M7" t="s">
        <v>61</v>
      </c>
      <c r="N7" t="s">
        <v>235</v>
      </c>
      <c r="O7" t="s">
        <v>87</v>
      </c>
      <c r="P7">
        <v>8</v>
      </c>
      <c r="Q7" t="s">
        <v>236</v>
      </c>
      <c r="T7" t="s">
        <v>237</v>
      </c>
      <c r="U7" t="s">
        <v>65</v>
      </c>
      <c r="V7" t="s">
        <v>238</v>
      </c>
      <c r="W7" t="s">
        <v>67</v>
      </c>
      <c r="AB7" t="s">
        <v>124</v>
      </c>
      <c r="AC7" t="s">
        <v>69</v>
      </c>
      <c r="AD7" t="s">
        <v>239</v>
      </c>
      <c r="AE7" t="s">
        <v>240</v>
      </c>
      <c r="AF7" t="s">
        <v>72</v>
      </c>
      <c r="AG7" t="s">
        <v>73</v>
      </c>
      <c r="AH7" t="s">
        <v>229</v>
      </c>
      <c r="AI7">
        <v>9</v>
      </c>
      <c r="AJ7" s="1">
        <v>45672</v>
      </c>
      <c r="AK7" s="2">
        <v>0.53988425925925931</v>
      </c>
      <c r="AL7" s="1"/>
      <c r="AM7" s="2"/>
      <c r="AN7" s="1">
        <v>45672</v>
      </c>
      <c r="AO7" s="2">
        <v>0.53988425925925931</v>
      </c>
      <c r="AP7">
        <v>2025</v>
      </c>
      <c r="AQ7">
        <v>3</v>
      </c>
      <c r="AR7">
        <v>3</v>
      </c>
      <c r="AS7">
        <v>15</v>
      </c>
      <c r="AT7">
        <v>15</v>
      </c>
      <c r="AU7" s="2">
        <v>45672.539583333331</v>
      </c>
      <c r="AV7">
        <v>244</v>
      </c>
      <c r="AW7" t="s">
        <v>236</v>
      </c>
      <c r="AX7" t="s">
        <v>241</v>
      </c>
      <c r="AY7" t="s">
        <v>242</v>
      </c>
      <c r="AZ7" t="s">
        <v>243</v>
      </c>
      <c r="BA7" s="49" t="s">
        <v>585</v>
      </c>
      <c r="BB7" t="s">
        <v>78</v>
      </c>
    </row>
    <row r="8" spans="1:54" hidden="1" x14ac:dyDescent="0.25">
      <c r="A8" t="s">
        <v>134</v>
      </c>
      <c r="B8" s="1">
        <v>45673</v>
      </c>
      <c r="C8" t="s">
        <v>55</v>
      </c>
      <c r="D8" s="50">
        <v>0.5</v>
      </c>
      <c r="E8" s="50">
        <v>0.5</v>
      </c>
      <c r="F8" t="s">
        <v>115</v>
      </c>
      <c r="G8" t="s">
        <v>57</v>
      </c>
      <c r="H8" t="s">
        <v>135</v>
      </c>
      <c r="I8" t="s">
        <v>136</v>
      </c>
      <c r="J8" t="s">
        <v>137</v>
      </c>
      <c r="K8" t="s">
        <v>137</v>
      </c>
      <c r="L8" t="s">
        <v>61</v>
      </c>
      <c r="M8" t="s">
        <v>61</v>
      </c>
      <c r="N8" t="s">
        <v>138</v>
      </c>
      <c r="O8" t="s">
        <v>139</v>
      </c>
      <c r="P8">
        <v>7</v>
      </c>
      <c r="Q8" t="s">
        <v>140</v>
      </c>
      <c r="AB8" t="s">
        <v>68</v>
      </c>
      <c r="AC8" t="s">
        <v>69</v>
      </c>
      <c r="AD8" t="s">
        <v>141</v>
      </c>
      <c r="AE8" t="s">
        <v>71</v>
      </c>
      <c r="AF8" t="s">
        <v>72</v>
      </c>
      <c r="AG8" t="s">
        <v>73</v>
      </c>
      <c r="AH8" t="s">
        <v>142</v>
      </c>
      <c r="AI8">
        <v>9</v>
      </c>
      <c r="AJ8" s="1">
        <v>45673</v>
      </c>
      <c r="AK8" s="2">
        <v>0.5</v>
      </c>
      <c r="AL8" s="1">
        <v>45673</v>
      </c>
      <c r="AM8" s="2">
        <v>0.75</v>
      </c>
      <c r="AN8" s="1">
        <v>45673</v>
      </c>
      <c r="AO8" s="2">
        <v>0.81587962962962968</v>
      </c>
      <c r="AP8">
        <v>2025</v>
      </c>
      <c r="AQ8">
        <v>3</v>
      </c>
      <c r="AR8">
        <v>3</v>
      </c>
      <c r="AS8">
        <v>16</v>
      </c>
      <c r="AT8">
        <v>16</v>
      </c>
      <c r="AU8" s="2">
        <v>45673.5</v>
      </c>
      <c r="AV8">
        <v>30</v>
      </c>
      <c r="AW8" t="s">
        <v>140</v>
      </c>
      <c r="AY8" t="s">
        <v>143</v>
      </c>
      <c r="AZ8" t="s">
        <v>144</v>
      </c>
      <c r="BA8" s="49" t="s">
        <v>585</v>
      </c>
      <c r="BB8" t="s">
        <v>78</v>
      </c>
    </row>
    <row r="9" spans="1:54" hidden="1" x14ac:dyDescent="0.25">
      <c r="A9" t="s">
        <v>379</v>
      </c>
      <c r="B9" s="1">
        <v>45673</v>
      </c>
      <c r="C9" t="s">
        <v>100</v>
      </c>
      <c r="D9" s="50">
        <v>0.875</v>
      </c>
      <c r="E9" s="50">
        <v>0.87708333333333333</v>
      </c>
      <c r="F9" t="s">
        <v>115</v>
      </c>
      <c r="G9" t="s">
        <v>57</v>
      </c>
      <c r="H9" t="s">
        <v>380</v>
      </c>
      <c r="I9" t="s">
        <v>381</v>
      </c>
      <c r="J9" t="s">
        <v>355</v>
      </c>
      <c r="K9" t="s">
        <v>355</v>
      </c>
      <c r="L9" t="s">
        <v>61</v>
      </c>
      <c r="M9" t="s">
        <v>61</v>
      </c>
      <c r="N9" t="s">
        <v>382</v>
      </c>
      <c r="O9" t="s">
        <v>185</v>
      </c>
      <c r="P9">
        <v>9</v>
      </c>
      <c r="Q9" t="s">
        <v>383</v>
      </c>
      <c r="U9" t="s">
        <v>384</v>
      </c>
      <c r="V9" t="s">
        <v>385</v>
      </c>
      <c r="AB9" t="s">
        <v>68</v>
      </c>
      <c r="AC9" t="s">
        <v>69</v>
      </c>
      <c r="AD9" t="s">
        <v>92</v>
      </c>
      <c r="AE9" t="s">
        <v>93</v>
      </c>
      <c r="AF9" t="s">
        <v>386</v>
      </c>
      <c r="AG9" t="s">
        <v>203</v>
      </c>
      <c r="AH9" t="s">
        <v>361</v>
      </c>
      <c r="AI9">
        <v>9</v>
      </c>
      <c r="AJ9" s="1">
        <v>45673</v>
      </c>
      <c r="AK9" s="2">
        <v>0.87708333333333333</v>
      </c>
      <c r="AL9" s="1">
        <v>45673</v>
      </c>
      <c r="AM9" s="2">
        <v>0.88611111111111107</v>
      </c>
      <c r="AN9" s="1">
        <v>45674</v>
      </c>
      <c r="AO9" s="2">
        <v>0.51179398148148147</v>
      </c>
      <c r="AP9">
        <v>2025</v>
      </c>
      <c r="AQ9">
        <v>3</v>
      </c>
      <c r="AR9">
        <v>3</v>
      </c>
      <c r="AS9">
        <v>16</v>
      </c>
      <c r="AT9">
        <v>16</v>
      </c>
      <c r="AU9" s="2">
        <v>45673.877083333333</v>
      </c>
      <c r="AV9">
        <v>630</v>
      </c>
      <c r="AW9" t="s">
        <v>383</v>
      </c>
      <c r="AX9" t="s">
        <v>387</v>
      </c>
      <c r="AY9" t="s">
        <v>388</v>
      </c>
      <c r="AZ9" t="s">
        <v>389</v>
      </c>
      <c r="BA9" s="49" t="s">
        <v>585</v>
      </c>
      <c r="BB9" t="s">
        <v>113</v>
      </c>
    </row>
    <row r="10" spans="1:54" hidden="1" x14ac:dyDescent="0.25">
      <c r="A10" t="s">
        <v>244</v>
      </c>
      <c r="B10" s="1">
        <v>45678</v>
      </c>
      <c r="C10" t="s">
        <v>80</v>
      </c>
      <c r="D10" s="50">
        <v>0.79166666666666663</v>
      </c>
      <c r="E10" s="50">
        <v>0.79166666666666663</v>
      </c>
      <c r="F10" t="s">
        <v>192</v>
      </c>
      <c r="G10" t="s">
        <v>57</v>
      </c>
      <c r="H10" t="s">
        <v>245</v>
      </c>
      <c r="I10" t="s">
        <v>246</v>
      </c>
      <c r="J10" t="s">
        <v>221</v>
      </c>
      <c r="K10" t="s">
        <v>221</v>
      </c>
      <c r="L10" t="s">
        <v>61</v>
      </c>
      <c r="M10" t="s">
        <v>61</v>
      </c>
      <c r="N10" t="s">
        <v>247</v>
      </c>
      <c r="O10" t="s">
        <v>185</v>
      </c>
      <c r="P10">
        <v>9</v>
      </c>
      <c r="Q10" t="s">
        <v>248</v>
      </c>
      <c r="T10" t="s">
        <v>249</v>
      </c>
      <c r="U10" t="s">
        <v>65</v>
      </c>
      <c r="V10" t="s">
        <v>250</v>
      </c>
      <c r="W10" t="s">
        <v>67</v>
      </c>
      <c r="AB10" t="s">
        <v>251</v>
      </c>
      <c r="AC10" t="s">
        <v>69</v>
      </c>
      <c r="AD10" t="s">
        <v>252</v>
      </c>
      <c r="AE10" t="s">
        <v>214</v>
      </c>
      <c r="AF10" t="s">
        <v>166</v>
      </c>
      <c r="AG10" t="s">
        <v>73</v>
      </c>
      <c r="AH10" t="s">
        <v>229</v>
      </c>
      <c r="AI10">
        <v>9</v>
      </c>
      <c r="AJ10" s="1">
        <v>45678</v>
      </c>
      <c r="AK10" s="2">
        <v>0.79166666666666663</v>
      </c>
      <c r="AL10" s="1">
        <v>45679</v>
      </c>
      <c r="AM10" s="2">
        <v>0.13125000000000001</v>
      </c>
      <c r="AN10" s="1">
        <v>45679</v>
      </c>
      <c r="AO10" s="2">
        <v>0.13255787037037037</v>
      </c>
      <c r="AP10">
        <v>2025</v>
      </c>
      <c r="AQ10">
        <v>4</v>
      </c>
      <c r="AR10">
        <v>4</v>
      </c>
      <c r="AS10">
        <v>21</v>
      </c>
      <c r="AT10">
        <v>21</v>
      </c>
      <c r="AU10" s="2">
        <v>45678.791666666664</v>
      </c>
      <c r="AV10">
        <v>33</v>
      </c>
      <c r="AW10" t="s">
        <v>248</v>
      </c>
      <c r="AX10" t="s">
        <v>253</v>
      </c>
      <c r="AY10" t="s">
        <v>61</v>
      </c>
      <c r="AZ10" t="s">
        <v>61</v>
      </c>
      <c r="BA10" s="49" t="s">
        <v>584</v>
      </c>
      <c r="BB10" t="s">
        <v>98</v>
      </c>
    </row>
    <row r="11" spans="1:54" hidden="1" x14ac:dyDescent="0.25">
      <c r="A11" t="s">
        <v>254</v>
      </c>
      <c r="B11" s="1">
        <v>45679</v>
      </c>
      <c r="C11" t="s">
        <v>146</v>
      </c>
      <c r="D11" s="50">
        <v>0.33333333333333331</v>
      </c>
      <c r="E11" s="50">
        <v>0.33333333333333331</v>
      </c>
      <c r="F11" t="s">
        <v>169</v>
      </c>
      <c r="G11" t="s">
        <v>57</v>
      </c>
      <c r="H11" t="s">
        <v>255</v>
      </c>
      <c r="I11" t="s">
        <v>256</v>
      </c>
      <c r="J11" t="s">
        <v>221</v>
      </c>
      <c r="K11" t="s">
        <v>221</v>
      </c>
      <c r="L11" t="s">
        <v>61</v>
      </c>
      <c r="M11" t="s">
        <v>61</v>
      </c>
      <c r="N11" t="s">
        <v>257</v>
      </c>
      <c r="O11" t="s">
        <v>258</v>
      </c>
      <c r="P11">
        <v>5</v>
      </c>
      <c r="Q11" t="s">
        <v>259</v>
      </c>
      <c r="T11" t="s">
        <v>260</v>
      </c>
      <c r="U11" t="s">
        <v>261</v>
      </c>
      <c r="V11" t="s">
        <v>262</v>
      </c>
      <c r="W11" t="s">
        <v>67</v>
      </c>
      <c r="AB11" t="s">
        <v>124</v>
      </c>
      <c r="AC11" t="s">
        <v>69</v>
      </c>
      <c r="AD11" t="s">
        <v>252</v>
      </c>
      <c r="AE11" t="s">
        <v>214</v>
      </c>
      <c r="AF11" t="s">
        <v>127</v>
      </c>
      <c r="AG11" t="s">
        <v>73</v>
      </c>
      <c r="AH11" t="s">
        <v>229</v>
      </c>
      <c r="AI11">
        <v>9</v>
      </c>
      <c r="AJ11" s="1">
        <v>45679</v>
      </c>
      <c r="AK11" s="2">
        <v>0.33333333333333331</v>
      </c>
      <c r="AL11" s="1">
        <v>45679</v>
      </c>
      <c r="AM11" s="2">
        <v>0.80069444444444449</v>
      </c>
      <c r="AN11" s="1">
        <v>45679</v>
      </c>
      <c r="AO11" s="2">
        <v>0.80203703703703699</v>
      </c>
      <c r="AP11">
        <v>2025</v>
      </c>
      <c r="AQ11">
        <v>4</v>
      </c>
      <c r="AR11">
        <v>4</v>
      </c>
      <c r="AS11">
        <v>22</v>
      </c>
      <c r="AT11">
        <v>22</v>
      </c>
      <c r="AU11" s="2">
        <v>45679.333333333336</v>
      </c>
      <c r="AV11">
        <v>443</v>
      </c>
      <c r="AW11" t="s">
        <v>259</v>
      </c>
      <c r="AX11" t="s">
        <v>263</v>
      </c>
      <c r="AY11" t="s">
        <v>61</v>
      </c>
      <c r="AZ11" t="s">
        <v>61</v>
      </c>
      <c r="BA11" s="49" t="s">
        <v>584</v>
      </c>
      <c r="BB11" t="s">
        <v>155</v>
      </c>
    </row>
    <row r="12" spans="1:54" hidden="1" x14ac:dyDescent="0.25">
      <c r="A12" t="s">
        <v>418</v>
      </c>
      <c r="B12" s="1">
        <v>45680</v>
      </c>
      <c r="C12" t="s">
        <v>55</v>
      </c>
      <c r="D12" s="50">
        <v>0.625</v>
      </c>
      <c r="E12" s="50">
        <v>0.625</v>
      </c>
      <c r="F12" t="s">
        <v>115</v>
      </c>
      <c r="G12" t="s">
        <v>57</v>
      </c>
      <c r="H12" t="s">
        <v>419</v>
      </c>
      <c r="I12" t="s">
        <v>420</v>
      </c>
      <c r="J12" t="s">
        <v>421</v>
      </c>
      <c r="K12" t="s">
        <v>422</v>
      </c>
      <c r="L12" t="s">
        <v>409</v>
      </c>
      <c r="M12" t="s">
        <v>61</v>
      </c>
      <c r="N12" t="s">
        <v>423</v>
      </c>
      <c r="O12" t="s">
        <v>87</v>
      </c>
      <c r="P12">
        <v>8</v>
      </c>
      <c r="Q12" t="s">
        <v>424</v>
      </c>
      <c r="AB12" t="s">
        <v>425</v>
      </c>
      <c r="AC12" t="s">
        <v>69</v>
      </c>
      <c r="AD12" t="s">
        <v>360</v>
      </c>
      <c r="AE12" t="s">
        <v>426</v>
      </c>
      <c r="AF12" t="s">
        <v>415</v>
      </c>
      <c r="AG12" t="s">
        <v>427</v>
      </c>
      <c r="AI12">
        <v>9</v>
      </c>
      <c r="AJ12" s="1">
        <v>45680</v>
      </c>
      <c r="AK12" s="2">
        <v>0.625</v>
      </c>
      <c r="AL12" s="1"/>
      <c r="AM12" s="2"/>
      <c r="AN12" s="1">
        <v>45680</v>
      </c>
      <c r="AO12" s="2">
        <v>0.66545138888888888</v>
      </c>
      <c r="AP12">
        <v>2025</v>
      </c>
      <c r="AQ12">
        <v>4</v>
      </c>
      <c r="AR12">
        <v>4</v>
      </c>
      <c r="AS12">
        <v>23</v>
      </c>
      <c r="AT12">
        <v>23</v>
      </c>
      <c r="AU12" s="2">
        <v>45680.625</v>
      </c>
      <c r="AV12">
        <v>176</v>
      </c>
      <c r="AW12" t="s">
        <v>424</v>
      </c>
      <c r="AY12" t="s">
        <v>428</v>
      </c>
      <c r="AZ12" t="s">
        <v>61</v>
      </c>
      <c r="BA12" s="49" t="s">
        <v>584</v>
      </c>
      <c r="BB12" t="s">
        <v>78</v>
      </c>
    </row>
    <row r="13" spans="1:54" hidden="1" x14ac:dyDescent="0.25">
      <c r="A13" t="s">
        <v>145</v>
      </c>
      <c r="B13" s="1">
        <v>45682</v>
      </c>
      <c r="C13" t="s">
        <v>146</v>
      </c>
      <c r="D13" s="50">
        <v>0.45833333333333331</v>
      </c>
      <c r="E13" s="50">
        <v>0.45833333333333331</v>
      </c>
      <c r="F13" t="s">
        <v>81</v>
      </c>
      <c r="G13" t="s">
        <v>57</v>
      </c>
      <c r="H13" t="s">
        <v>147</v>
      </c>
      <c r="I13" t="s">
        <v>148</v>
      </c>
      <c r="J13" t="s">
        <v>137</v>
      </c>
      <c r="K13" t="s">
        <v>137</v>
      </c>
      <c r="L13" t="s">
        <v>61</v>
      </c>
      <c r="M13" t="s">
        <v>61</v>
      </c>
      <c r="N13" t="s">
        <v>149</v>
      </c>
      <c r="O13" t="s">
        <v>150</v>
      </c>
      <c r="P13">
        <v>5</v>
      </c>
      <c r="Q13" t="s">
        <v>151</v>
      </c>
      <c r="AB13" t="s">
        <v>91</v>
      </c>
      <c r="AC13" t="s">
        <v>69</v>
      </c>
      <c r="AD13" t="s">
        <v>152</v>
      </c>
      <c r="AE13" t="s">
        <v>93</v>
      </c>
      <c r="AF13" t="s">
        <v>72</v>
      </c>
      <c r="AG13" t="s">
        <v>128</v>
      </c>
      <c r="AH13" t="s">
        <v>142</v>
      </c>
      <c r="AI13">
        <v>9</v>
      </c>
      <c r="AJ13" s="1">
        <v>45682</v>
      </c>
      <c r="AK13" s="2">
        <v>0.45833333333333331</v>
      </c>
      <c r="AL13" s="1">
        <v>45682</v>
      </c>
      <c r="AM13" s="2">
        <v>0.58333333333333337</v>
      </c>
      <c r="AN13" s="1">
        <v>45682</v>
      </c>
      <c r="AO13" s="2">
        <v>0.58054398148148145</v>
      </c>
      <c r="AP13">
        <v>2025</v>
      </c>
      <c r="AQ13">
        <v>4</v>
      </c>
      <c r="AR13">
        <v>4</v>
      </c>
      <c r="AS13">
        <v>25</v>
      </c>
      <c r="AT13">
        <v>25</v>
      </c>
      <c r="AU13" s="2">
        <v>45682.458333333336</v>
      </c>
      <c r="AV13">
        <v>60</v>
      </c>
      <c r="AW13" t="s">
        <v>151</v>
      </c>
      <c r="AY13" t="s">
        <v>153</v>
      </c>
      <c r="AZ13" t="s">
        <v>154</v>
      </c>
      <c r="BA13" s="49" t="s">
        <v>584</v>
      </c>
      <c r="BB13" t="s">
        <v>155</v>
      </c>
    </row>
    <row r="14" spans="1:54" hidden="1" x14ac:dyDescent="0.25">
      <c r="A14" t="s">
        <v>79</v>
      </c>
      <c r="B14" s="1">
        <v>45682</v>
      </c>
      <c r="C14" t="s">
        <v>80</v>
      </c>
      <c r="D14" s="50">
        <v>0.75</v>
      </c>
      <c r="E14" s="50">
        <v>0.76875000000000004</v>
      </c>
      <c r="F14" t="s">
        <v>81</v>
      </c>
      <c r="G14" t="s">
        <v>57</v>
      </c>
      <c r="H14" t="s">
        <v>82</v>
      </c>
      <c r="I14" t="s">
        <v>83</v>
      </c>
      <c r="J14" t="s">
        <v>60</v>
      </c>
      <c r="K14" t="s">
        <v>84</v>
      </c>
      <c r="L14" t="s">
        <v>85</v>
      </c>
      <c r="M14" t="s">
        <v>61</v>
      </c>
      <c r="N14" t="s">
        <v>86</v>
      </c>
      <c r="O14" t="s">
        <v>87</v>
      </c>
      <c r="P14">
        <v>8</v>
      </c>
      <c r="Q14" t="s">
        <v>88</v>
      </c>
      <c r="T14" t="s">
        <v>89</v>
      </c>
      <c r="U14" t="s">
        <v>65</v>
      </c>
      <c r="V14" t="s">
        <v>90</v>
      </c>
      <c r="W14" t="s">
        <v>67</v>
      </c>
      <c r="AB14" t="s">
        <v>91</v>
      </c>
      <c r="AC14" t="s">
        <v>69</v>
      </c>
      <c r="AD14" t="s">
        <v>92</v>
      </c>
      <c r="AE14" t="s">
        <v>93</v>
      </c>
      <c r="AF14" t="s">
        <v>94</v>
      </c>
      <c r="AG14" t="s">
        <v>95</v>
      </c>
      <c r="AH14" t="s">
        <v>74</v>
      </c>
      <c r="AI14">
        <v>9</v>
      </c>
      <c r="AJ14" s="1">
        <v>45682</v>
      </c>
      <c r="AK14" s="2">
        <v>0.76875000000000004</v>
      </c>
      <c r="AL14" s="1"/>
      <c r="AM14" s="2"/>
      <c r="AN14" s="1">
        <v>45683</v>
      </c>
      <c r="AO14" s="2">
        <v>0.44056712962962963</v>
      </c>
      <c r="AP14">
        <v>2025</v>
      </c>
      <c r="AQ14">
        <v>4</v>
      </c>
      <c r="AR14">
        <v>4</v>
      </c>
      <c r="AS14">
        <v>25</v>
      </c>
      <c r="AT14">
        <v>25</v>
      </c>
      <c r="AU14" s="2">
        <v>45682.768750000003</v>
      </c>
      <c r="AV14">
        <v>206</v>
      </c>
      <c r="AW14" t="s">
        <v>88</v>
      </c>
      <c r="AX14" t="s">
        <v>96</v>
      </c>
      <c r="AY14" t="s">
        <v>97</v>
      </c>
      <c r="AZ14" t="s">
        <v>61</v>
      </c>
      <c r="BA14" s="49" t="s">
        <v>584</v>
      </c>
      <c r="BB14" t="s">
        <v>98</v>
      </c>
    </row>
    <row r="15" spans="1:54" hidden="1" x14ac:dyDescent="0.25">
      <c r="A15" t="s">
        <v>99</v>
      </c>
      <c r="B15" s="1">
        <v>45683</v>
      </c>
      <c r="C15" t="s">
        <v>100</v>
      </c>
      <c r="D15" s="50">
        <v>0.83333333333333337</v>
      </c>
      <c r="E15" s="50">
        <v>0.84027777777777779</v>
      </c>
      <c r="F15" t="s">
        <v>101</v>
      </c>
      <c r="G15" t="s">
        <v>57</v>
      </c>
      <c r="H15" t="s">
        <v>102</v>
      </c>
      <c r="I15" t="s">
        <v>103</v>
      </c>
      <c r="J15" t="s">
        <v>60</v>
      </c>
      <c r="K15" t="s">
        <v>84</v>
      </c>
      <c r="L15" t="s">
        <v>85</v>
      </c>
      <c r="M15" t="s">
        <v>61</v>
      </c>
      <c r="N15" t="s">
        <v>104</v>
      </c>
      <c r="O15" t="s">
        <v>105</v>
      </c>
      <c r="P15">
        <v>9</v>
      </c>
      <c r="Q15" t="s">
        <v>106</v>
      </c>
      <c r="T15" t="s">
        <v>107</v>
      </c>
      <c r="U15" t="s">
        <v>65</v>
      </c>
      <c r="V15" t="s">
        <v>108</v>
      </c>
      <c r="W15" t="s">
        <v>67</v>
      </c>
      <c r="AB15" t="s">
        <v>68</v>
      </c>
      <c r="AC15" t="s">
        <v>69</v>
      </c>
      <c r="AD15" t="s">
        <v>109</v>
      </c>
      <c r="AE15" t="s">
        <v>71</v>
      </c>
      <c r="AF15" t="s">
        <v>110</v>
      </c>
      <c r="AG15" t="s">
        <v>73</v>
      </c>
      <c r="AH15" t="s">
        <v>74</v>
      </c>
      <c r="AI15">
        <v>9</v>
      </c>
      <c r="AJ15" s="1">
        <v>45683</v>
      </c>
      <c r="AK15" s="2">
        <v>0.84027777777777779</v>
      </c>
      <c r="AL15" s="1">
        <v>45683</v>
      </c>
      <c r="AM15" s="2">
        <v>0.84652777777777777</v>
      </c>
      <c r="AN15" s="1">
        <v>45683</v>
      </c>
      <c r="AO15" s="2">
        <v>0.85009259259259262</v>
      </c>
      <c r="AP15">
        <v>2025</v>
      </c>
      <c r="AQ15">
        <v>5</v>
      </c>
      <c r="AR15">
        <v>5</v>
      </c>
      <c r="AS15">
        <v>26</v>
      </c>
      <c r="AT15">
        <v>26</v>
      </c>
      <c r="AU15" s="2">
        <v>45683.840277777781</v>
      </c>
      <c r="AV15">
        <v>5</v>
      </c>
      <c r="AW15" t="s">
        <v>106</v>
      </c>
      <c r="AX15" t="s">
        <v>111</v>
      </c>
      <c r="AY15" t="s">
        <v>61</v>
      </c>
      <c r="AZ15" t="s">
        <v>112</v>
      </c>
      <c r="BA15" s="49" t="s">
        <v>584</v>
      </c>
      <c r="BB15" t="s">
        <v>113</v>
      </c>
    </row>
    <row r="16" spans="1:54" hidden="1" x14ac:dyDescent="0.25">
      <c r="A16" t="s">
        <v>264</v>
      </c>
      <c r="B16" s="1">
        <v>45685</v>
      </c>
      <c r="C16" t="s">
        <v>55</v>
      </c>
      <c r="D16" s="50">
        <v>0.625</v>
      </c>
      <c r="E16" s="50">
        <v>0.625</v>
      </c>
      <c r="F16" t="s">
        <v>192</v>
      </c>
      <c r="G16" t="s">
        <v>57</v>
      </c>
      <c r="H16" t="s">
        <v>265</v>
      </c>
      <c r="I16" t="s">
        <v>266</v>
      </c>
      <c r="J16" t="s">
        <v>221</v>
      </c>
      <c r="K16" t="s">
        <v>267</v>
      </c>
      <c r="L16" t="s">
        <v>85</v>
      </c>
      <c r="M16" t="s">
        <v>61</v>
      </c>
      <c r="N16" t="s">
        <v>268</v>
      </c>
      <c r="O16" t="s">
        <v>269</v>
      </c>
      <c r="P16">
        <v>6</v>
      </c>
      <c r="Q16" t="s">
        <v>270</v>
      </c>
      <c r="T16" t="s">
        <v>271</v>
      </c>
      <c r="U16" t="s">
        <v>272</v>
      </c>
      <c r="V16" t="s">
        <v>273</v>
      </c>
      <c r="W16" t="s">
        <v>67</v>
      </c>
      <c r="AB16" t="s">
        <v>124</v>
      </c>
      <c r="AC16" t="s">
        <v>69</v>
      </c>
      <c r="AD16" t="s">
        <v>252</v>
      </c>
      <c r="AE16" t="s">
        <v>214</v>
      </c>
      <c r="AF16" t="s">
        <v>72</v>
      </c>
      <c r="AG16" t="s">
        <v>274</v>
      </c>
      <c r="AH16" t="s">
        <v>229</v>
      </c>
      <c r="AI16">
        <v>9</v>
      </c>
      <c r="AJ16" s="1">
        <v>45685</v>
      </c>
      <c r="AK16" s="2">
        <v>0.625</v>
      </c>
      <c r="AL16" s="1">
        <v>45686</v>
      </c>
      <c r="AM16" s="2">
        <v>0.91736111111111107</v>
      </c>
      <c r="AN16" s="1">
        <v>45686</v>
      </c>
      <c r="AO16" s="2">
        <v>0.91833333333333333</v>
      </c>
      <c r="AP16">
        <v>2025</v>
      </c>
      <c r="AQ16">
        <v>5</v>
      </c>
      <c r="AR16">
        <v>5</v>
      </c>
      <c r="AS16">
        <v>28</v>
      </c>
      <c r="AT16">
        <v>28</v>
      </c>
      <c r="AU16" s="2">
        <v>45685.625</v>
      </c>
      <c r="AV16">
        <v>119</v>
      </c>
      <c r="AW16" t="s">
        <v>270</v>
      </c>
      <c r="AX16" t="s">
        <v>275</v>
      </c>
      <c r="AY16" t="s">
        <v>61</v>
      </c>
      <c r="AZ16" t="s">
        <v>276</v>
      </c>
      <c r="BA16" s="49" t="s">
        <v>583</v>
      </c>
      <c r="BB16" t="s">
        <v>78</v>
      </c>
    </row>
    <row r="17" spans="1:54" hidden="1" x14ac:dyDescent="0.25">
      <c r="A17" t="s">
        <v>156</v>
      </c>
      <c r="B17" s="1">
        <v>45688</v>
      </c>
      <c r="C17" t="s">
        <v>146</v>
      </c>
      <c r="D17" s="50">
        <v>0.45833333333333331</v>
      </c>
      <c r="E17" s="50">
        <v>0.49988425925925928</v>
      </c>
      <c r="F17" t="s">
        <v>157</v>
      </c>
      <c r="G17" t="s">
        <v>57</v>
      </c>
      <c r="H17" t="s">
        <v>158</v>
      </c>
      <c r="I17" t="s">
        <v>159</v>
      </c>
      <c r="J17" t="s">
        <v>137</v>
      </c>
      <c r="K17" t="s">
        <v>137</v>
      </c>
      <c r="L17" t="s">
        <v>61</v>
      </c>
      <c r="M17" t="s">
        <v>61</v>
      </c>
      <c r="N17" t="s">
        <v>160</v>
      </c>
      <c r="O17" t="s">
        <v>161</v>
      </c>
      <c r="P17">
        <v>8</v>
      </c>
      <c r="Q17" t="s">
        <v>162</v>
      </c>
      <c r="AB17" t="s">
        <v>163</v>
      </c>
      <c r="AC17" t="s">
        <v>69</v>
      </c>
      <c r="AD17" t="s">
        <v>164</v>
      </c>
      <c r="AE17" t="s">
        <v>165</v>
      </c>
      <c r="AF17" t="s">
        <v>166</v>
      </c>
      <c r="AG17" t="s">
        <v>73</v>
      </c>
      <c r="AH17" t="s">
        <v>142</v>
      </c>
      <c r="AI17">
        <v>9</v>
      </c>
      <c r="AJ17" s="1">
        <v>45688</v>
      </c>
      <c r="AK17" s="2">
        <v>0.49988425925925928</v>
      </c>
      <c r="AL17" s="1"/>
      <c r="AM17" s="2"/>
      <c r="AN17" s="1">
        <v>45688</v>
      </c>
      <c r="AO17" s="2">
        <v>0.49988425925925928</v>
      </c>
      <c r="AP17">
        <v>2025</v>
      </c>
      <c r="AQ17">
        <v>5</v>
      </c>
      <c r="AR17">
        <v>5</v>
      </c>
      <c r="AS17">
        <v>31</v>
      </c>
      <c r="AT17">
        <v>31</v>
      </c>
      <c r="AU17" s="2">
        <v>45688.499305555553</v>
      </c>
      <c r="AV17">
        <v>292</v>
      </c>
      <c r="AW17" t="s">
        <v>162</v>
      </c>
      <c r="AY17" t="s">
        <v>61</v>
      </c>
      <c r="AZ17" t="s">
        <v>61</v>
      </c>
      <c r="BA17" s="49" t="s">
        <v>583</v>
      </c>
      <c r="BB17" t="s">
        <v>155</v>
      </c>
    </row>
    <row r="18" spans="1:54" hidden="1" x14ac:dyDescent="0.25">
      <c r="A18" t="s">
        <v>313</v>
      </c>
      <c r="B18" s="1">
        <v>45688</v>
      </c>
      <c r="C18" t="s">
        <v>55</v>
      </c>
      <c r="D18" s="50">
        <v>0.5</v>
      </c>
      <c r="E18" s="50">
        <v>0.5</v>
      </c>
      <c r="F18" t="s">
        <v>157</v>
      </c>
      <c r="G18" t="s">
        <v>57</v>
      </c>
      <c r="H18" t="s">
        <v>314</v>
      </c>
      <c r="I18" t="s">
        <v>315</v>
      </c>
      <c r="J18" t="s">
        <v>221</v>
      </c>
      <c r="K18" t="s">
        <v>221</v>
      </c>
      <c r="L18" t="s">
        <v>61</v>
      </c>
      <c r="M18" t="s">
        <v>61</v>
      </c>
      <c r="N18" t="s">
        <v>316</v>
      </c>
      <c r="O18" t="s">
        <v>258</v>
      </c>
      <c r="P18">
        <v>5</v>
      </c>
      <c r="Q18" t="s">
        <v>317</v>
      </c>
      <c r="T18" t="s">
        <v>318</v>
      </c>
      <c r="V18" t="s">
        <v>238</v>
      </c>
      <c r="W18" t="s">
        <v>67</v>
      </c>
      <c r="AB18" t="s">
        <v>124</v>
      </c>
      <c r="AC18" t="s">
        <v>69</v>
      </c>
      <c r="AD18" t="s">
        <v>213</v>
      </c>
      <c r="AE18" t="s">
        <v>214</v>
      </c>
      <c r="AF18" t="s">
        <v>110</v>
      </c>
      <c r="AG18" t="s">
        <v>73</v>
      </c>
      <c r="AH18" t="s">
        <v>229</v>
      </c>
      <c r="AI18">
        <v>9</v>
      </c>
      <c r="AJ18" s="1">
        <v>45688</v>
      </c>
      <c r="AK18" s="2">
        <v>0.5</v>
      </c>
      <c r="AL18" s="1">
        <v>45695</v>
      </c>
      <c r="AM18" s="2">
        <v>0.54166666666666663</v>
      </c>
      <c r="AN18" s="1">
        <v>45696</v>
      </c>
      <c r="AO18" s="2">
        <v>0.3903240740740741</v>
      </c>
      <c r="AP18">
        <v>2025</v>
      </c>
      <c r="AQ18">
        <v>5</v>
      </c>
      <c r="AR18">
        <v>5</v>
      </c>
      <c r="AS18">
        <v>31</v>
      </c>
      <c r="AT18">
        <v>31</v>
      </c>
      <c r="AU18" s="2">
        <v>45688.5</v>
      </c>
      <c r="AV18">
        <v>535</v>
      </c>
      <c r="AW18" t="s">
        <v>317</v>
      </c>
      <c r="AX18" t="s">
        <v>319</v>
      </c>
      <c r="AY18" t="s">
        <v>61</v>
      </c>
      <c r="AZ18" t="s">
        <v>320</v>
      </c>
      <c r="BA18" s="49" t="s">
        <v>583</v>
      </c>
      <c r="BB18" t="s">
        <v>78</v>
      </c>
    </row>
    <row r="19" spans="1:54" hidden="1" x14ac:dyDescent="0.25">
      <c r="A19" t="s">
        <v>277</v>
      </c>
      <c r="B19" s="1">
        <v>45689</v>
      </c>
      <c r="C19" t="s">
        <v>168</v>
      </c>
      <c r="D19" s="50">
        <v>4.1666666666666664E-2</v>
      </c>
      <c r="E19" s="50">
        <v>4.1666666666666664E-2</v>
      </c>
      <c r="F19" t="s">
        <v>81</v>
      </c>
      <c r="G19" t="s">
        <v>116</v>
      </c>
      <c r="H19" t="s">
        <v>278</v>
      </c>
      <c r="I19" t="s">
        <v>279</v>
      </c>
      <c r="J19" t="s">
        <v>221</v>
      </c>
      <c r="K19" t="s">
        <v>221</v>
      </c>
      <c r="L19" t="s">
        <v>61</v>
      </c>
      <c r="M19" t="s">
        <v>61</v>
      </c>
      <c r="N19" t="s">
        <v>280</v>
      </c>
      <c r="O19" t="s">
        <v>281</v>
      </c>
      <c r="P19">
        <v>6</v>
      </c>
      <c r="Q19" t="s">
        <v>282</v>
      </c>
      <c r="T19" t="s">
        <v>283</v>
      </c>
      <c r="U19" t="s">
        <v>122</v>
      </c>
      <c r="V19" t="s">
        <v>284</v>
      </c>
      <c r="W19" t="s">
        <v>67</v>
      </c>
      <c r="AB19" t="s">
        <v>124</v>
      </c>
      <c r="AC19" t="s">
        <v>69</v>
      </c>
      <c r="AD19" t="s">
        <v>252</v>
      </c>
      <c r="AE19" t="s">
        <v>214</v>
      </c>
      <c r="AF19" t="s">
        <v>127</v>
      </c>
      <c r="AG19" t="s">
        <v>73</v>
      </c>
      <c r="AH19" t="s">
        <v>229</v>
      </c>
      <c r="AI19">
        <v>9</v>
      </c>
      <c r="AJ19" s="1">
        <v>45689</v>
      </c>
      <c r="AK19" s="2">
        <v>4.1666666666666664E-2</v>
      </c>
      <c r="AL19" s="1"/>
      <c r="AM19" s="2">
        <v>0.10416666666666667</v>
      </c>
      <c r="AN19" s="1">
        <v>45689</v>
      </c>
      <c r="AO19" s="2">
        <v>0.11982638888888889</v>
      </c>
      <c r="AP19">
        <v>2025</v>
      </c>
      <c r="AQ19">
        <v>5</v>
      </c>
      <c r="AR19">
        <v>1</v>
      </c>
      <c r="AS19">
        <v>1</v>
      </c>
      <c r="AT19">
        <v>32</v>
      </c>
      <c r="AU19" s="2">
        <v>45689.041666666664</v>
      </c>
      <c r="AV19">
        <v>453</v>
      </c>
      <c r="AW19" t="s">
        <v>282</v>
      </c>
      <c r="AX19" t="s">
        <v>285</v>
      </c>
      <c r="AY19" t="s">
        <v>61</v>
      </c>
      <c r="AZ19" t="s">
        <v>286</v>
      </c>
      <c r="BA19" s="49" t="s">
        <v>583</v>
      </c>
      <c r="BB19" t="s">
        <v>179</v>
      </c>
    </row>
    <row r="20" spans="1:54" hidden="1" x14ac:dyDescent="0.25">
      <c r="A20" t="s">
        <v>390</v>
      </c>
      <c r="B20" s="1">
        <v>45690</v>
      </c>
      <c r="C20" t="s">
        <v>80</v>
      </c>
      <c r="D20" s="50">
        <v>0.70833333333333337</v>
      </c>
      <c r="E20" s="50">
        <v>0.72569444444444442</v>
      </c>
      <c r="F20" t="s">
        <v>101</v>
      </c>
      <c r="G20" t="s">
        <v>116</v>
      </c>
      <c r="H20" t="s">
        <v>302</v>
      </c>
      <c r="I20" t="s">
        <v>391</v>
      </c>
      <c r="J20" t="s">
        <v>183</v>
      </c>
      <c r="K20" t="s">
        <v>392</v>
      </c>
      <c r="L20" t="s">
        <v>355</v>
      </c>
      <c r="M20" t="s">
        <v>61</v>
      </c>
      <c r="N20" t="s">
        <v>393</v>
      </c>
      <c r="O20" t="s">
        <v>150</v>
      </c>
      <c r="P20">
        <v>5</v>
      </c>
      <c r="Q20" t="s">
        <v>394</v>
      </c>
      <c r="AB20" t="s">
        <v>68</v>
      </c>
      <c r="AC20" t="s">
        <v>69</v>
      </c>
      <c r="AD20" t="s">
        <v>109</v>
      </c>
      <c r="AE20" t="s">
        <v>71</v>
      </c>
      <c r="AF20" t="s">
        <v>187</v>
      </c>
      <c r="AG20" t="s">
        <v>95</v>
      </c>
      <c r="AI20">
        <v>9</v>
      </c>
      <c r="AJ20" s="1">
        <v>45690</v>
      </c>
      <c r="AK20" s="2">
        <v>0.72569444444444442</v>
      </c>
      <c r="AL20" s="1">
        <v>45690</v>
      </c>
      <c r="AM20" s="2">
        <v>0.75</v>
      </c>
      <c r="AN20" s="1">
        <v>45691</v>
      </c>
      <c r="AO20" s="2">
        <v>0.50143518518518515</v>
      </c>
      <c r="AP20">
        <v>2025</v>
      </c>
      <c r="AQ20">
        <v>6</v>
      </c>
      <c r="AR20">
        <v>2</v>
      </c>
      <c r="AS20">
        <v>2</v>
      </c>
      <c r="AT20">
        <v>33</v>
      </c>
      <c r="AU20" s="2">
        <v>45690.725694444445</v>
      </c>
      <c r="AV20">
        <v>144</v>
      </c>
      <c r="AW20" t="s">
        <v>394</v>
      </c>
      <c r="AY20" t="s">
        <v>395</v>
      </c>
      <c r="AZ20" t="s">
        <v>61</v>
      </c>
      <c r="BA20" s="49" t="s">
        <v>583</v>
      </c>
      <c r="BB20" t="s">
        <v>98</v>
      </c>
    </row>
    <row r="21" spans="1:54" hidden="1" x14ac:dyDescent="0.25">
      <c r="A21" t="s">
        <v>396</v>
      </c>
      <c r="B21" s="1">
        <v>45691</v>
      </c>
      <c r="C21" t="s">
        <v>80</v>
      </c>
      <c r="D21" s="50">
        <v>0.66666666666666663</v>
      </c>
      <c r="E21" s="50">
        <v>0.694849537037037</v>
      </c>
      <c r="F21" t="s">
        <v>56</v>
      </c>
      <c r="G21" t="s">
        <v>116</v>
      </c>
      <c r="H21" t="s">
        <v>365</v>
      </c>
      <c r="I21" t="s">
        <v>397</v>
      </c>
      <c r="J21" t="s">
        <v>355</v>
      </c>
      <c r="K21" t="s">
        <v>355</v>
      </c>
      <c r="L21" t="s">
        <v>61</v>
      </c>
      <c r="M21" t="s">
        <v>61</v>
      </c>
      <c r="N21" t="s">
        <v>398</v>
      </c>
      <c r="O21" t="s">
        <v>371</v>
      </c>
      <c r="P21">
        <v>9</v>
      </c>
      <c r="Q21" t="s">
        <v>399</v>
      </c>
      <c r="AB21" t="s">
        <v>91</v>
      </c>
      <c r="AC21" t="s">
        <v>69</v>
      </c>
      <c r="AD21" t="s">
        <v>141</v>
      </c>
      <c r="AE21" t="s">
        <v>71</v>
      </c>
      <c r="AF21" t="s">
        <v>110</v>
      </c>
      <c r="AG21" t="s">
        <v>73</v>
      </c>
      <c r="AH21" t="s">
        <v>361</v>
      </c>
      <c r="AI21">
        <v>9</v>
      </c>
      <c r="AJ21" s="1"/>
      <c r="AK21" s="2"/>
      <c r="AL21" s="1"/>
      <c r="AM21" s="2"/>
      <c r="AN21" s="1">
        <v>45691</v>
      </c>
      <c r="AO21" s="2">
        <v>0.694849537037037</v>
      </c>
      <c r="AP21">
        <v>2025</v>
      </c>
      <c r="AQ21">
        <v>6</v>
      </c>
      <c r="AR21">
        <v>2</v>
      </c>
      <c r="AS21">
        <v>3</v>
      </c>
      <c r="AT21">
        <v>34</v>
      </c>
      <c r="AU21" s="2">
        <v>45691.694444444445</v>
      </c>
      <c r="AV21">
        <v>400</v>
      </c>
      <c r="AW21" t="s">
        <v>399</v>
      </c>
      <c r="AY21" t="s">
        <v>400</v>
      </c>
      <c r="AZ21" t="s">
        <v>401</v>
      </c>
      <c r="BA21" s="49" t="s">
        <v>583</v>
      </c>
      <c r="BB21" t="s">
        <v>98</v>
      </c>
    </row>
    <row r="22" spans="1:54" hidden="1" x14ac:dyDescent="0.25">
      <c r="A22" t="s">
        <v>287</v>
      </c>
      <c r="B22" s="1">
        <v>45691</v>
      </c>
      <c r="C22" t="s">
        <v>80</v>
      </c>
      <c r="D22" s="50">
        <v>0.75</v>
      </c>
      <c r="E22" s="50">
        <v>0.77083333333333337</v>
      </c>
      <c r="F22" t="s">
        <v>56</v>
      </c>
      <c r="G22" t="s">
        <v>116</v>
      </c>
      <c r="H22" t="s">
        <v>288</v>
      </c>
      <c r="I22" t="s">
        <v>289</v>
      </c>
      <c r="J22" t="s">
        <v>221</v>
      </c>
      <c r="K22" t="s">
        <v>221</v>
      </c>
      <c r="L22" t="s">
        <v>61</v>
      </c>
      <c r="M22" t="s">
        <v>61</v>
      </c>
      <c r="N22" t="s">
        <v>290</v>
      </c>
      <c r="O22" t="s">
        <v>291</v>
      </c>
      <c r="P22">
        <v>8</v>
      </c>
      <c r="Q22" t="s">
        <v>292</v>
      </c>
      <c r="T22" t="s">
        <v>293</v>
      </c>
      <c r="U22" t="s">
        <v>294</v>
      </c>
      <c r="V22" t="s">
        <v>295</v>
      </c>
      <c r="W22" t="s">
        <v>296</v>
      </c>
      <c r="AB22" t="s">
        <v>68</v>
      </c>
      <c r="AC22" t="s">
        <v>69</v>
      </c>
      <c r="AD22" t="s">
        <v>109</v>
      </c>
      <c r="AE22" t="s">
        <v>71</v>
      </c>
      <c r="AF22" t="s">
        <v>72</v>
      </c>
      <c r="AG22" t="s">
        <v>203</v>
      </c>
      <c r="AH22" t="s">
        <v>229</v>
      </c>
      <c r="AI22">
        <v>9</v>
      </c>
      <c r="AJ22" s="1">
        <v>45691</v>
      </c>
      <c r="AK22" s="2">
        <v>0.77083333333333337</v>
      </c>
      <c r="AL22" s="1">
        <v>45692</v>
      </c>
      <c r="AM22" s="2">
        <v>0.79166666666666663</v>
      </c>
      <c r="AN22" s="1">
        <v>45692</v>
      </c>
      <c r="AO22" s="2">
        <v>0.53023148148148147</v>
      </c>
      <c r="AP22">
        <v>2025</v>
      </c>
      <c r="AQ22">
        <v>6</v>
      </c>
      <c r="AR22">
        <v>2</v>
      </c>
      <c r="AS22">
        <v>3</v>
      </c>
      <c r="AT22">
        <v>34</v>
      </c>
      <c r="AU22" s="2">
        <v>45691.770833333336</v>
      </c>
      <c r="AV22">
        <v>55</v>
      </c>
      <c r="AW22" t="s">
        <v>292</v>
      </c>
      <c r="AX22" t="s">
        <v>297</v>
      </c>
      <c r="AY22" t="s">
        <v>298</v>
      </c>
      <c r="AZ22" t="s">
        <v>299</v>
      </c>
      <c r="BA22" s="49" t="s">
        <v>583</v>
      </c>
      <c r="BB22" t="s">
        <v>98</v>
      </c>
    </row>
    <row r="23" spans="1:54" hidden="1" x14ac:dyDescent="0.25">
      <c r="A23" t="s">
        <v>167</v>
      </c>
      <c r="B23" s="1">
        <v>45693</v>
      </c>
      <c r="C23" t="s">
        <v>168</v>
      </c>
      <c r="D23" s="50">
        <v>8.3333333333333329E-2</v>
      </c>
      <c r="E23" s="50">
        <v>0.12291666666666666</v>
      </c>
      <c r="F23" t="s">
        <v>169</v>
      </c>
      <c r="G23" t="s">
        <v>116</v>
      </c>
      <c r="H23" t="s">
        <v>170</v>
      </c>
      <c r="I23" t="s">
        <v>171</v>
      </c>
      <c r="J23" t="s">
        <v>172</v>
      </c>
      <c r="K23" t="s">
        <v>173</v>
      </c>
      <c r="L23" t="s">
        <v>174</v>
      </c>
      <c r="M23" t="s">
        <v>61</v>
      </c>
      <c r="N23" t="s">
        <v>175</v>
      </c>
      <c r="O23" t="s">
        <v>161</v>
      </c>
      <c r="P23">
        <v>8</v>
      </c>
      <c r="Q23" t="s">
        <v>176</v>
      </c>
      <c r="AB23" t="s">
        <v>124</v>
      </c>
      <c r="AC23" t="s">
        <v>69</v>
      </c>
      <c r="AD23" t="s">
        <v>177</v>
      </c>
      <c r="AE23" t="s">
        <v>93</v>
      </c>
      <c r="AF23" t="s">
        <v>178</v>
      </c>
      <c r="AG23" t="s">
        <v>128</v>
      </c>
      <c r="AH23" t="s">
        <v>142</v>
      </c>
      <c r="AI23">
        <v>9</v>
      </c>
      <c r="AJ23" s="1">
        <v>45693</v>
      </c>
      <c r="AK23" s="2">
        <v>0.12291666666666666</v>
      </c>
      <c r="AL23" s="1"/>
      <c r="AM23" s="2"/>
      <c r="AN23" s="1">
        <v>45693</v>
      </c>
      <c r="AO23" s="2">
        <v>0.1233912037037037</v>
      </c>
      <c r="AP23">
        <v>2025</v>
      </c>
      <c r="AQ23">
        <v>6</v>
      </c>
      <c r="AR23">
        <v>2</v>
      </c>
      <c r="AS23">
        <v>5</v>
      </c>
      <c r="AT23">
        <v>36</v>
      </c>
      <c r="AU23" s="2">
        <v>45693.122916666667</v>
      </c>
      <c r="AV23">
        <v>441</v>
      </c>
      <c r="AW23" t="s">
        <v>176</v>
      </c>
      <c r="AY23" t="s">
        <v>61</v>
      </c>
      <c r="AZ23" t="s">
        <v>61</v>
      </c>
      <c r="BA23" s="49" t="s">
        <v>582</v>
      </c>
      <c r="BB23" t="s">
        <v>179</v>
      </c>
    </row>
    <row r="24" spans="1:54" hidden="1" x14ac:dyDescent="0.25">
      <c r="A24" t="s">
        <v>300</v>
      </c>
      <c r="B24" s="1">
        <v>45695</v>
      </c>
      <c r="C24" t="s">
        <v>301</v>
      </c>
      <c r="D24" s="50">
        <v>0.25</v>
      </c>
      <c r="E24" s="50">
        <v>0.27430555555555558</v>
      </c>
      <c r="F24" t="s">
        <v>157</v>
      </c>
      <c r="G24" t="s">
        <v>116</v>
      </c>
      <c r="H24" t="s">
        <v>302</v>
      </c>
      <c r="I24" t="s">
        <v>303</v>
      </c>
      <c r="J24" t="s">
        <v>221</v>
      </c>
      <c r="K24" t="s">
        <v>221</v>
      </c>
      <c r="L24" t="s">
        <v>61</v>
      </c>
      <c r="M24" t="s">
        <v>61</v>
      </c>
      <c r="N24" t="s">
        <v>304</v>
      </c>
      <c r="O24" t="s">
        <v>211</v>
      </c>
      <c r="P24">
        <v>5</v>
      </c>
      <c r="Q24" t="s">
        <v>305</v>
      </c>
      <c r="T24" t="s">
        <v>306</v>
      </c>
      <c r="U24" t="s">
        <v>307</v>
      </c>
      <c r="V24" t="s">
        <v>308</v>
      </c>
      <c r="W24" t="s">
        <v>67</v>
      </c>
      <c r="AB24" t="s">
        <v>124</v>
      </c>
      <c r="AC24" t="s">
        <v>69</v>
      </c>
      <c r="AD24" t="s">
        <v>309</v>
      </c>
      <c r="AE24" t="s">
        <v>126</v>
      </c>
      <c r="AF24" t="s">
        <v>187</v>
      </c>
      <c r="AG24" t="s">
        <v>95</v>
      </c>
      <c r="AH24" t="s">
        <v>229</v>
      </c>
      <c r="AI24">
        <v>9</v>
      </c>
      <c r="AJ24" s="1">
        <v>45695</v>
      </c>
      <c r="AK24" s="2">
        <v>0.27430555555555558</v>
      </c>
      <c r="AL24" s="1">
        <v>45695</v>
      </c>
      <c r="AM24" s="2">
        <v>0.28472222222222221</v>
      </c>
      <c r="AN24" s="1">
        <v>45695</v>
      </c>
      <c r="AO24" s="2">
        <v>0.30738425925925927</v>
      </c>
      <c r="AP24">
        <v>2025</v>
      </c>
      <c r="AQ24">
        <v>6</v>
      </c>
      <c r="AR24">
        <v>2</v>
      </c>
      <c r="AS24">
        <v>7</v>
      </c>
      <c r="AT24">
        <v>38</v>
      </c>
      <c r="AU24" s="2">
        <v>45695.274305555555</v>
      </c>
      <c r="AV24">
        <v>170</v>
      </c>
      <c r="AW24" t="s">
        <v>305</v>
      </c>
      <c r="AX24" t="s">
        <v>310</v>
      </c>
      <c r="AY24" t="s">
        <v>61</v>
      </c>
      <c r="AZ24" t="s">
        <v>311</v>
      </c>
      <c r="BA24" s="49" t="s">
        <v>582</v>
      </c>
      <c r="BB24" t="s">
        <v>312</v>
      </c>
    </row>
    <row r="25" spans="1:54" hidden="1" x14ac:dyDescent="0.25">
      <c r="A25" t="s">
        <v>446</v>
      </c>
      <c r="B25" s="1">
        <v>45701</v>
      </c>
      <c r="C25" t="s">
        <v>168</v>
      </c>
      <c r="D25" s="50">
        <v>8.3333333333333329E-2</v>
      </c>
      <c r="E25" s="50">
        <v>8.3333333333333329E-2</v>
      </c>
      <c r="F25" t="s">
        <v>115</v>
      </c>
      <c r="G25" t="s">
        <v>116</v>
      </c>
      <c r="H25" t="s">
        <v>447</v>
      </c>
      <c r="I25" t="s">
        <v>448</v>
      </c>
      <c r="J25" t="s">
        <v>449</v>
      </c>
      <c r="K25" t="s">
        <v>450</v>
      </c>
      <c r="L25" t="s">
        <v>451</v>
      </c>
      <c r="M25" t="s">
        <v>355</v>
      </c>
      <c r="N25" t="s">
        <v>452</v>
      </c>
      <c r="O25" t="s">
        <v>199</v>
      </c>
      <c r="P25">
        <v>9</v>
      </c>
      <c r="Q25" t="s">
        <v>453</v>
      </c>
      <c r="AB25" t="s">
        <v>454</v>
      </c>
      <c r="AC25" t="s">
        <v>69</v>
      </c>
      <c r="AD25" t="s">
        <v>125</v>
      </c>
      <c r="AE25" t="s">
        <v>126</v>
      </c>
      <c r="AF25" t="s">
        <v>386</v>
      </c>
      <c r="AG25" t="s">
        <v>455</v>
      </c>
      <c r="AI25">
        <v>9</v>
      </c>
      <c r="AJ25" s="1">
        <v>45701</v>
      </c>
      <c r="AK25" s="2">
        <v>8.3333333333333329E-2</v>
      </c>
      <c r="AL25" s="1"/>
      <c r="AM25" s="2"/>
      <c r="AN25" s="1">
        <v>45701</v>
      </c>
      <c r="AO25" s="2">
        <v>0.51225694444444447</v>
      </c>
      <c r="AP25">
        <v>2025</v>
      </c>
      <c r="AQ25">
        <v>7</v>
      </c>
      <c r="AR25">
        <v>3</v>
      </c>
      <c r="AS25">
        <v>13</v>
      </c>
      <c r="AT25">
        <v>44</v>
      </c>
      <c r="AU25" s="2">
        <v>45701.083333333336</v>
      </c>
      <c r="AV25">
        <v>128</v>
      </c>
      <c r="AW25" t="s">
        <v>453</v>
      </c>
      <c r="AY25" t="s">
        <v>456</v>
      </c>
      <c r="AZ25" t="s">
        <v>457</v>
      </c>
      <c r="BA25" s="49" t="s">
        <v>581</v>
      </c>
      <c r="BB25" t="s">
        <v>179</v>
      </c>
    </row>
    <row r="26" spans="1:54" hidden="1" x14ac:dyDescent="0.25">
      <c r="A26" t="s">
        <v>114</v>
      </c>
      <c r="B26" s="1">
        <v>45701</v>
      </c>
      <c r="C26" t="s">
        <v>80</v>
      </c>
      <c r="D26" s="50">
        <v>0.66666666666666663</v>
      </c>
      <c r="E26" s="50">
        <v>0.66666666666666663</v>
      </c>
      <c r="F26" t="s">
        <v>115</v>
      </c>
      <c r="G26" t="s">
        <v>116</v>
      </c>
      <c r="H26" t="s">
        <v>117</v>
      </c>
      <c r="I26" t="s">
        <v>117</v>
      </c>
      <c r="J26" t="s">
        <v>60</v>
      </c>
      <c r="K26" t="s">
        <v>60</v>
      </c>
      <c r="L26" t="s">
        <v>61</v>
      </c>
      <c r="M26" t="s">
        <v>61</v>
      </c>
      <c r="N26" t="s">
        <v>118</v>
      </c>
      <c r="O26" t="s">
        <v>119</v>
      </c>
      <c r="P26">
        <v>6</v>
      </c>
      <c r="Q26" t="s">
        <v>120</v>
      </c>
      <c r="T26" t="s">
        <v>121</v>
      </c>
      <c r="U26" t="s">
        <v>122</v>
      </c>
      <c r="V26" t="s">
        <v>123</v>
      </c>
      <c r="W26" t="s">
        <v>67</v>
      </c>
      <c r="AB26" t="s">
        <v>124</v>
      </c>
      <c r="AC26" t="s">
        <v>69</v>
      </c>
      <c r="AD26" t="s">
        <v>125</v>
      </c>
      <c r="AE26" t="s">
        <v>126</v>
      </c>
      <c r="AF26" t="s">
        <v>127</v>
      </c>
      <c r="AG26" t="s">
        <v>128</v>
      </c>
      <c r="AH26" t="s">
        <v>74</v>
      </c>
      <c r="AI26">
        <v>9</v>
      </c>
      <c r="AJ26" s="1">
        <v>45701</v>
      </c>
      <c r="AK26" s="2">
        <v>0.66666666666666663</v>
      </c>
      <c r="AL26" s="1"/>
      <c r="AM26" s="2"/>
      <c r="AN26" s="1">
        <v>45702</v>
      </c>
      <c r="AO26" s="2">
        <v>0.29906250000000001</v>
      </c>
      <c r="AP26">
        <v>2025</v>
      </c>
      <c r="AQ26">
        <v>7</v>
      </c>
      <c r="AR26">
        <v>3</v>
      </c>
      <c r="AS26">
        <v>13</v>
      </c>
      <c r="AT26">
        <v>44</v>
      </c>
      <c r="AU26" s="2">
        <v>45701.666666666664</v>
      </c>
      <c r="AW26" t="s">
        <v>120</v>
      </c>
      <c r="AX26" t="s">
        <v>129</v>
      </c>
      <c r="AY26" t="s">
        <v>130</v>
      </c>
      <c r="AZ26" t="s">
        <v>131</v>
      </c>
      <c r="BA26" s="49" t="s">
        <v>581</v>
      </c>
      <c r="BB26" t="s">
        <v>98</v>
      </c>
    </row>
    <row r="27" spans="1:54" hidden="1" x14ac:dyDescent="0.25">
      <c r="A27" t="s">
        <v>429</v>
      </c>
      <c r="B27" s="1">
        <v>45705</v>
      </c>
      <c r="C27" t="s">
        <v>100</v>
      </c>
      <c r="D27" s="50">
        <v>0.83333333333333337</v>
      </c>
      <c r="E27" s="50">
        <v>0.83333333333333337</v>
      </c>
      <c r="F27" t="s">
        <v>56</v>
      </c>
      <c r="G27" t="s">
        <v>116</v>
      </c>
      <c r="H27" t="s">
        <v>430</v>
      </c>
      <c r="I27" t="s">
        <v>431</v>
      </c>
      <c r="J27" t="s">
        <v>432</v>
      </c>
      <c r="K27" t="s">
        <v>433</v>
      </c>
      <c r="L27" t="s">
        <v>421</v>
      </c>
      <c r="M27" t="s">
        <v>61</v>
      </c>
      <c r="N27" t="s">
        <v>434</v>
      </c>
      <c r="O27" t="s">
        <v>435</v>
      </c>
      <c r="P27">
        <v>8</v>
      </c>
      <c r="Q27" t="s">
        <v>436</v>
      </c>
      <c r="AB27" t="s">
        <v>425</v>
      </c>
      <c r="AC27" t="s">
        <v>69</v>
      </c>
      <c r="AD27" t="s">
        <v>110</v>
      </c>
      <c r="AE27" t="s">
        <v>426</v>
      </c>
      <c r="AF27" t="s">
        <v>110</v>
      </c>
      <c r="AG27" t="s">
        <v>274</v>
      </c>
      <c r="AI27">
        <v>9</v>
      </c>
      <c r="AJ27" s="1">
        <v>45705</v>
      </c>
      <c r="AK27" s="2">
        <v>0.83333333333333337</v>
      </c>
      <c r="AL27" s="1">
        <v>45705</v>
      </c>
      <c r="AM27" s="2">
        <v>0.98958333333333337</v>
      </c>
      <c r="AN27" s="1">
        <v>45706</v>
      </c>
      <c r="AO27" s="2">
        <v>0.73564814814814816</v>
      </c>
      <c r="AP27">
        <v>2025</v>
      </c>
      <c r="AQ27">
        <v>8</v>
      </c>
      <c r="AR27">
        <v>4</v>
      </c>
      <c r="AS27">
        <v>17</v>
      </c>
      <c r="AT27">
        <v>48</v>
      </c>
      <c r="AU27" s="2">
        <v>45705.833333333336</v>
      </c>
      <c r="AV27">
        <v>240</v>
      </c>
      <c r="AW27" t="s">
        <v>436</v>
      </c>
      <c r="AY27" t="s">
        <v>437</v>
      </c>
      <c r="AZ27" t="s">
        <v>61</v>
      </c>
      <c r="BA27" s="49" t="s">
        <v>581</v>
      </c>
      <c r="BB27" t="s">
        <v>113</v>
      </c>
    </row>
    <row r="28" spans="1:54" hidden="1" x14ac:dyDescent="0.25">
      <c r="A28" t="s">
        <v>321</v>
      </c>
      <c r="B28" s="1">
        <v>45705</v>
      </c>
      <c r="C28" t="s">
        <v>146</v>
      </c>
      <c r="D28" s="50">
        <v>0.33333333333333331</v>
      </c>
      <c r="E28" s="50">
        <v>0.34877314814814814</v>
      </c>
      <c r="F28" t="s">
        <v>56</v>
      </c>
      <c r="G28" t="s">
        <v>116</v>
      </c>
      <c r="H28" t="s">
        <v>322</v>
      </c>
      <c r="I28" t="s">
        <v>323</v>
      </c>
      <c r="J28" t="s">
        <v>221</v>
      </c>
      <c r="K28" t="s">
        <v>324</v>
      </c>
      <c r="L28" t="s">
        <v>325</v>
      </c>
      <c r="M28" t="s">
        <v>61</v>
      </c>
      <c r="N28" t="s">
        <v>326</v>
      </c>
      <c r="O28" t="s">
        <v>139</v>
      </c>
      <c r="P28">
        <v>7</v>
      </c>
      <c r="Q28" t="s">
        <v>327</v>
      </c>
      <c r="T28" t="s">
        <v>328</v>
      </c>
      <c r="U28" t="s">
        <v>65</v>
      </c>
      <c r="V28" t="s">
        <v>226</v>
      </c>
      <c r="W28" t="s">
        <v>67</v>
      </c>
      <c r="AB28" t="s">
        <v>68</v>
      </c>
      <c r="AC28" t="s">
        <v>69</v>
      </c>
      <c r="AD28" t="s">
        <v>70</v>
      </c>
      <c r="AE28" t="s">
        <v>71</v>
      </c>
      <c r="AF28" t="s">
        <v>127</v>
      </c>
      <c r="AG28" t="s">
        <v>128</v>
      </c>
      <c r="AH28" t="s">
        <v>229</v>
      </c>
      <c r="AI28">
        <v>9</v>
      </c>
      <c r="AJ28" s="1">
        <v>45705</v>
      </c>
      <c r="AK28" s="2">
        <v>0.34877314814814814</v>
      </c>
      <c r="AL28" s="1"/>
      <c r="AM28" s="2"/>
      <c r="AN28" s="1">
        <v>45705</v>
      </c>
      <c r="AO28" s="2">
        <v>0.34877314814814814</v>
      </c>
      <c r="AP28">
        <v>2025</v>
      </c>
      <c r="AQ28">
        <v>8</v>
      </c>
      <c r="AR28">
        <v>4</v>
      </c>
      <c r="AS28">
        <v>17</v>
      </c>
      <c r="AT28">
        <v>48</v>
      </c>
      <c r="AU28" s="2">
        <v>45705.348611111112</v>
      </c>
      <c r="AV28">
        <v>100</v>
      </c>
      <c r="AW28" t="s">
        <v>327</v>
      </c>
      <c r="AX28" t="s">
        <v>329</v>
      </c>
      <c r="AY28" t="s">
        <v>330</v>
      </c>
      <c r="AZ28" t="s">
        <v>331</v>
      </c>
      <c r="BA28" s="49" t="s">
        <v>581</v>
      </c>
      <c r="BB28" t="s">
        <v>155</v>
      </c>
    </row>
    <row r="29" spans="1:54" hidden="1" x14ac:dyDescent="0.25">
      <c r="A29" t="s">
        <v>332</v>
      </c>
      <c r="B29" s="1">
        <v>45705</v>
      </c>
      <c r="C29" t="s">
        <v>146</v>
      </c>
      <c r="D29" s="50">
        <v>0.375</v>
      </c>
      <c r="E29" s="50">
        <v>0.39716435185185184</v>
      </c>
      <c r="F29" t="s">
        <v>56</v>
      </c>
      <c r="G29" t="s">
        <v>116</v>
      </c>
      <c r="H29" t="s">
        <v>58</v>
      </c>
      <c r="I29" t="s">
        <v>333</v>
      </c>
      <c r="J29" t="s">
        <v>221</v>
      </c>
      <c r="K29" t="s">
        <v>221</v>
      </c>
      <c r="L29" t="s">
        <v>61</v>
      </c>
      <c r="M29" t="s">
        <v>61</v>
      </c>
      <c r="N29" t="s">
        <v>334</v>
      </c>
      <c r="O29" t="s">
        <v>335</v>
      </c>
      <c r="P29">
        <v>7</v>
      </c>
      <c r="Q29" t="s">
        <v>336</v>
      </c>
      <c r="T29" t="s">
        <v>337</v>
      </c>
      <c r="U29" t="s">
        <v>65</v>
      </c>
      <c r="V29" t="s">
        <v>226</v>
      </c>
      <c r="W29" t="s">
        <v>67</v>
      </c>
      <c r="AB29" t="s">
        <v>68</v>
      </c>
      <c r="AC29" t="s">
        <v>69</v>
      </c>
      <c r="AD29" t="s">
        <v>338</v>
      </c>
      <c r="AE29" t="s">
        <v>71</v>
      </c>
      <c r="AF29" t="s">
        <v>127</v>
      </c>
      <c r="AG29" t="s">
        <v>73</v>
      </c>
      <c r="AH29" t="s">
        <v>229</v>
      </c>
      <c r="AI29">
        <v>9</v>
      </c>
      <c r="AJ29" s="1">
        <v>45705</v>
      </c>
      <c r="AK29" s="2">
        <v>0.39716435185185184</v>
      </c>
      <c r="AL29" s="1"/>
      <c r="AM29" s="2"/>
      <c r="AN29" s="1">
        <v>45705</v>
      </c>
      <c r="AO29" s="2">
        <v>0.39716435185185184</v>
      </c>
      <c r="AP29">
        <v>2025</v>
      </c>
      <c r="AQ29">
        <v>8</v>
      </c>
      <c r="AR29">
        <v>4</v>
      </c>
      <c r="AS29">
        <v>17</v>
      </c>
      <c r="AT29">
        <v>48</v>
      </c>
      <c r="AU29" s="2">
        <v>45705.396527777775</v>
      </c>
      <c r="AV29">
        <v>30</v>
      </c>
      <c r="AW29" t="s">
        <v>336</v>
      </c>
      <c r="AX29" t="s">
        <v>339</v>
      </c>
      <c r="AY29" t="s">
        <v>61</v>
      </c>
      <c r="AZ29" t="s">
        <v>61</v>
      </c>
      <c r="BA29" s="49" t="s">
        <v>581</v>
      </c>
      <c r="BB29" t="s">
        <v>155</v>
      </c>
    </row>
    <row r="30" spans="1:54" hidden="1" x14ac:dyDescent="0.25">
      <c r="A30" t="s">
        <v>180</v>
      </c>
      <c r="B30" s="1">
        <v>45705</v>
      </c>
      <c r="C30" t="s">
        <v>55</v>
      </c>
      <c r="D30" s="50">
        <v>0.5</v>
      </c>
      <c r="E30" s="50">
        <v>0.52497685185185183</v>
      </c>
      <c r="F30" t="s">
        <v>56</v>
      </c>
      <c r="G30" t="s">
        <v>116</v>
      </c>
      <c r="H30" t="s">
        <v>102</v>
      </c>
      <c r="I30" t="s">
        <v>181</v>
      </c>
      <c r="J30" t="s">
        <v>172</v>
      </c>
      <c r="K30" t="s">
        <v>182</v>
      </c>
      <c r="L30" t="s">
        <v>183</v>
      </c>
      <c r="M30" t="s">
        <v>61</v>
      </c>
      <c r="N30" t="s">
        <v>184</v>
      </c>
      <c r="O30" t="s">
        <v>185</v>
      </c>
      <c r="P30">
        <v>9</v>
      </c>
      <c r="Q30" t="s">
        <v>186</v>
      </c>
      <c r="AB30" t="s">
        <v>68</v>
      </c>
      <c r="AC30" t="s">
        <v>69</v>
      </c>
      <c r="AD30" t="s">
        <v>70</v>
      </c>
      <c r="AE30" t="s">
        <v>71</v>
      </c>
      <c r="AF30" t="s">
        <v>187</v>
      </c>
      <c r="AG30" t="s">
        <v>188</v>
      </c>
      <c r="AH30" t="s">
        <v>142</v>
      </c>
      <c r="AI30">
        <v>9</v>
      </c>
      <c r="AJ30" s="1">
        <v>45705</v>
      </c>
      <c r="AK30" s="2">
        <v>0.52497685185185183</v>
      </c>
      <c r="AL30" s="1"/>
      <c r="AM30" s="2"/>
      <c r="AN30" s="1">
        <v>45705</v>
      </c>
      <c r="AO30" s="2">
        <v>0.52497685185185183</v>
      </c>
      <c r="AP30">
        <v>2025</v>
      </c>
      <c r="AQ30">
        <v>8</v>
      </c>
      <c r="AR30">
        <v>4</v>
      </c>
      <c r="AS30">
        <v>17</v>
      </c>
      <c r="AT30">
        <v>48</v>
      </c>
      <c r="AU30" s="2">
        <v>45705.524305555555</v>
      </c>
      <c r="AV30">
        <v>35</v>
      </c>
      <c r="AW30" t="s">
        <v>186</v>
      </c>
      <c r="AY30" t="s">
        <v>189</v>
      </c>
      <c r="AZ30" t="s">
        <v>190</v>
      </c>
      <c r="BA30" s="49" t="s">
        <v>581</v>
      </c>
      <c r="BB30" t="s">
        <v>78</v>
      </c>
    </row>
    <row r="31" spans="1:54" hidden="1" x14ac:dyDescent="0.25">
      <c r="A31" t="s">
        <v>438</v>
      </c>
      <c r="B31" s="1">
        <v>45708</v>
      </c>
      <c r="C31" t="s">
        <v>55</v>
      </c>
      <c r="D31" s="50">
        <v>0.5</v>
      </c>
      <c r="E31" s="50">
        <v>0.53615740740740736</v>
      </c>
      <c r="F31" t="s">
        <v>192</v>
      </c>
      <c r="G31" t="s">
        <v>116</v>
      </c>
      <c r="H31" t="s">
        <v>439</v>
      </c>
      <c r="I31" t="s">
        <v>440</v>
      </c>
      <c r="J31" t="s">
        <v>421</v>
      </c>
      <c r="K31" t="s">
        <v>421</v>
      </c>
      <c r="L31" t="s">
        <v>61</v>
      </c>
      <c r="M31" t="s">
        <v>61</v>
      </c>
      <c r="N31" t="s">
        <v>441</v>
      </c>
      <c r="O31" t="s">
        <v>105</v>
      </c>
      <c r="P31">
        <v>8</v>
      </c>
      <c r="Q31" t="s">
        <v>442</v>
      </c>
      <c r="AB31" t="s">
        <v>68</v>
      </c>
      <c r="AC31" t="s">
        <v>69</v>
      </c>
      <c r="AD31" t="s">
        <v>443</v>
      </c>
      <c r="AE31" t="s">
        <v>71</v>
      </c>
      <c r="AF31" t="s">
        <v>360</v>
      </c>
      <c r="AG31" t="s">
        <v>444</v>
      </c>
      <c r="AH31" t="s">
        <v>445</v>
      </c>
      <c r="AI31">
        <v>9</v>
      </c>
      <c r="AJ31" s="1">
        <v>42906</v>
      </c>
      <c r="AK31" s="2">
        <v>0.53615740740740736</v>
      </c>
      <c r="AL31" s="1">
        <v>45555</v>
      </c>
      <c r="AM31" s="2"/>
      <c r="AN31" s="1">
        <v>45708</v>
      </c>
      <c r="AO31" s="2">
        <v>0.53615740740740736</v>
      </c>
      <c r="AP31">
        <v>2017</v>
      </c>
      <c r="AQ31">
        <v>25</v>
      </c>
      <c r="AR31">
        <v>4</v>
      </c>
      <c r="AS31">
        <v>20</v>
      </c>
      <c r="AT31">
        <v>171</v>
      </c>
      <c r="AU31" s="2">
        <v>42906.536111111112</v>
      </c>
      <c r="AV31">
        <v>360</v>
      </c>
      <c r="AW31" t="s">
        <v>442</v>
      </c>
      <c r="AY31" t="s">
        <v>61</v>
      </c>
      <c r="AZ31" t="s">
        <v>61</v>
      </c>
      <c r="BA31" s="49" t="s">
        <v>580</v>
      </c>
      <c r="BB31" t="s">
        <v>78</v>
      </c>
    </row>
    <row r="32" spans="1:54" hidden="1" x14ac:dyDescent="0.25">
      <c r="A32" t="s">
        <v>191</v>
      </c>
      <c r="B32" s="1">
        <v>45671</v>
      </c>
      <c r="C32" t="s">
        <v>146</v>
      </c>
      <c r="D32" s="50">
        <v>0.45833333333333331</v>
      </c>
      <c r="E32" s="50">
        <v>0.46388888888888891</v>
      </c>
      <c r="F32" t="s">
        <v>192</v>
      </c>
      <c r="G32" t="s">
        <v>57</v>
      </c>
      <c r="H32" t="s">
        <v>193</v>
      </c>
      <c r="I32" t="s">
        <v>194</v>
      </c>
      <c r="J32" t="s">
        <v>137</v>
      </c>
      <c r="K32" t="s">
        <v>195</v>
      </c>
      <c r="L32" t="s">
        <v>196</v>
      </c>
      <c r="M32" t="s">
        <v>197</v>
      </c>
      <c r="N32" t="s">
        <v>198</v>
      </c>
      <c r="O32" t="s">
        <v>199</v>
      </c>
      <c r="P32">
        <v>9</v>
      </c>
      <c r="Q32" t="s">
        <v>200</v>
      </c>
      <c r="AB32" t="s">
        <v>201</v>
      </c>
      <c r="AC32" t="s">
        <v>69</v>
      </c>
      <c r="AD32" t="s">
        <v>202</v>
      </c>
      <c r="AE32" t="s">
        <v>165</v>
      </c>
      <c r="AF32" t="s">
        <v>166</v>
      </c>
      <c r="AG32" t="s">
        <v>203</v>
      </c>
      <c r="AH32" t="s">
        <v>142</v>
      </c>
      <c r="AI32">
        <v>9</v>
      </c>
      <c r="AJ32" s="1">
        <v>45671</v>
      </c>
      <c r="AK32" s="2">
        <v>0.46388888888888891</v>
      </c>
      <c r="AL32" s="1"/>
      <c r="AM32" s="2"/>
      <c r="AN32" s="1">
        <v>45671</v>
      </c>
      <c r="AO32" s="2">
        <v>0.46740740740740738</v>
      </c>
      <c r="AP32">
        <v>2025</v>
      </c>
      <c r="AQ32">
        <v>3</v>
      </c>
      <c r="AR32">
        <v>3</v>
      </c>
      <c r="AS32">
        <v>14</v>
      </c>
      <c r="AT32">
        <v>14</v>
      </c>
      <c r="AU32" s="2">
        <v>45671.463888888888</v>
      </c>
      <c r="AV32">
        <v>895</v>
      </c>
      <c r="AW32" t="s">
        <v>200</v>
      </c>
      <c r="AY32" t="s">
        <v>204</v>
      </c>
      <c r="AZ32" t="s">
        <v>61</v>
      </c>
      <c r="BA32" s="49" t="s">
        <v>585</v>
      </c>
      <c r="BB32" t="s">
        <v>155</v>
      </c>
    </row>
    <row r="33" spans="1:54" hidden="1" x14ac:dyDescent="0.25">
      <c r="A33" t="s">
        <v>205</v>
      </c>
      <c r="B33" s="1">
        <v>45673</v>
      </c>
      <c r="C33" t="s">
        <v>100</v>
      </c>
      <c r="D33" s="50">
        <v>0.83333333333333337</v>
      </c>
      <c r="E33" s="50">
        <v>0.83333333333333337</v>
      </c>
      <c r="F33" t="s">
        <v>115</v>
      </c>
      <c r="G33" t="s">
        <v>57</v>
      </c>
      <c r="H33" t="s">
        <v>206</v>
      </c>
      <c r="I33" t="s">
        <v>207</v>
      </c>
      <c r="J33" t="s">
        <v>208</v>
      </c>
      <c r="K33" t="s">
        <v>209</v>
      </c>
      <c r="L33" t="s">
        <v>137</v>
      </c>
      <c r="M33" t="s">
        <v>196</v>
      </c>
      <c r="N33" t="s">
        <v>210</v>
      </c>
      <c r="O33" t="s">
        <v>211</v>
      </c>
      <c r="P33">
        <v>5</v>
      </c>
      <c r="Q33" t="s">
        <v>212</v>
      </c>
      <c r="AB33" t="s">
        <v>91</v>
      </c>
      <c r="AC33" t="s">
        <v>69</v>
      </c>
      <c r="AD33" t="s">
        <v>213</v>
      </c>
      <c r="AE33" t="s">
        <v>214</v>
      </c>
      <c r="AH33" t="s">
        <v>142</v>
      </c>
      <c r="AI33">
        <v>9</v>
      </c>
      <c r="AJ33" s="1">
        <v>45673</v>
      </c>
      <c r="AK33" s="2">
        <v>0.83333333333333337</v>
      </c>
      <c r="AL33" s="1"/>
      <c r="AM33" s="2"/>
      <c r="AN33" s="1">
        <v>45673</v>
      </c>
      <c r="AO33" s="2">
        <v>9.0057870370370371E-2</v>
      </c>
      <c r="AP33">
        <v>2025</v>
      </c>
      <c r="AQ33">
        <v>3</v>
      </c>
      <c r="AR33">
        <v>3</v>
      </c>
      <c r="AS33">
        <v>16</v>
      </c>
      <c r="AT33">
        <v>16</v>
      </c>
      <c r="AU33" s="2">
        <v>45673.833333333336</v>
      </c>
      <c r="AV33">
        <v>152</v>
      </c>
      <c r="AW33" t="s">
        <v>212</v>
      </c>
      <c r="AY33" t="s">
        <v>215</v>
      </c>
      <c r="AZ33" t="s">
        <v>216</v>
      </c>
      <c r="BA33" s="49" t="s">
        <v>585</v>
      </c>
      <c r="BB33" t="s">
        <v>113</v>
      </c>
    </row>
    <row r="34" spans="1:54" hidden="1" x14ac:dyDescent="0.25">
      <c r="A34" t="s">
        <v>340</v>
      </c>
      <c r="B34" s="1">
        <v>45713</v>
      </c>
      <c r="C34" t="s">
        <v>146</v>
      </c>
      <c r="D34" s="50">
        <v>0.41666666666666669</v>
      </c>
      <c r="E34" s="50">
        <v>0.41666666666666669</v>
      </c>
      <c r="F34" t="s">
        <v>192</v>
      </c>
      <c r="G34" t="s">
        <v>116</v>
      </c>
      <c r="H34" t="s">
        <v>341</v>
      </c>
      <c r="I34" t="s">
        <v>342</v>
      </c>
      <c r="J34" t="s">
        <v>221</v>
      </c>
      <c r="K34" t="s">
        <v>221</v>
      </c>
      <c r="L34" t="s">
        <v>61</v>
      </c>
      <c r="M34" t="s">
        <v>61</v>
      </c>
      <c r="N34" t="s">
        <v>343</v>
      </c>
      <c r="O34" t="s">
        <v>258</v>
      </c>
      <c r="P34">
        <v>5</v>
      </c>
      <c r="Q34" t="s">
        <v>344</v>
      </c>
      <c r="T34" t="s">
        <v>345</v>
      </c>
      <c r="U34" t="s">
        <v>65</v>
      </c>
      <c r="V34" t="s">
        <v>346</v>
      </c>
      <c r="W34" t="s">
        <v>347</v>
      </c>
      <c r="AB34" t="s">
        <v>163</v>
      </c>
      <c r="AC34" t="s">
        <v>69</v>
      </c>
      <c r="AD34" t="s">
        <v>164</v>
      </c>
      <c r="AE34" t="s">
        <v>165</v>
      </c>
      <c r="AI34">
        <v>9</v>
      </c>
      <c r="AJ34" s="1">
        <v>45713</v>
      </c>
      <c r="AK34" s="2">
        <v>0.41666666666666669</v>
      </c>
      <c r="AL34" s="1">
        <v>45713</v>
      </c>
      <c r="AM34" s="2">
        <v>0.95833333333333337</v>
      </c>
      <c r="AN34" s="1">
        <v>45712</v>
      </c>
      <c r="AO34" s="2">
        <v>0.99136574074074069</v>
      </c>
      <c r="AP34">
        <v>2025</v>
      </c>
      <c r="AQ34">
        <v>9</v>
      </c>
      <c r="AR34">
        <v>5</v>
      </c>
      <c r="AS34">
        <v>25</v>
      </c>
      <c r="AT34">
        <v>56</v>
      </c>
      <c r="AU34" s="2">
        <v>45713.416666666664</v>
      </c>
      <c r="AV34">
        <v>430</v>
      </c>
      <c r="AW34" t="s">
        <v>344</v>
      </c>
      <c r="AX34" t="s">
        <v>348</v>
      </c>
      <c r="AY34" t="s">
        <v>61</v>
      </c>
      <c r="AZ34" t="s">
        <v>61</v>
      </c>
      <c r="BA34" s="49" t="s">
        <v>579</v>
      </c>
      <c r="BB34" t="s">
        <v>155</v>
      </c>
    </row>
    <row r="35" spans="1:54" x14ac:dyDescent="0.25">
      <c r="A35" t="s">
        <v>500</v>
      </c>
      <c r="B35" s="1">
        <v>45720</v>
      </c>
      <c r="C35" t="s">
        <v>80</v>
      </c>
      <c r="D35" s="50">
        <v>0.75</v>
      </c>
      <c r="E35" s="50">
        <v>0.79126157407407405</v>
      </c>
      <c r="F35" t="s">
        <v>192</v>
      </c>
      <c r="G35" t="s">
        <v>477</v>
      </c>
      <c r="H35" t="s">
        <v>501</v>
      </c>
      <c r="I35" t="s">
        <v>502</v>
      </c>
      <c r="J35" t="s">
        <v>355</v>
      </c>
      <c r="K35" t="s">
        <v>355</v>
      </c>
      <c r="L35" t="s">
        <v>61</v>
      </c>
      <c r="M35" t="s">
        <v>61</v>
      </c>
      <c r="N35" t="s">
        <v>503</v>
      </c>
      <c r="O35" t="s">
        <v>269</v>
      </c>
      <c r="P35">
        <v>6</v>
      </c>
      <c r="Q35" t="s">
        <v>504</v>
      </c>
      <c r="AB35" t="s">
        <v>425</v>
      </c>
      <c r="AC35" t="s">
        <v>69</v>
      </c>
      <c r="AD35" t="s">
        <v>505</v>
      </c>
      <c r="AE35" t="s">
        <v>214</v>
      </c>
      <c r="AF35" t="s">
        <v>72</v>
      </c>
      <c r="AG35" t="s">
        <v>128</v>
      </c>
      <c r="AH35" t="s">
        <v>361</v>
      </c>
      <c r="AI35">
        <v>9</v>
      </c>
      <c r="AJ35" s="1">
        <v>45720</v>
      </c>
      <c r="AK35" s="2">
        <v>0.79126157407407405</v>
      </c>
      <c r="AL35" s="1"/>
      <c r="AM35" s="2"/>
      <c r="AN35" s="1">
        <v>45720</v>
      </c>
      <c r="AO35" s="2">
        <v>0.79126157407407405</v>
      </c>
      <c r="AP35">
        <v>2025</v>
      </c>
      <c r="AQ35">
        <v>10</v>
      </c>
      <c r="AR35">
        <v>2</v>
      </c>
      <c r="AS35">
        <v>4</v>
      </c>
      <c r="AT35">
        <v>63</v>
      </c>
      <c r="AU35" s="2">
        <v>45720.790972222225</v>
      </c>
      <c r="AV35">
        <v>216</v>
      </c>
      <c r="AW35" t="s">
        <v>504</v>
      </c>
      <c r="AY35" t="s">
        <v>506</v>
      </c>
      <c r="AZ35" t="s">
        <v>507</v>
      </c>
      <c r="BA35" s="49" t="s">
        <v>578</v>
      </c>
      <c r="BB35" t="s">
        <v>98</v>
      </c>
    </row>
    <row r="36" spans="1:54" x14ac:dyDescent="0.25">
      <c r="A36" t="s">
        <v>508</v>
      </c>
      <c r="B36" s="1">
        <v>45720</v>
      </c>
      <c r="C36" t="s">
        <v>55</v>
      </c>
      <c r="D36" s="50">
        <v>0.625</v>
      </c>
      <c r="E36" s="50">
        <v>0.64097222222222228</v>
      </c>
      <c r="F36" t="s">
        <v>192</v>
      </c>
      <c r="G36" t="s">
        <v>477</v>
      </c>
      <c r="H36" t="s">
        <v>509</v>
      </c>
      <c r="I36" t="s">
        <v>510</v>
      </c>
      <c r="J36" t="s">
        <v>355</v>
      </c>
      <c r="K36" t="s">
        <v>511</v>
      </c>
      <c r="L36" t="s">
        <v>512</v>
      </c>
      <c r="M36" t="s">
        <v>352</v>
      </c>
      <c r="N36" t="s">
        <v>513</v>
      </c>
      <c r="O36" t="s">
        <v>87</v>
      </c>
      <c r="P36">
        <v>8</v>
      </c>
      <c r="Q36" t="s">
        <v>514</v>
      </c>
      <c r="T36" t="s">
        <v>515</v>
      </c>
      <c r="U36" t="s">
        <v>516</v>
      </c>
      <c r="V36" t="s">
        <v>517</v>
      </c>
      <c r="W36" t="s">
        <v>67</v>
      </c>
      <c r="AB36" t="s">
        <v>425</v>
      </c>
      <c r="AC36" t="s">
        <v>69</v>
      </c>
      <c r="AD36" t="s">
        <v>518</v>
      </c>
      <c r="AE36" t="s">
        <v>165</v>
      </c>
      <c r="AF36" t="s">
        <v>386</v>
      </c>
      <c r="AG36" t="s">
        <v>203</v>
      </c>
      <c r="AH36" t="s">
        <v>361</v>
      </c>
      <c r="AI36">
        <v>9</v>
      </c>
      <c r="AJ36" s="1">
        <v>45720</v>
      </c>
      <c r="AK36" s="2">
        <v>0.64097222222222228</v>
      </c>
      <c r="AL36" s="1"/>
      <c r="AM36" s="2"/>
      <c r="AN36" s="1">
        <v>45720</v>
      </c>
      <c r="AO36" s="2">
        <v>0.64444444444444449</v>
      </c>
      <c r="AP36">
        <v>2025</v>
      </c>
      <c r="AQ36">
        <v>10</v>
      </c>
      <c r="AR36">
        <v>2</v>
      </c>
      <c r="AS36">
        <v>4</v>
      </c>
      <c r="AT36">
        <v>63</v>
      </c>
      <c r="AU36" s="2">
        <v>45720.640972222223</v>
      </c>
      <c r="AV36">
        <v>195</v>
      </c>
      <c r="AW36" t="s">
        <v>514</v>
      </c>
      <c r="AX36" t="s">
        <v>519</v>
      </c>
      <c r="AY36" t="s">
        <v>520</v>
      </c>
      <c r="AZ36" t="s">
        <v>61</v>
      </c>
      <c r="BA36" s="49" t="s">
        <v>578</v>
      </c>
      <c r="BB36" t="s">
        <v>78</v>
      </c>
    </row>
    <row r="37" spans="1:54" x14ac:dyDescent="0.25">
      <c r="A37" t="s">
        <v>476</v>
      </c>
      <c r="B37" s="1">
        <v>45722</v>
      </c>
      <c r="C37" t="s">
        <v>100</v>
      </c>
      <c r="D37" s="50">
        <v>0.91666666666666663</v>
      </c>
      <c r="E37" s="50">
        <v>0.94149305555555551</v>
      </c>
      <c r="F37" t="s">
        <v>115</v>
      </c>
      <c r="G37" t="s">
        <v>477</v>
      </c>
      <c r="H37" t="s">
        <v>478</v>
      </c>
      <c r="I37" t="s">
        <v>479</v>
      </c>
      <c r="J37" t="s">
        <v>60</v>
      </c>
      <c r="K37" t="s">
        <v>60</v>
      </c>
      <c r="L37" t="s">
        <v>61</v>
      </c>
      <c r="M37" t="s">
        <v>61</v>
      </c>
      <c r="N37" t="s">
        <v>480</v>
      </c>
      <c r="O37" t="s">
        <v>87</v>
      </c>
      <c r="P37">
        <v>8</v>
      </c>
      <c r="Q37" t="s">
        <v>481</v>
      </c>
      <c r="T37" t="s">
        <v>482</v>
      </c>
      <c r="U37" t="s">
        <v>122</v>
      </c>
      <c r="V37" t="s">
        <v>483</v>
      </c>
      <c r="W37" t="s">
        <v>67</v>
      </c>
      <c r="AB37" t="s">
        <v>484</v>
      </c>
      <c r="AC37" t="s">
        <v>69</v>
      </c>
      <c r="AD37" t="s">
        <v>70</v>
      </c>
      <c r="AE37" t="s">
        <v>71</v>
      </c>
      <c r="AF37" t="s">
        <v>166</v>
      </c>
      <c r="AG37" t="s">
        <v>128</v>
      </c>
      <c r="AI37">
        <v>9</v>
      </c>
      <c r="AJ37" s="1">
        <v>45722</v>
      </c>
      <c r="AK37" s="2">
        <v>0.94149305555555551</v>
      </c>
      <c r="AL37" s="1"/>
      <c r="AM37" s="2"/>
      <c r="AN37" s="1">
        <v>45722</v>
      </c>
      <c r="AO37" s="2">
        <v>0.94149305555555551</v>
      </c>
      <c r="AP37">
        <v>2025</v>
      </c>
      <c r="AQ37">
        <v>10</v>
      </c>
      <c r="AR37">
        <v>2</v>
      </c>
      <c r="AS37">
        <v>6</v>
      </c>
      <c r="AT37">
        <v>65</v>
      </c>
      <c r="AU37" s="2">
        <v>45722.940972222219</v>
      </c>
      <c r="AV37">
        <v>216</v>
      </c>
      <c r="AW37" t="s">
        <v>481</v>
      </c>
      <c r="AX37" t="s">
        <v>485</v>
      </c>
      <c r="AY37" t="s">
        <v>486</v>
      </c>
      <c r="AZ37" t="s">
        <v>487</v>
      </c>
      <c r="BA37" s="49" t="s">
        <v>578</v>
      </c>
      <c r="BB37" t="s">
        <v>113</v>
      </c>
    </row>
    <row r="38" spans="1:54" x14ac:dyDescent="0.25">
      <c r="A38" t="s">
        <v>488</v>
      </c>
      <c r="B38" s="1">
        <v>45725</v>
      </c>
      <c r="C38" t="s">
        <v>80</v>
      </c>
      <c r="D38" s="50">
        <v>0.79166666666666663</v>
      </c>
      <c r="E38" s="50">
        <v>0.8125</v>
      </c>
      <c r="F38" t="s">
        <v>101</v>
      </c>
      <c r="G38" t="s">
        <v>477</v>
      </c>
      <c r="H38" t="s">
        <v>489</v>
      </c>
      <c r="I38" t="s">
        <v>490</v>
      </c>
      <c r="J38" t="s">
        <v>60</v>
      </c>
      <c r="K38" t="s">
        <v>60</v>
      </c>
      <c r="L38" t="s">
        <v>61</v>
      </c>
      <c r="M38" t="s">
        <v>61</v>
      </c>
      <c r="N38" t="s">
        <v>491</v>
      </c>
      <c r="O38" t="s">
        <v>139</v>
      </c>
      <c r="P38">
        <v>7</v>
      </c>
      <c r="Q38" t="s">
        <v>492</v>
      </c>
      <c r="T38" t="s">
        <v>493</v>
      </c>
      <c r="U38" t="s">
        <v>494</v>
      </c>
      <c r="V38" t="s">
        <v>495</v>
      </c>
      <c r="W38" t="s">
        <v>67</v>
      </c>
      <c r="AB38" t="s">
        <v>163</v>
      </c>
      <c r="AC38" t="s">
        <v>69</v>
      </c>
      <c r="AD38" t="s">
        <v>496</v>
      </c>
      <c r="AE38" t="s">
        <v>359</v>
      </c>
      <c r="AI38">
        <v>9</v>
      </c>
      <c r="AJ38" s="1">
        <v>45725</v>
      </c>
      <c r="AK38" s="2">
        <v>0.8125</v>
      </c>
      <c r="AL38" s="1">
        <v>45726</v>
      </c>
      <c r="AM38" s="2">
        <v>0.35416666666666669</v>
      </c>
      <c r="AN38" s="1">
        <v>45726</v>
      </c>
      <c r="AO38" s="2">
        <v>0.37046296296296294</v>
      </c>
      <c r="AP38">
        <v>2025</v>
      </c>
      <c r="AQ38">
        <v>11</v>
      </c>
      <c r="AR38">
        <v>3</v>
      </c>
      <c r="AS38">
        <v>9</v>
      </c>
      <c r="AT38">
        <v>68</v>
      </c>
      <c r="AU38" s="2">
        <v>45725.8125</v>
      </c>
      <c r="AV38">
        <v>282</v>
      </c>
      <c r="AW38" t="s">
        <v>492</v>
      </c>
      <c r="AX38" t="s">
        <v>497</v>
      </c>
      <c r="AY38" t="s">
        <v>498</v>
      </c>
      <c r="AZ38" t="s">
        <v>499</v>
      </c>
      <c r="BA38" s="49" t="s">
        <v>578</v>
      </c>
      <c r="BB38" t="s">
        <v>98</v>
      </c>
    </row>
    <row r="39" spans="1:54" x14ac:dyDescent="0.25">
      <c r="A39" t="s">
        <v>605</v>
      </c>
      <c r="B39" s="1">
        <v>45726</v>
      </c>
      <c r="C39" t="s">
        <v>168</v>
      </c>
      <c r="D39" s="50">
        <v>4.1666666666666664E-2</v>
      </c>
      <c r="E39" s="50">
        <v>4.6527777777777779E-2</v>
      </c>
      <c r="F39" t="s">
        <v>56</v>
      </c>
      <c r="G39" t="s">
        <v>477</v>
      </c>
      <c r="H39" t="s">
        <v>606</v>
      </c>
      <c r="I39" t="s">
        <v>607</v>
      </c>
      <c r="J39" t="s">
        <v>137</v>
      </c>
      <c r="K39" t="s">
        <v>137</v>
      </c>
      <c r="L39" t="s">
        <v>61</v>
      </c>
      <c r="M39" t="s">
        <v>61</v>
      </c>
      <c r="N39" t="s">
        <v>608</v>
      </c>
      <c r="O39" t="s">
        <v>291</v>
      </c>
      <c r="P39">
        <v>8</v>
      </c>
      <c r="Q39" t="s">
        <v>609</v>
      </c>
      <c r="AB39" t="s">
        <v>610</v>
      </c>
      <c r="AC39" t="s">
        <v>69</v>
      </c>
      <c r="AD39" t="s">
        <v>227</v>
      </c>
      <c r="AE39" t="s">
        <v>165</v>
      </c>
      <c r="AF39" t="s">
        <v>110</v>
      </c>
      <c r="AG39" t="s">
        <v>128</v>
      </c>
      <c r="AH39" t="s">
        <v>142</v>
      </c>
      <c r="AI39">
        <v>9</v>
      </c>
      <c r="AJ39" s="1">
        <v>45726</v>
      </c>
      <c r="AK39" s="2">
        <v>4.6527777777777779E-2</v>
      </c>
      <c r="AL39" s="1">
        <v>45726</v>
      </c>
      <c r="AM39" s="2">
        <v>0.16180555555555556</v>
      </c>
      <c r="AN39" s="1">
        <v>45727</v>
      </c>
      <c r="AO39" s="2">
        <v>0.44234953703703705</v>
      </c>
      <c r="AP39">
        <v>2025</v>
      </c>
      <c r="AQ39">
        <v>11</v>
      </c>
      <c r="AR39">
        <v>3</v>
      </c>
      <c r="AS39">
        <v>10</v>
      </c>
      <c r="AT39">
        <v>69</v>
      </c>
      <c r="AU39" s="2">
        <v>45726.046527777777</v>
      </c>
      <c r="AV39">
        <v>1</v>
      </c>
      <c r="AW39" t="s">
        <v>609</v>
      </c>
      <c r="AY39" t="s">
        <v>611</v>
      </c>
      <c r="AZ39" t="s">
        <v>61</v>
      </c>
      <c r="BA39" s="49" t="s">
        <v>578</v>
      </c>
      <c r="BB39" t="s">
        <v>179</v>
      </c>
    </row>
    <row r="40" spans="1:54" hidden="1" x14ac:dyDescent="0.25">
      <c r="A40" t="s">
        <v>592</v>
      </c>
      <c r="B40" s="1">
        <v>45727</v>
      </c>
      <c r="C40" t="s">
        <v>55</v>
      </c>
      <c r="D40" s="50">
        <v>0.58333333333333337</v>
      </c>
      <c r="E40" s="50">
        <v>0.60416666666666663</v>
      </c>
      <c r="F40" t="s">
        <v>192</v>
      </c>
      <c r="G40" t="s">
        <v>477</v>
      </c>
      <c r="H40" t="s">
        <v>593</v>
      </c>
      <c r="I40" t="s">
        <v>594</v>
      </c>
      <c r="J40" t="s">
        <v>60</v>
      </c>
      <c r="K40" t="s">
        <v>60</v>
      </c>
      <c r="L40" t="s">
        <v>61</v>
      </c>
      <c r="M40" t="s">
        <v>61</v>
      </c>
      <c r="N40" t="s">
        <v>595</v>
      </c>
      <c r="O40" t="s">
        <v>87</v>
      </c>
      <c r="P40">
        <v>8</v>
      </c>
      <c r="Q40" t="s">
        <v>596</v>
      </c>
      <c r="T40" t="s">
        <v>597</v>
      </c>
      <c r="U40" t="s">
        <v>598</v>
      </c>
      <c r="V40" t="s">
        <v>599</v>
      </c>
      <c r="W40" t="s">
        <v>67</v>
      </c>
      <c r="AB40" t="s">
        <v>425</v>
      </c>
      <c r="AC40" t="s">
        <v>69</v>
      </c>
      <c r="AD40" t="s">
        <v>164</v>
      </c>
      <c r="AE40" t="s">
        <v>165</v>
      </c>
      <c r="AF40" t="s">
        <v>600</v>
      </c>
      <c r="AG40" t="s">
        <v>128</v>
      </c>
      <c r="AH40" t="s">
        <v>74</v>
      </c>
      <c r="AI40">
        <v>9</v>
      </c>
      <c r="AJ40" s="1">
        <v>45727</v>
      </c>
      <c r="AK40" s="2">
        <v>0.60416666666666663</v>
      </c>
      <c r="AL40" s="1"/>
      <c r="AM40" s="2"/>
      <c r="AN40" s="1">
        <v>45727</v>
      </c>
      <c r="AO40" s="2">
        <v>0.69039351851851849</v>
      </c>
      <c r="AP40">
        <v>2025</v>
      </c>
      <c r="AQ40">
        <v>11</v>
      </c>
      <c r="AR40">
        <v>3</v>
      </c>
      <c r="AS40">
        <v>11</v>
      </c>
      <c r="AT40">
        <v>70</v>
      </c>
      <c r="AU40" s="2">
        <v>45727.604166666664</v>
      </c>
      <c r="AV40">
        <v>123</v>
      </c>
      <c r="AW40" t="s">
        <v>596</v>
      </c>
      <c r="AX40" t="s">
        <v>601</v>
      </c>
      <c r="AY40" t="s">
        <v>602</v>
      </c>
      <c r="AZ40" t="s">
        <v>603</v>
      </c>
      <c r="BA40" s="49" t="s">
        <v>604</v>
      </c>
      <c r="BB40" t="s">
        <v>78</v>
      </c>
    </row>
    <row r="41" spans="1:54" hidden="1" x14ac:dyDescent="0.25">
      <c r="A41" t="s">
        <v>612</v>
      </c>
      <c r="B41" s="1">
        <v>45734</v>
      </c>
      <c r="C41" t="s">
        <v>301</v>
      </c>
      <c r="D41" s="50">
        <v>0.20833333333333334</v>
      </c>
      <c r="E41" s="50">
        <v>0.22916666666666666</v>
      </c>
      <c r="F41" t="s">
        <v>192</v>
      </c>
      <c r="G41" t="s">
        <v>477</v>
      </c>
      <c r="H41" t="s">
        <v>365</v>
      </c>
      <c r="I41" t="s">
        <v>613</v>
      </c>
      <c r="J41" t="s">
        <v>449</v>
      </c>
      <c r="K41" t="s">
        <v>614</v>
      </c>
      <c r="L41" t="s">
        <v>137</v>
      </c>
      <c r="M41" t="s">
        <v>61</v>
      </c>
      <c r="N41" t="s">
        <v>615</v>
      </c>
      <c r="O41" t="s">
        <v>371</v>
      </c>
      <c r="P41">
        <v>9</v>
      </c>
      <c r="Q41" t="s">
        <v>616</v>
      </c>
      <c r="T41" t="s">
        <v>617</v>
      </c>
      <c r="U41" t="s">
        <v>618</v>
      </c>
      <c r="V41" t="s">
        <v>619</v>
      </c>
      <c r="W41" t="s">
        <v>67</v>
      </c>
      <c r="AC41" t="s">
        <v>69</v>
      </c>
      <c r="AD41" t="s">
        <v>620</v>
      </c>
      <c r="AE41" t="s">
        <v>621</v>
      </c>
      <c r="AI41">
        <v>9</v>
      </c>
      <c r="AJ41" s="1"/>
      <c r="AK41" s="2"/>
      <c r="AL41" s="1">
        <v>45734</v>
      </c>
      <c r="AM41" s="2">
        <v>0.22916666666666666</v>
      </c>
      <c r="AN41" s="1">
        <v>45734</v>
      </c>
      <c r="AO41" s="2">
        <v>0.27405092592592595</v>
      </c>
      <c r="AP41">
        <v>2025</v>
      </c>
      <c r="AQ41">
        <v>12</v>
      </c>
      <c r="AR41">
        <v>4</v>
      </c>
      <c r="AS41">
        <v>18</v>
      </c>
      <c r="AT41">
        <v>77</v>
      </c>
      <c r="AU41" s="2">
        <v>45734.229166666664</v>
      </c>
      <c r="AV41">
        <v>414</v>
      </c>
      <c r="AW41" t="s">
        <v>616</v>
      </c>
      <c r="AX41" t="s">
        <v>622</v>
      </c>
      <c r="AY41" t="s">
        <v>61</v>
      </c>
      <c r="AZ41" t="s">
        <v>61</v>
      </c>
      <c r="BA41" s="49" t="s">
        <v>623</v>
      </c>
      <c r="BB41" t="s">
        <v>312</v>
      </c>
    </row>
    <row r="42" spans="1:54" hidden="1" x14ac:dyDescent="0.25">
      <c r="A42" t="s">
        <v>640</v>
      </c>
      <c r="B42" s="1">
        <v>45737</v>
      </c>
      <c r="C42" t="s">
        <v>301</v>
      </c>
      <c r="D42" s="50">
        <v>0.29166666666666669</v>
      </c>
      <c r="E42" s="50">
        <v>0.32500000000000001</v>
      </c>
      <c r="F42" t="s">
        <v>157</v>
      </c>
      <c r="G42" t="s">
        <v>477</v>
      </c>
      <c r="H42" t="s">
        <v>641</v>
      </c>
      <c r="I42" t="s">
        <v>642</v>
      </c>
      <c r="J42" t="s">
        <v>221</v>
      </c>
      <c r="K42" t="s">
        <v>221</v>
      </c>
      <c r="L42" t="s">
        <v>61</v>
      </c>
      <c r="M42" t="s">
        <v>61</v>
      </c>
      <c r="N42" t="s">
        <v>643</v>
      </c>
      <c r="O42" t="s">
        <v>269</v>
      </c>
      <c r="P42">
        <v>6</v>
      </c>
      <c r="Q42" t="s">
        <v>644</v>
      </c>
      <c r="T42" t="s">
        <v>645</v>
      </c>
      <c r="U42" t="s">
        <v>646</v>
      </c>
      <c r="W42" t="s">
        <v>67</v>
      </c>
      <c r="AB42" t="s">
        <v>484</v>
      </c>
      <c r="AC42" t="s">
        <v>69</v>
      </c>
      <c r="AD42" t="s">
        <v>152</v>
      </c>
      <c r="AE42" t="s">
        <v>93</v>
      </c>
      <c r="AF42" t="s">
        <v>187</v>
      </c>
      <c r="AG42" t="s">
        <v>188</v>
      </c>
      <c r="AI42">
        <v>9</v>
      </c>
      <c r="AJ42" s="1">
        <v>45737</v>
      </c>
      <c r="AK42" s="2">
        <v>0.32500000000000001</v>
      </c>
      <c r="AL42" s="1"/>
      <c r="AM42" s="2"/>
      <c r="AN42" s="1">
        <v>45737</v>
      </c>
      <c r="AO42" s="2">
        <v>0.59714120370370372</v>
      </c>
      <c r="AP42">
        <v>2025</v>
      </c>
      <c r="AQ42">
        <v>12</v>
      </c>
      <c r="AR42">
        <v>4</v>
      </c>
      <c r="AS42">
        <v>21</v>
      </c>
      <c r="AT42">
        <v>80</v>
      </c>
      <c r="AU42" s="2">
        <v>45737.324999999997</v>
      </c>
      <c r="AV42">
        <v>171</v>
      </c>
      <c r="AW42" t="s">
        <v>644</v>
      </c>
      <c r="AX42" t="s">
        <v>647</v>
      </c>
      <c r="AY42" t="s">
        <v>648</v>
      </c>
      <c r="AZ42" t="s">
        <v>649</v>
      </c>
      <c r="BA42" s="49" t="s">
        <v>623</v>
      </c>
      <c r="BB42" t="s">
        <v>312</v>
      </c>
    </row>
    <row r="43" spans="1:54" hidden="1" x14ac:dyDescent="0.25">
      <c r="A43" t="s">
        <v>650</v>
      </c>
      <c r="B43" s="1">
        <v>45739</v>
      </c>
      <c r="C43" t="s">
        <v>301</v>
      </c>
      <c r="D43" s="50">
        <v>0.16666666666666666</v>
      </c>
      <c r="E43" s="50">
        <v>0.1736111111111111</v>
      </c>
      <c r="F43" t="s">
        <v>101</v>
      </c>
      <c r="G43" t="s">
        <v>477</v>
      </c>
      <c r="H43" t="s">
        <v>651</v>
      </c>
      <c r="I43" t="s">
        <v>652</v>
      </c>
      <c r="J43" t="s">
        <v>60</v>
      </c>
      <c r="K43" t="s">
        <v>653</v>
      </c>
      <c r="L43" t="s">
        <v>654</v>
      </c>
      <c r="M43" t="s">
        <v>61</v>
      </c>
      <c r="N43" t="s">
        <v>655</v>
      </c>
      <c r="O43" t="s">
        <v>258</v>
      </c>
      <c r="P43">
        <v>5</v>
      </c>
      <c r="Q43" t="s">
        <v>656</v>
      </c>
      <c r="T43" t="s">
        <v>657</v>
      </c>
      <c r="U43" t="s">
        <v>122</v>
      </c>
      <c r="V43" t="s">
        <v>658</v>
      </c>
      <c r="W43" t="s">
        <v>67</v>
      </c>
      <c r="AB43" t="s">
        <v>659</v>
      </c>
      <c r="AC43" t="s">
        <v>69</v>
      </c>
      <c r="AD43" t="s">
        <v>109</v>
      </c>
      <c r="AE43" t="s">
        <v>71</v>
      </c>
      <c r="AF43" t="s">
        <v>127</v>
      </c>
      <c r="AG43" t="s">
        <v>128</v>
      </c>
      <c r="AI43">
        <v>9</v>
      </c>
      <c r="AJ43" s="1">
        <v>45739</v>
      </c>
      <c r="AK43" s="2">
        <v>0.1736111111111111</v>
      </c>
      <c r="AL43" s="1">
        <v>45739</v>
      </c>
      <c r="AM43" s="2">
        <v>0.18055555555555555</v>
      </c>
      <c r="AN43" s="1">
        <v>45739</v>
      </c>
      <c r="AO43" s="2">
        <v>0.20511574074074074</v>
      </c>
      <c r="AP43">
        <v>2025</v>
      </c>
      <c r="AQ43">
        <v>13</v>
      </c>
      <c r="AR43">
        <v>5</v>
      </c>
      <c r="AS43">
        <v>23</v>
      </c>
      <c r="AT43">
        <v>82</v>
      </c>
      <c r="AU43" s="2">
        <v>45739.173611111109</v>
      </c>
      <c r="AV43">
        <v>24</v>
      </c>
      <c r="AW43" t="s">
        <v>656</v>
      </c>
      <c r="AX43" t="s">
        <v>660</v>
      </c>
      <c r="AY43" t="s">
        <v>661</v>
      </c>
      <c r="AZ43" t="s">
        <v>662</v>
      </c>
      <c r="BA43" s="49" t="s">
        <v>623</v>
      </c>
      <c r="BB43" t="s">
        <v>312</v>
      </c>
    </row>
    <row r="44" spans="1:54" hidden="1" x14ac:dyDescent="0.25">
      <c r="A44" t="s">
        <v>663</v>
      </c>
      <c r="B44" s="1">
        <v>45741</v>
      </c>
      <c r="C44" t="s">
        <v>146</v>
      </c>
      <c r="D44" s="50">
        <v>0.45833333333333331</v>
      </c>
      <c r="E44" s="50">
        <v>0.48402777777777778</v>
      </c>
      <c r="F44" t="s">
        <v>192</v>
      </c>
      <c r="G44" t="s">
        <v>477</v>
      </c>
      <c r="H44" t="s">
        <v>365</v>
      </c>
      <c r="I44" t="s">
        <v>366</v>
      </c>
      <c r="J44" t="s">
        <v>355</v>
      </c>
      <c r="K44" t="s">
        <v>664</v>
      </c>
      <c r="L44" t="s">
        <v>85</v>
      </c>
      <c r="M44" t="s">
        <v>665</v>
      </c>
      <c r="N44" t="s">
        <v>370</v>
      </c>
      <c r="O44" t="s">
        <v>371</v>
      </c>
      <c r="P44">
        <v>9</v>
      </c>
      <c r="Q44" t="s">
        <v>666</v>
      </c>
      <c r="T44" t="s">
        <v>667</v>
      </c>
      <c r="U44" t="s">
        <v>598</v>
      </c>
      <c r="V44" t="s">
        <v>668</v>
      </c>
      <c r="W44" t="s">
        <v>67</v>
      </c>
      <c r="AB44" t="s">
        <v>163</v>
      </c>
      <c r="AC44" t="s">
        <v>69</v>
      </c>
      <c r="AD44" t="s">
        <v>669</v>
      </c>
      <c r="AE44" t="s">
        <v>359</v>
      </c>
      <c r="AF44" t="s">
        <v>166</v>
      </c>
      <c r="AG44" t="s">
        <v>128</v>
      </c>
      <c r="AI44">
        <v>9</v>
      </c>
      <c r="AJ44" s="1">
        <v>45741</v>
      </c>
      <c r="AK44" s="2">
        <v>0.48402777777777778</v>
      </c>
      <c r="AL44" s="1"/>
      <c r="AM44" s="2"/>
      <c r="AN44" s="1">
        <v>45741</v>
      </c>
      <c r="AO44" s="2">
        <v>0.50343749999999998</v>
      </c>
      <c r="AP44">
        <v>2025</v>
      </c>
      <c r="AQ44">
        <v>13</v>
      </c>
      <c r="AR44">
        <v>5</v>
      </c>
      <c r="AS44">
        <v>25</v>
      </c>
      <c r="AT44">
        <v>84</v>
      </c>
      <c r="AU44" s="2">
        <v>45741.484027777777</v>
      </c>
      <c r="AV44">
        <v>450</v>
      </c>
      <c r="AW44" t="s">
        <v>666</v>
      </c>
      <c r="AX44" t="s">
        <v>670</v>
      </c>
      <c r="AY44" t="s">
        <v>671</v>
      </c>
      <c r="AZ44" t="s">
        <v>672</v>
      </c>
      <c r="BA44" s="49" t="s">
        <v>632</v>
      </c>
      <c r="BB44" t="s">
        <v>155</v>
      </c>
    </row>
    <row r="45" spans="1:54" hidden="1" x14ac:dyDescent="0.25">
      <c r="A45" t="s">
        <v>624</v>
      </c>
      <c r="B45" s="1">
        <v>45743</v>
      </c>
      <c r="C45" t="s">
        <v>100</v>
      </c>
      <c r="D45" s="50">
        <v>0.91666666666666663</v>
      </c>
      <c r="E45" s="50">
        <v>0.94666666666666666</v>
      </c>
      <c r="F45" t="s">
        <v>115</v>
      </c>
      <c r="G45" t="s">
        <v>477</v>
      </c>
      <c r="H45" t="s">
        <v>501</v>
      </c>
      <c r="I45" t="s">
        <v>625</v>
      </c>
      <c r="J45" t="s">
        <v>172</v>
      </c>
      <c r="K45" t="s">
        <v>626</v>
      </c>
      <c r="L45" t="s">
        <v>627</v>
      </c>
      <c r="M45" t="s">
        <v>368</v>
      </c>
      <c r="N45" t="s">
        <v>628</v>
      </c>
      <c r="O45" t="s">
        <v>269</v>
      </c>
      <c r="P45">
        <v>6</v>
      </c>
      <c r="Q45" t="s">
        <v>629</v>
      </c>
      <c r="AB45" t="s">
        <v>425</v>
      </c>
      <c r="AC45" t="s">
        <v>69</v>
      </c>
      <c r="AD45" t="s">
        <v>630</v>
      </c>
      <c r="AE45" t="s">
        <v>126</v>
      </c>
      <c r="AF45" t="s">
        <v>386</v>
      </c>
      <c r="AG45" t="s">
        <v>128</v>
      </c>
      <c r="AI45">
        <v>9</v>
      </c>
      <c r="AJ45" s="1">
        <v>45743</v>
      </c>
      <c r="AK45" s="2">
        <v>0.94666666666666666</v>
      </c>
      <c r="AL45" s="1"/>
      <c r="AM45" s="2"/>
      <c r="AN45" s="1">
        <v>45743</v>
      </c>
      <c r="AO45" s="2">
        <v>0.94666666666666666</v>
      </c>
      <c r="AP45">
        <v>2025</v>
      </c>
      <c r="AQ45">
        <v>13</v>
      </c>
      <c r="AR45">
        <v>5</v>
      </c>
      <c r="AS45">
        <v>27</v>
      </c>
      <c r="AT45">
        <v>86</v>
      </c>
      <c r="AU45" s="2">
        <v>45743.946527777778</v>
      </c>
      <c r="AV45">
        <v>211</v>
      </c>
      <c r="AW45" t="s">
        <v>629</v>
      </c>
      <c r="AY45" t="s">
        <v>61</v>
      </c>
      <c r="AZ45" t="s">
        <v>631</v>
      </c>
      <c r="BA45" s="49" t="s">
        <v>632</v>
      </c>
      <c r="BB45" t="s">
        <v>113</v>
      </c>
    </row>
    <row r="46" spans="1:54" hidden="1" x14ac:dyDescent="0.25">
      <c r="A46" t="s">
        <v>633</v>
      </c>
      <c r="B46" s="1">
        <v>45743</v>
      </c>
      <c r="C46" t="s">
        <v>100</v>
      </c>
      <c r="D46" s="50">
        <v>0.95833333333333337</v>
      </c>
      <c r="E46" s="50">
        <v>0.97916666666666663</v>
      </c>
      <c r="F46" t="s">
        <v>115</v>
      </c>
      <c r="G46" t="s">
        <v>477</v>
      </c>
      <c r="H46" t="s">
        <v>606</v>
      </c>
      <c r="I46" t="s">
        <v>634</v>
      </c>
      <c r="J46" t="s">
        <v>137</v>
      </c>
      <c r="K46" t="s">
        <v>137</v>
      </c>
      <c r="L46" t="s">
        <v>61</v>
      </c>
      <c r="M46" t="s">
        <v>61</v>
      </c>
      <c r="N46" t="s">
        <v>635</v>
      </c>
      <c r="O46" t="s">
        <v>291</v>
      </c>
      <c r="P46">
        <v>8</v>
      </c>
      <c r="Q46" t="s">
        <v>636</v>
      </c>
      <c r="R46">
        <v>50300</v>
      </c>
      <c r="AB46" t="s">
        <v>163</v>
      </c>
      <c r="AC46" t="s">
        <v>69</v>
      </c>
      <c r="AD46" t="s">
        <v>496</v>
      </c>
      <c r="AE46" t="s">
        <v>359</v>
      </c>
      <c r="AF46" t="s">
        <v>637</v>
      </c>
      <c r="AG46" t="s">
        <v>128</v>
      </c>
      <c r="AI46">
        <v>9</v>
      </c>
      <c r="AJ46" s="1">
        <v>45743</v>
      </c>
      <c r="AK46" s="2">
        <v>0.97916666666666663</v>
      </c>
      <c r="AL46" s="1">
        <v>45744</v>
      </c>
      <c r="AM46" s="2">
        <v>2.5000000000000001E-2</v>
      </c>
      <c r="AN46" s="1">
        <v>45744</v>
      </c>
      <c r="AO46" s="2">
        <v>0.46781250000000002</v>
      </c>
      <c r="AP46">
        <v>2025</v>
      </c>
      <c r="AQ46">
        <v>13</v>
      </c>
      <c r="AR46">
        <v>5</v>
      </c>
      <c r="AS46">
        <v>27</v>
      </c>
      <c r="AT46">
        <v>86</v>
      </c>
      <c r="AU46" s="2">
        <v>45743.979166666664</v>
      </c>
      <c r="AV46">
        <v>2</v>
      </c>
      <c r="AW46" t="s">
        <v>636</v>
      </c>
      <c r="AY46" t="s">
        <v>638</v>
      </c>
      <c r="AZ46" t="s">
        <v>639</v>
      </c>
      <c r="BA46" s="49" t="s">
        <v>632</v>
      </c>
      <c r="BB46" t="s">
        <v>113</v>
      </c>
    </row>
    <row r="47" spans="1:54" hidden="1" x14ac:dyDescent="0.25">
      <c r="A47" t="s">
        <v>673</v>
      </c>
      <c r="B47" s="1">
        <v>45744</v>
      </c>
      <c r="C47" t="s">
        <v>100</v>
      </c>
      <c r="D47" s="50">
        <v>0.83333333333333337</v>
      </c>
      <c r="E47" s="50">
        <v>0.85416666666666663</v>
      </c>
      <c r="F47" t="s">
        <v>157</v>
      </c>
      <c r="G47" t="s">
        <v>477</v>
      </c>
      <c r="H47" t="s">
        <v>674</v>
      </c>
      <c r="I47" t="s">
        <v>675</v>
      </c>
      <c r="J47" t="s">
        <v>221</v>
      </c>
      <c r="K47" t="s">
        <v>221</v>
      </c>
      <c r="L47" t="s">
        <v>61</v>
      </c>
      <c r="M47" t="s">
        <v>61</v>
      </c>
      <c r="N47" t="s">
        <v>676</v>
      </c>
      <c r="O47" t="s">
        <v>435</v>
      </c>
      <c r="P47">
        <v>8</v>
      </c>
      <c r="Q47" t="s">
        <v>677</v>
      </c>
      <c r="T47" t="s">
        <v>678</v>
      </c>
      <c r="U47" t="s">
        <v>679</v>
      </c>
      <c r="V47" t="s">
        <v>680</v>
      </c>
      <c r="W47" t="s">
        <v>67</v>
      </c>
      <c r="AB47" t="s">
        <v>659</v>
      </c>
      <c r="AC47" t="s">
        <v>69</v>
      </c>
      <c r="AD47" t="s">
        <v>681</v>
      </c>
      <c r="AE47" t="s">
        <v>682</v>
      </c>
      <c r="AI47">
        <v>9</v>
      </c>
      <c r="AJ47" s="1">
        <v>45744</v>
      </c>
      <c r="AK47" s="2">
        <v>0.85416666666666663</v>
      </c>
      <c r="AL47" s="1">
        <v>45745</v>
      </c>
      <c r="AM47" s="2">
        <v>0.41666666666666669</v>
      </c>
      <c r="AN47" s="1">
        <v>45745</v>
      </c>
      <c r="AO47" s="2">
        <v>0.42986111111111114</v>
      </c>
      <c r="AP47">
        <v>2025</v>
      </c>
      <c r="AQ47">
        <v>13</v>
      </c>
      <c r="AR47">
        <v>5</v>
      </c>
      <c r="AS47">
        <v>28</v>
      </c>
      <c r="AT47">
        <v>87</v>
      </c>
      <c r="AU47" s="2">
        <v>45744.854166666664</v>
      </c>
      <c r="AV47">
        <v>296</v>
      </c>
      <c r="AW47" t="s">
        <v>677</v>
      </c>
      <c r="AX47" t="s">
        <v>683</v>
      </c>
      <c r="AY47" t="s">
        <v>61</v>
      </c>
      <c r="AZ47" t="s">
        <v>684</v>
      </c>
      <c r="BA47" s="49" t="s">
        <v>632</v>
      </c>
      <c r="BB47" t="s">
        <v>113</v>
      </c>
    </row>
    <row r="48" spans="1:54" hidden="1" x14ac:dyDescent="0.25">
      <c r="A48" t="s">
        <v>685</v>
      </c>
      <c r="B48" s="1">
        <v>45745</v>
      </c>
      <c r="C48" t="s">
        <v>301</v>
      </c>
      <c r="D48" s="50">
        <v>0.16666666666666666</v>
      </c>
      <c r="E48" s="50">
        <v>0.20515046296296297</v>
      </c>
      <c r="F48" t="s">
        <v>81</v>
      </c>
      <c r="G48" t="s">
        <v>477</v>
      </c>
      <c r="H48" t="s">
        <v>686</v>
      </c>
      <c r="I48" t="s">
        <v>687</v>
      </c>
      <c r="J48" t="s">
        <v>183</v>
      </c>
      <c r="K48" t="s">
        <v>688</v>
      </c>
      <c r="L48" t="s">
        <v>689</v>
      </c>
      <c r="M48" t="s">
        <v>61</v>
      </c>
      <c r="N48" t="s">
        <v>690</v>
      </c>
      <c r="O48" t="s">
        <v>281</v>
      </c>
      <c r="P48">
        <v>6</v>
      </c>
      <c r="Q48" t="s">
        <v>691</v>
      </c>
      <c r="T48" t="s">
        <v>692</v>
      </c>
      <c r="U48" t="s">
        <v>679</v>
      </c>
      <c r="V48" t="s">
        <v>680</v>
      </c>
      <c r="W48" t="s">
        <v>67</v>
      </c>
      <c r="AB48" t="s">
        <v>659</v>
      </c>
      <c r="AC48" t="s">
        <v>69</v>
      </c>
      <c r="AD48" t="s">
        <v>630</v>
      </c>
      <c r="AE48" t="s">
        <v>126</v>
      </c>
      <c r="AI48">
        <v>9</v>
      </c>
      <c r="AJ48" s="1">
        <v>45745</v>
      </c>
      <c r="AK48" s="2">
        <v>0.20515046296296297</v>
      </c>
      <c r="AL48" s="1"/>
      <c r="AM48" s="2"/>
      <c r="AN48" s="1">
        <v>45745</v>
      </c>
      <c r="AO48" s="2">
        <v>0.20931712962962962</v>
      </c>
      <c r="AP48">
        <v>2025</v>
      </c>
      <c r="AQ48">
        <v>13</v>
      </c>
      <c r="AR48">
        <v>5</v>
      </c>
      <c r="AS48">
        <v>29</v>
      </c>
      <c r="AT48">
        <v>88</v>
      </c>
      <c r="AU48" s="2">
        <v>45745.204861111109</v>
      </c>
      <c r="AV48">
        <v>15</v>
      </c>
      <c r="AW48" t="s">
        <v>691</v>
      </c>
      <c r="AX48" t="s">
        <v>693</v>
      </c>
      <c r="AY48" t="s">
        <v>694</v>
      </c>
      <c r="AZ48" t="s">
        <v>695</v>
      </c>
      <c r="BA48" s="49" t="s">
        <v>632</v>
      </c>
      <c r="BB48" t="s">
        <v>312</v>
      </c>
    </row>
    <row r="49" spans="1:54" hidden="1" x14ac:dyDescent="0.25">
      <c r="A49" t="s">
        <v>761</v>
      </c>
      <c r="B49" s="1">
        <v>45747</v>
      </c>
      <c r="C49" t="s">
        <v>55</v>
      </c>
      <c r="D49" s="50">
        <v>0.5</v>
      </c>
      <c r="E49" s="50">
        <v>0.5</v>
      </c>
      <c r="F49" t="s">
        <v>56</v>
      </c>
      <c r="G49" t="s">
        <v>477</v>
      </c>
      <c r="H49" t="s">
        <v>265</v>
      </c>
      <c r="I49" t="s">
        <v>762</v>
      </c>
      <c r="J49" t="s">
        <v>137</v>
      </c>
      <c r="K49" t="s">
        <v>137</v>
      </c>
      <c r="L49" t="s">
        <v>61</v>
      </c>
      <c r="M49" t="s">
        <v>61</v>
      </c>
      <c r="N49" t="s">
        <v>763</v>
      </c>
      <c r="O49" t="s">
        <v>764</v>
      </c>
      <c r="P49">
        <v>7</v>
      </c>
      <c r="Q49" t="s">
        <v>765</v>
      </c>
      <c r="AB49" t="s">
        <v>659</v>
      </c>
      <c r="AC49" t="s">
        <v>69</v>
      </c>
      <c r="AD49" t="s">
        <v>766</v>
      </c>
      <c r="AE49" t="s">
        <v>93</v>
      </c>
      <c r="AI49">
        <v>9</v>
      </c>
      <c r="AJ49" s="1">
        <v>45747</v>
      </c>
      <c r="AK49" s="2">
        <v>0.5</v>
      </c>
      <c r="AL49" s="1"/>
      <c r="AM49" s="2"/>
      <c r="AN49" s="1">
        <v>45747</v>
      </c>
      <c r="AO49" s="2">
        <v>0.54355324074074074</v>
      </c>
      <c r="AP49">
        <v>2025</v>
      </c>
      <c r="AQ49">
        <v>14</v>
      </c>
      <c r="AR49">
        <v>6</v>
      </c>
      <c r="AS49">
        <v>31</v>
      </c>
      <c r="AT49">
        <v>90</v>
      </c>
      <c r="AU49" s="2">
        <v>45747.5</v>
      </c>
      <c r="AV49">
        <v>100</v>
      </c>
      <c r="AW49" t="s">
        <v>765</v>
      </c>
      <c r="AY49" t="s">
        <v>767</v>
      </c>
      <c r="AZ49" t="s">
        <v>768</v>
      </c>
      <c r="BA49" s="49" t="s">
        <v>632</v>
      </c>
      <c r="BB49" t="s">
        <v>78</v>
      </c>
    </row>
    <row r="50" spans="1:54" hidden="1" x14ac:dyDescent="0.25">
      <c r="A50" t="s">
        <v>769</v>
      </c>
      <c r="B50" s="1">
        <v>45747</v>
      </c>
      <c r="C50" t="s">
        <v>80</v>
      </c>
      <c r="D50" s="50">
        <v>0.75</v>
      </c>
      <c r="E50" s="50">
        <v>0.77777777777777779</v>
      </c>
      <c r="F50" t="s">
        <v>56</v>
      </c>
      <c r="G50" t="s">
        <v>477</v>
      </c>
      <c r="H50" t="s">
        <v>770</v>
      </c>
      <c r="I50" t="s">
        <v>770</v>
      </c>
      <c r="J50" t="s">
        <v>60</v>
      </c>
      <c r="K50" t="s">
        <v>771</v>
      </c>
      <c r="L50" t="s">
        <v>85</v>
      </c>
      <c r="M50" t="s">
        <v>772</v>
      </c>
      <c r="N50" t="s">
        <v>773</v>
      </c>
      <c r="O50" t="s">
        <v>139</v>
      </c>
      <c r="P50">
        <v>7</v>
      </c>
      <c r="Q50" t="s">
        <v>774</v>
      </c>
      <c r="T50" t="s">
        <v>775</v>
      </c>
      <c r="U50" t="s">
        <v>776</v>
      </c>
      <c r="V50" t="s">
        <v>777</v>
      </c>
      <c r="W50" t="s">
        <v>67</v>
      </c>
      <c r="AB50" t="s">
        <v>484</v>
      </c>
      <c r="AC50" t="s">
        <v>69</v>
      </c>
      <c r="AD50" t="s">
        <v>778</v>
      </c>
      <c r="AE50" t="s">
        <v>93</v>
      </c>
      <c r="AI50">
        <v>9</v>
      </c>
      <c r="AJ50" s="1">
        <v>45747</v>
      </c>
      <c r="AK50" s="2">
        <v>0.77777777777777779</v>
      </c>
      <c r="AL50" s="1">
        <v>45747</v>
      </c>
      <c r="AM50" s="2">
        <v>0.91666666666666663</v>
      </c>
      <c r="AN50" s="1">
        <v>45747</v>
      </c>
      <c r="AO50" s="2">
        <v>0.93032407407407403</v>
      </c>
      <c r="AP50">
        <v>2025</v>
      </c>
      <c r="AQ50">
        <v>14</v>
      </c>
      <c r="AR50">
        <v>6</v>
      </c>
      <c r="AS50">
        <v>31</v>
      </c>
      <c r="AT50">
        <v>90</v>
      </c>
      <c r="AU50" s="2">
        <v>45747.777777777781</v>
      </c>
      <c r="AW50" t="s">
        <v>774</v>
      </c>
      <c r="AX50" t="s">
        <v>779</v>
      </c>
      <c r="AY50" t="s">
        <v>61</v>
      </c>
      <c r="AZ50" t="s">
        <v>780</v>
      </c>
      <c r="BA50" s="49" t="s">
        <v>632</v>
      </c>
      <c r="BB50" t="s">
        <v>98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ED9C2-9A1C-4BA7-95B5-33D31432E9A9}">
  <dimension ref="A1:B2"/>
  <sheetViews>
    <sheetView workbookViewId="0"/>
  </sheetViews>
  <sheetFormatPr defaultRowHeight="15" x14ac:dyDescent="0.25"/>
  <cols>
    <col min="1" max="1" width="11.140625" bestFit="1" customWidth="1"/>
    <col min="2" max="2" width="10.28515625" bestFit="1" customWidth="1"/>
  </cols>
  <sheetData>
    <row r="1" spans="1:2" x14ac:dyDescent="0.25">
      <c r="A1" t="s">
        <v>703</v>
      </c>
      <c r="B1" t="s">
        <v>704</v>
      </c>
    </row>
    <row r="2" spans="1:2" x14ac:dyDescent="0.25">
      <c r="A2" s="1">
        <v>45719</v>
      </c>
      <c r="B2" s="1">
        <v>45747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D58A0-39D9-4796-BD63-1CAAF0C36D37}">
  <dimension ref="A1:BB8"/>
  <sheetViews>
    <sheetView workbookViewId="0"/>
  </sheetViews>
  <sheetFormatPr defaultRowHeight="15" x14ac:dyDescent="0.25"/>
  <cols>
    <col min="1" max="1" width="14.42578125" bestFit="1" customWidth="1"/>
    <col min="2" max="2" width="13.7109375" bestFit="1" customWidth="1"/>
    <col min="3" max="3" width="22.7109375" bestFit="1" customWidth="1"/>
    <col min="4" max="4" width="14" bestFit="1" customWidth="1"/>
    <col min="5" max="5" width="11.5703125" bestFit="1" customWidth="1"/>
    <col min="6" max="6" width="11.85546875" bestFit="1" customWidth="1"/>
    <col min="7" max="7" width="14.42578125" bestFit="1" customWidth="1"/>
    <col min="8" max="9" width="33.140625" bestFit="1" customWidth="1"/>
    <col min="10" max="10" width="19.28515625" bestFit="1" customWidth="1"/>
    <col min="11" max="11" width="60.28515625" bestFit="1" customWidth="1"/>
    <col min="12" max="12" width="20.42578125" bestFit="1" customWidth="1"/>
    <col min="13" max="13" width="20.28515625" bestFit="1" customWidth="1"/>
    <col min="14" max="14" width="52.85546875" bestFit="1" customWidth="1"/>
    <col min="15" max="15" width="6.7109375" bestFit="1" customWidth="1"/>
    <col min="16" max="16" width="7.42578125" bestFit="1" customWidth="1"/>
    <col min="17" max="17" width="80.85546875" bestFit="1" customWidth="1"/>
    <col min="18" max="18" width="18.5703125" bestFit="1" customWidth="1"/>
    <col min="19" max="19" width="20.140625" bestFit="1" customWidth="1"/>
    <col min="20" max="20" width="14.7109375" bestFit="1" customWidth="1"/>
    <col min="21" max="21" width="9" bestFit="1" customWidth="1"/>
    <col min="22" max="22" width="9.7109375" bestFit="1" customWidth="1"/>
    <col min="23" max="23" width="12.5703125" bestFit="1" customWidth="1"/>
    <col min="24" max="24" width="14.7109375" bestFit="1" customWidth="1"/>
    <col min="25" max="25" width="12.5703125" bestFit="1" customWidth="1"/>
    <col min="26" max="26" width="9" bestFit="1" customWidth="1"/>
    <col min="27" max="27" width="9.7109375" bestFit="1" customWidth="1"/>
    <col min="28" max="28" width="13.85546875" bestFit="1" customWidth="1"/>
    <col min="29" max="29" width="14.7109375" bestFit="1" customWidth="1"/>
    <col min="30" max="30" width="24.7109375" bestFit="1" customWidth="1"/>
    <col min="31" max="31" width="8.5703125" bestFit="1" customWidth="1"/>
    <col min="32" max="32" width="21" bestFit="1" customWidth="1"/>
    <col min="33" max="33" width="17" bestFit="1" customWidth="1"/>
    <col min="34" max="34" width="19.85546875" bestFit="1" customWidth="1"/>
    <col min="35" max="35" width="24.28515625" bestFit="1" customWidth="1"/>
    <col min="36" max="36" width="14.42578125" bestFit="1" customWidth="1"/>
    <col min="37" max="37" width="14.7109375" bestFit="1" customWidth="1"/>
    <col min="38" max="38" width="23" bestFit="1" customWidth="1"/>
    <col min="39" max="39" width="23.28515625" bestFit="1" customWidth="1"/>
    <col min="40" max="40" width="13.28515625" bestFit="1" customWidth="1"/>
    <col min="41" max="41" width="13.7109375" bestFit="1" customWidth="1"/>
    <col min="42" max="42" width="6.85546875" bestFit="1" customWidth="1"/>
    <col min="43" max="43" width="14.28515625" bestFit="1" customWidth="1"/>
    <col min="44" max="44" width="16.5703125" bestFit="1" customWidth="1"/>
    <col min="45" max="45" width="6.42578125" bestFit="1" customWidth="1"/>
    <col min="46" max="46" width="12.7109375" bestFit="1" customWidth="1"/>
    <col min="47" max="47" width="22" bestFit="1" customWidth="1"/>
    <col min="48" max="48" width="5.85546875" bestFit="1" customWidth="1"/>
    <col min="49" max="49" width="80.85546875" bestFit="1" customWidth="1"/>
    <col min="50" max="50" width="31.5703125" bestFit="1" customWidth="1"/>
    <col min="51" max="52" width="80.85546875" bestFit="1" customWidth="1"/>
    <col min="53" max="53" width="16.140625" bestFit="1" customWidth="1"/>
    <col min="54" max="54" width="23.7109375" bestFit="1" customWidth="1"/>
  </cols>
  <sheetData>
    <row r="1" spans="1:5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row>
    <row r="2" spans="1:54" x14ac:dyDescent="0.25">
      <c r="A2" t="s">
        <v>663</v>
      </c>
      <c r="B2" s="2">
        <v>45741</v>
      </c>
      <c r="C2" t="s">
        <v>146</v>
      </c>
      <c r="D2" s="50">
        <v>0.45833333333333331</v>
      </c>
      <c r="E2" s="50">
        <v>0.48402777777777778</v>
      </c>
      <c r="F2" t="s">
        <v>192</v>
      </c>
      <c r="G2" t="s">
        <v>477</v>
      </c>
      <c r="H2" t="s">
        <v>365</v>
      </c>
      <c r="I2" t="s">
        <v>366</v>
      </c>
      <c r="J2" t="s">
        <v>355</v>
      </c>
      <c r="K2" t="s">
        <v>664</v>
      </c>
      <c r="L2" t="s">
        <v>85</v>
      </c>
      <c r="M2" t="s">
        <v>665</v>
      </c>
      <c r="N2" t="s">
        <v>370</v>
      </c>
      <c r="O2" t="s">
        <v>371</v>
      </c>
      <c r="P2">
        <v>9</v>
      </c>
      <c r="Q2" t="s">
        <v>666</v>
      </c>
      <c r="T2" t="s">
        <v>667</v>
      </c>
      <c r="U2" t="s">
        <v>598</v>
      </c>
      <c r="V2" t="s">
        <v>668</v>
      </c>
      <c r="W2" t="s">
        <v>67</v>
      </c>
      <c r="AB2" t="s">
        <v>163</v>
      </c>
      <c r="AC2" t="s">
        <v>69</v>
      </c>
      <c r="AD2" t="s">
        <v>669</v>
      </c>
      <c r="AE2" t="s">
        <v>359</v>
      </c>
      <c r="AF2" t="s">
        <v>166</v>
      </c>
      <c r="AG2" t="s">
        <v>128</v>
      </c>
      <c r="AI2">
        <v>9</v>
      </c>
      <c r="AJ2" s="1">
        <v>45741</v>
      </c>
      <c r="AK2" s="2">
        <v>0.48402777777777778</v>
      </c>
      <c r="AL2" s="1"/>
      <c r="AM2" s="2"/>
      <c r="AN2" s="1">
        <v>45741</v>
      </c>
      <c r="AO2" s="2">
        <v>0.50343749999999998</v>
      </c>
      <c r="AP2">
        <v>2025</v>
      </c>
      <c r="AQ2">
        <v>13</v>
      </c>
      <c r="AR2">
        <v>5</v>
      </c>
      <c r="AS2">
        <v>25</v>
      </c>
      <c r="AT2">
        <v>84</v>
      </c>
      <c r="AU2" s="2">
        <v>45741.484027777777</v>
      </c>
      <c r="AV2">
        <v>450</v>
      </c>
      <c r="AW2" t="s">
        <v>666</v>
      </c>
      <c r="AX2" t="s">
        <v>670</v>
      </c>
      <c r="AY2" t="s">
        <v>671</v>
      </c>
      <c r="AZ2" t="s">
        <v>672</v>
      </c>
      <c r="BA2" t="s">
        <v>632</v>
      </c>
      <c r="BB2" t="s">
        <v>155</v>
      </c>
    </row>
    <row r="3" spans="1:54" x14ac:dyDescent="0.25">
      <c r="A3" t="s">
        <v>624</v>
      </c>
      <c r="B3" s="2">
        <v>45743</v>
      </c>
      <c r="C3" t="s">
        <v>100</v>
      </c>
      <c r="D3" s="50">
        <v>0.91666666666666663</v>
      </c>
      <c r="E3" s="50">
        <v>0.94666666666666666</v>
      </c>
      <c r="F3" t="s">
        <v>115</v>
      </c>
      <c r="G3" t="s">
        <v>477</v>
      </c>
      <c r="H3" t="s">
        <v>501</v>
      </c>
      <c r="I3" t="s">
        <v>625</v>
      </c>
      <c r="J3" t="s">
        <v>172</v>
      </c>
      <c r="K3" t="s">
        <v>626</v>
      </c>
      <c r="L3" t="s">
        <v>627</v>
      </c>
      <c r="M3" t="s">
        <v>368</v>
      </c>
      <c r="N3" t="s">
        <v>628</v>
      </c>
      <c r="O3" t="s">
        <v>269</v>
      </c>
      <c r="P3">
        <v>6</v>
      </c>
      <c r="Q3" t="s">
        <v>629</v>
      </c>
      <c r="AB3" t="s">
        <v>425</v>
      </c>
      <c r="AC3" t="s">
        <v>69</v>
      </c>
      <c r="AD3" t="s">
        <v>630</v>
      </c>
      <c r="AE3" t="s">
        <v>126</v>
      </c>
      <c r="AF3" t="s">
        <v>386</v>
      </c>
      <c r="AG3" t="s">
        <v>128</v>
      </c>
      <c r="AI3">
        <v>9</v>
      </c>
      <c r="AJ3" s="1">
        <v>45743</v>
      </c>
      <c r="AK3" s="2">
        <v>0.94666666666666666</v>
      </c>
      <c r="AL3" s="1"/>
      <c r="AM3" s="2"/>
      <c r="AN3" s="1">
        <v>45743</v>
      </c>
      <c r="AO3" s="2">
        <v>0.94666666666666666</v>
      </c>
      <c r="AP3">
        <v>2025</v>
      </c>
      <c r="AQ3">
        <v>13</v>
      </c>
      <c r="AR3">
        <v>5</v>
      </c>
      <c r="AS3">
        <v>27</v>
      </c>
      <c r="AT3">
        <v>86</v>
      </c>
      <c r="AU3" s="2">
        <v>45743.946527777778</v>
      </c>
      <c r="AV3">
        <v>211</v>
      </c>
      <c r="AW3" t="s">
        <v>629</v>
      </c>
      <c r="AY3" t="s">
        <v>61</v>
      </c>
      <c r="AZ3" t="s">
        <v>631</v>
      </c>
      <c r="BA3" t="s">
        <v>632</v>
      </c>
      <c r="BB3" t="s">
        <v>113</v>
      </c>
    </row>
    <row r="4" spans="1:54" x14ac:dyDescent="0.25">
      <c r="A4" t="s">
        <v>633</v>
      </c>
      <c r="B4" s="2">
        <v>45743</v>
      </c>
      <c r="C4" t="s">
        <v>100</v>
      </c>
      <c r="D4" s="50">
        <v>0.95833333333333337</v>
      </c>
      <c r="E4" s="50">
        <v>0.97916666666666663</v>
      </c>
      <c r="F4" t="s">
        <v>115</v>
      </c>
      <c r="G4" t="s">
        <v>477</v>
      </c>
      <c r="H4" t="s">
        <v>606</v>
      </c>
      <c r="I4" t="s">
        <v>634</v>
      </c>
      <c r="J4" t="s">
        <v>137</v>
      </c>
      <c r="K4" t="s">
        <v>137</v>
      </c>
      <c r="L4" t="s">
        <v>61</v>
      </c>
      <c r="M4" t="s">
        <v>61</v>
      </c>
      <c r="N4" t="s">
        <v>635</v>
      </c>
      <c r="O4" t="s">
        <v>291</v>
      </c>
      <c r="P4">
        <v>8</v>
      </c>
      <c r="Q4" t="s">
        <v>636</v>
      </c>
      <c r="R4">
        <v>50300</v>
      </c>
      <c r="AB4" t="s">
        <v>163</v>
      </c>
      <c r="AC4" t="s">
        <v>69</v>
      </c>
      <c r="AD4" t="s">
        <v>496</v>
      </c>
      <c r="AE4" t="s">
        <v>359</v>
      </c>
      <c r="AF4" t="s">
        <v>637</v>
      </c>
      <c r="AG4" t="s">
        <v>128</v>
      </c>
      <c r="AI4">
        <v>9</v>
      </c>
      <c r="AJ4" s="1">
        <v>45743</v>
      </c>
      <c r="AK4" s="2">
        <v>0.97916666666666663</v>
      </c>
      <c r="AL4" s="1">
        <v>45744</v>
      </c>
      <c r="AM4" s="2">
        <v>2.5000000000000001E-2</v>
      </c>
      <c r="AN4" s="1">
        <v>45744</v>
      </c>
      <c r="AO4" s="2">
        <v>0.46781250000000002</v>
      </c>
      <c r="AP4">
        <v>2025</v>
      </c>
      <c r="AQ4">
        <v>13</v>
      </c>
      <c r="AR4">
        <v>5</v>
      </c>
      <c r="AS4">
        <v>27</v>
      </c>
      <c r="AT4">
        <v>86</v>
      </c>
      <c r="AU4" s="2">
        <v>45743.979166666664</v>
      </c>
      <c r="AV4">
        <v>2</v>
      </c>
      <c r="AW4" t="s">
        <v>636</v>
      </c>
      <c r="AY4" t="s">
        <v>638</v>
      </c>
      <c r="AZ4" t="s">
        <v>639</v>
      </c>
      <c r="BA4" t="s">
        <v>632</v>
      </c>
      <c r="BB4" t="s">
        <v>113</v>
      </c>
    </row>
    <row r="5" spans="1:54" x14ac:dyDescent="0.25">
      <c r="A5" t="s">
        <v>673</v>
      </c>
      <c r="B5" s="2">
        <v>45744</v>
      </c>
      <c r="C5" t="s">
        <v>100</v>
      </c>
      <c r="D5" s="50">
        <v>0.83333333333333337</v>
      </c>
      <c r="E5" s="50">
        <v>0.85416666666666663</v>
      </c>
      <c r="F5" t="s">
        <v>157</v>
      </c>
      <c r="G5" t="s">
        <v>477</v>
      </c>
      <c r="H5" t="s">
        <v>674</v>
      </c>
      <c r="I5" t="s">
        <v>675</v>
      </c>
      <c r="J5" t="s">
        <v>221</v>
      </c>
      <c r="K5" t="s">
        <v>221</v>
      </c>
      <c r="L5" t="s">
        <v>61</v>
      </c>
      <c r="M5" t="s">
        <v>61</v>
      </c>
      <c r="N5" t="s">
        <v>676</v>
      </c>
      <c r="O5" t="s">
        <v>435</v>
      </c>
      <c r="P5">
        <v>8</v>
      </c>
      <c r="Q5" t="s">
        <v>677</v>
      </c>
      <c r="T5" t="s">
        <v>678</v>
      </c>
      <c r="U5" t="s">
        <v>679</v>
      </c>
      <c r="V5" t="s">
        <v>680</v>
      </c>
      <c r="W5" t="s">
        <v>67</v>
      </c>
      <c r="AB5" t="s">
        <v>659</v>
      </c>
      <c r="AC5" t="s">
        <v>69</v>
      </c>
      <c r="AD5" t="s">
        <v>681</v>
      </c>
      <c r="AE5" t="s">
        <v>682</v>
      </c>
      <c r="AI5">
        <v>9</v>
      </c>
      <c r="AJ5" s="1">
        <v>45744</v>
      </c>
      <c r="AK5" s="2">
        <v>0.85416666666666663</v>
      </c>
      <c r="AL5" s="1">
        <v>45745</v>
      </c>
      <c r="AM5" s="2">
        <v>0.41666666666666669</v>
      </c>
      <c r="AN5" s="1">
        <v>45745</v>
      </c>
      <c r="AO5" s="2">
        <v>0.42986111111111114</v>
      </c>
      <c r="AP5">
        <v>2025</v>
      </c>
      <c r="AQ5">
        <v>13</v>
      </c>
      <c r="AR5">
        <v>5</v>
      </c>
      <c r="AS5">
        <v>28</v>
      </c>
      <c r="AT5">
        <v>87</v>
      </c>
      <c r="AU5" s="2">
        <v>45744.854166666664</v>
      </c>
      <c r="AV5">
        <v>296</v>
      </c>
      <c r="AW5" t="s">
        <v>677</v>
      </c>
      <c r="AX5" t="s">
        <v>683</v>
      </c>
      <c r="AY5" t="s">
        <v>61</v>
      </c>
      <c r="AZ5" t="s">
        <v>684</v>
      </c>
      <c r="BA5" t="s">
        <v>632</v>
      </c>
      <c r="BB5" t="s">
        <v>113</v>
      </c>
    </row>
    <row r="6" spans="1:54" x14ac:dyDescent="0.25">
      <c r="A6" t="s">
        <v>685</v>
      </c>
      <c r="B6" s="2">
        <v>45745</v>
      </c>
      <c r="C6" t="s">
        <v>301</v>
      </c>
      <c r="D6" s="50">
        <v>0.16666666666666666</v>
      </c>
      <c r="E6" s="50">
        <v>0.20515046296296297</v>
      </c>
      <c r="F6" t="s">
        <v>81</v>
      </c>
      <c r="G6" t="s">
        <v>477</v>
      </c>
      <c r="H6" t="s">
        <v>686</v>
      </c>
      <c r="I6" t="s">
        <v>687</v>
      </c>
      <c r="J6" t="s">
        <v>183</v>
      </c>
      <c r="K6" t="s">
        <v>688</v>
      </c>
      <c r="L6" t="s">
        <v>689</v>
      </c>
      <c r="M6" t="s">
        <v>61</v>
      </c>
      <c r="N6" t="s">
        <v>690</v>
      </c>
      <c r="O6" t="s">
        <v>281</v>
      </c>
      <c r="P6">
        <v>6</v>
      </c>
      <c r="Q6" t="s">
        <v>691</v>
      </c>
      <c r="T6" t="s">
        <v>692</v>
      </c>
      <c r="U6" t="s">
        <v>679</v>
      </c>
      <c r="V6" t="s">
        <v>680</v>
      </c>
      <c r="W6" t="s">
        <v>67</v>
      </c>
      <c r="AB6" t="s">
        <v>659</v>
      </c>
      <c r="AC6" t="s">
        <v>69</v>
      </c>
      <c r="AD6" t="s">
        <v>630</v>
      </c>
      <c r="AE6" t="s">
        <v>126</v>
      </c>
      <c r="AI6">
        <v>9</v>
      </c>
      <c r="AJ6" s="1">
        <v>45745</v>
      </c>
      <c r="AK6" s="2">
        <v>0.20515046296296297</v>
      </c>
      <c r="AL6" s="1"/>
      <c r="AM6" s="2"/>
      <c r="AN6" s="1">
        <v>45745</v>
      </c>
      <c r="AO6" s="2">
        <v>0.20931712962962962</v>
      </c>
      <c r="AP6">
        <v>2025</v>
      </c>
      <c r="AQ6">
        <v>13</v>
      </c>
      <c r="AR6">
        <v>5</v>
      </c>
      <c r="AS6">
        <v>29</v>
      </c>
      <c r="AT6">
        <v>88</v>
      </c>
      <c r="AU6" s="2">
        <v>45745.204861111109</v>
      </c>
      <c r="AV6">
        <v>15</v>
      </c>
      <c r="AW6" t="s">
        <v>691</v>
      </c>
      <c r="AX6" t="s">
        <v>693</v>
      </c>
      <c r="AY6" t="s">
        <v>694</v>
      </c>
      <c r="AZ6" t="s">
        <v>695</v>
      </c>
      <c r="BA6" t="s">
        <v>632</v>
      </c>
      <c r="BB6" t="s">
        <v>312</v>
      </c>
    </row>
    <row r="7" spans="1:54" x14ac:dyDescent="0.25">
      <c r="A7" t="s">
        <v>761</v>
      </c>
      <c r="B7" s="2">
        <v>45747</v>
      </c>
      <c r="C7" t="s">
        <v>55</v>
      </c>
      <c r="D7" s="50">
        <v>0.5</v>
      </c>
      <c r="E7" s="50">
        <v>0.5</v>
      </c>
      <c r="F7" t="s">
        <v>56</v>
      </c>
      <c r="G7" t="s">
        <v>477</v>
      </c>
      <c r="H7" t="s">
        <v>265</v>
      </c>
      <c r="I7" t="s">
        <v>762</v>
      </c>
      <c r="J7" t="s">
        <v>137</v>
      </c>
      <c r="K7" t="s">
        <v>137</v>
      </c>
      <c r="L7" t="s">
        <v>61</v>
      </c>
      <c r="M7" t="s">
        <v>61</v>
      </c>
      <c r="N7" t="s">
        <v>763</v>
      </c>
      <c r="O7" t="s">
        <v>764</v>
      </c>
      <c r="P7">
        <v>7</v>
      </c>
      <c r="Q7" t="s">
        <v>765</v>
      </c>
      <c r="AB7" t="s">
        <v>659</v>
      </c>
      <c r="AC7" t="s">
        <v>69</v>
      </c>
      <c r="AD7" t="s">
        <v>766</v>
      </c>
      <c r="AE7" t="s">
        <v>93</v>
      </c>
      <c r="AI7">
        <v>9</v>
      </c>
      <c r="AJ7" s="1">
        <v>45747</v>
      </c>
      <c r="AK7" s="2">
        <v>0.5</v>
      </c>
      <c r="AL7" s="1"/>
      <c r="AM7" s="2"/>
      <c r="AN7" s="1">
        <v>45747</v>
      </c>
      <c r="AO7" s="2">
        <v>0.54355324074074074</v>
      </c>
      <c r="AP7">
        <v>2025</v>
      </c>
      <c r="AQ7">
        <v>14</v>
      </c>
      <c r="AR7">
        <v>6</v>
      </c>
      <c r="AS7">
        <v>31</v>
      </c>
      <c r="AT7">
        <v>90</v>
      </c>
      <c r="AU7" s="2">
        <v>45747.5</v>
      </c>
      <c r="AV7">
        <v>100</v>
      </c>
      <c r="AW7" t="s">
        <v>765</v>
      </c>
      <c r="AY7" t="s">
        <v>767</v>
      </c>
      <c r="AZ7" t="s">
        <v>768</v>
      </c>
      <c r="BA7" t="s">
        <v>632</v>
      </c>
      <c r="BB7" t="s">
        <v>78</v>
      </c>
    </row>
    <row r="8" spans="1:54" x14ac:dyDescent="0.25">
      <c r="A8" t="s">
        <v>769</v>
      </c>
      <c r="B8" s="2">
        <v>45747</v>
      </c>
      <c r="C8" t="s">
        <v>80</v>
      </c>
      <c r="D8" s="50">
        <v>0.75</v>
      </c>
      <c r="E8" s="50">
        <v>0.77777777777777779</v>
      </c>
      <c r="F8" t="s">
        <v>56</v>
      </c>
      <c r="G8" t="s">
        <v>477</v>
      </c>
      <c r="H8" t="s">
        <v>770</v>
      </c>
      <c r="I8" t="s">
        <v>770</v>
      </c>
      <c r="J8" t="s">
        <v>60</v>
      </c>
      <c r="K8" t="s">
        <v>771</v>
      </c>
      <c r="L8" t="s">
        <v>85</v>
      </c>
      <c r="M8" t="s">
        <v>772</v>
      </c>
      <c r="N8" t="s">
        <v>773</v>
      </c>
      <c r="O8" t="s">
        <v>139</v>
      </c>
      <c r="P8">
        <v>7</v>
      </c>
      <c r="Q8" t="s">
        <v>774</v>
      </c>
      <c r="T8" t="s">
        <v>775</v>
      </c>
      <c r="U8" t="s">
        <v>776</v>
      </c>
      <c r="V8" t="s">
        <v>777</v>
      </c>
      <c r="W8" t="s">
        <v>67</v>
      </c>
      <c r="AB8" t="s">
        <v>484</v>
      </c>
      <c r="AC8" t="s">
        <v>69</v>
      </c>
      <c r="AD8" t="s">
        <v>778</v>
      </c>
      <c r="AE8" t="s">
        <v>93</v>
      </c>
      <c r="AI8">
        <v>9</v>
      </c>
      <c r="AJ8" s="1">
        <v>45747</v>
      </c>
      <c r="AK8" s="2">
        <v>0.77777777777777779</v>
      </c>
      <c r="AL8" s="1">
        <v>45747</v>
      </c>
      <c r="AM8" s="2">
        <v>0.91666666666666663</v>
      </c>
      <c r="AN8" s="1">
        <v>45747</v>
      </c>
      <c r="AO8" s="2">
        <v>0.93032407407407403</v>
      </c>
      <c r="AP8">
        <v>2025</v>
      </c>
      <c r="AQ8">
        <v>14</v>
      </c>
      <c r="AR8">
        <v>6</v>
      </c>
      <c r="AS8">
        <v>31</v>
      </c>
      <c r="AT8">
        <v>90</v>
      </c>
      <c r="AU8" s="2">
        <v>45747.777777777781</v>
      </c>
      <c r="AW8" t="s">
        <v>774</v>
      </c>
      <c r="AX8" t="s">
        <v>779</v>
      </c>
      <c r="AY8" t="s">
        <v>61</v>
      </c>
      <c r="AZ8" t="s">
        <v>780</v>
      </c>
      <c r="BA8" t="s">
        <v>632</v>
      </c>
      <c r="BB8" t="s">
        <v>98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8FEF2-504E-44D7-94A4-F8904DF3CD26}">
  <dimension ref="A1:H105"/>
  <sheetViews>
    <sheetView topLeftCell="A5" workbookViewId="0">
      <selection sqref="A1:F105"/>
    </sheetView>
  </sheetViews>
  <sheetFormatPr defaultColWidth="9.140625" defaultRowHeight="15.75" x14ac:dyDescent="0.25"/>
  <cols>
    <col min="1" max="1" width="24.5703125" style="68" bestFit="1" customWidth="1"/>
    <col min="2" max="2" width="18.140625" style="68" bestFit="1" customWidth="1"/>
    <col min="3" max="3" width="17" style="68" bestFit="1" customWidth="1"/>
    <col min="4" max="4" width="19.5703125" style="68" bestFit="1" customWidth="1"/>
    <col min="5" max="5" width="18.5703125" style="68" bestFit="1" customWidth="1"/>
    <col min="6" max="6" width="19.7109375" style="67" bestFit="1" customWidth="1"/>
    <col min="7" max="7" width="9.140625" style="67"/>
    <col min="8" max="8" width="23.42578125" style="67" bestFit="1" customWidth="1"/>
    <col min="9" max="16384" width="9.140625" style="67"/>
  </cols>
  <sheetData>
    <row r="1" spans="1:8" ht="18.75" x14ac:dyDescent="0.3">
      <c r="A1" s="40" t="s">
        <v>696</v>
      </c>
      <c r="B1" s="40" t="s">
        <v>697</v>
      </c>
      <c r="C1" s="40" t="s">
        <v>698</v>
      </c>
      <c r="D1" s="40" t="s">
        <v>699</v>
      </c>
      <c r="E1" s="40" t="s">
        <v>700</v>
      </c>
      <c r="F1" s="40" t="s">
        <v>702</v>
      </c>
      <c r="H1" s="71" t="s">
        <v>701</v>
      </c>
    </row>
    <row r="2" spans="1:8" ht="18.75" x14ac:dyDescent="0.3">
      <c r="A2" s="40">
        <v>45664</v>
      </c>
      <c r="B2" s="40">
        <v>45657</v>
      </c>
      <c r="C2" s="40">
        <v>45663</v>
      </c>
      <c r="D2" s="40">
        <v>45635</v>
      </c>
      <c r="E2" s="40">
        <v>45663</v>
      </c>
      <c r="F2" s="40" t="str">
        <f>IF(AND($H$2 &gt;= Report_Cycle[[#This Row],[28-Day Start]], $H$2 &lt;= Report_Cycle[[#This Row],[28-Day End]], MATCH($H$2, Report_Cycle[28-Day End], 0) = ROW()-1), "CURRENT", IF(AND($H$2 &gt;= Report_Cycle[[#This Row],[7-Day Start]], $H$2 &lt;= Report_Cycle[[#This Row],[7-Day End]], MATCH($H$2, Report_Cycle[7-Day End], 0) = ROW()-1), "CURRENT", ""))</f>
        <v/>
      </c>
      <c r="H2" s="69">
        <v>45747</v>
      </c>
    </row>
    <row r="3" spans="1:8" ht="18.75" x14ac:dyDescent="0.3">
      <c r="A3" s="40">
        <v>45671</v>
      </c>
      <c r="B3" s="40">
        <v>45664</v>
      </c>
      <c r="C3" s="40">
        <v>45670</v>
      </c>
      <c r="D3" s="40">
        <v>45642</v>
      </c>
      <c r="E3" s="40">
        <v>45670</v>
      </c>
      <c r="F3" s="40" t="str">
        <f>IF(AND($H$2 &gt;= Report_Cycle[[#This Row],[28-Day Start]], $H$2 &lt;= Report_Cycle[[#This Row],[28-Day End]], MATCH($H$2, Report_Cycle[28-Day End], 0) = ROW()-1), "CURRENT", IF(AND($H$2 &gt;= Report_Cycle[[#This Row],[7-Day Start]], $H$2 &lt;= Report_Cycle[[#This Row],[7-Day End]], MATCH($H$2, Report_Cycle[7-Day End], 0) = ROW()-1), "CURRENT", ""))</f>
        <v/>
      </c>
    </row>
    <row r="4" spans="1:8" ht="18.75" x14ac:dyDescent="0.3">
      <c r="A4" s="40">
        <v>45678</v>
      </c>
      <c r="B4" s="40">
        <v>45671</v>
      </c>
      <c r="C4" s="40">
        <v>45677</v>
      </c>
      <c r="D4" s="40">
        <v>45649</v>
      </c>
      <c r="E4" s="40">
        <v>45677</v>
      </c>
      <c r="F4" s="40" t="str">
        <f>IF(AND($H$2 &gt;= Report_Cycle[[#This Row],[28-Day Start]], $H$2 &lt;= Report_Cycle[[#This Row],[28-Day End]], MATCH($H$2, Report_Cycle[28-Day End], 0) = ROW()-1), "CURRENT", IF(AND($H$2 &gt;= Report_Cycle[[#This Row],[7-Day Start]], $H$2 &lt;= Report_Cycle[[#This Row],[7-Day End]], MATCH($H$2, Report_Cycle[7-Day End], 0) = ROW()-1), "CURRENT", ""))</f>
        <v/>
      </c>
    </row>
    <row r="5" spans="1:8" ht="18.75" x14ac:dyDescent="0.3">
      <c r="A5" s="40">
        <v>45685</v>
      </c>
      <c r="B5" s="40">
        <v>45678</v>
      </c>
      <c r="C5" s="40">
        <v>45684</v>
      </c>
      <c r="D5" s="40">
        <v>45656</v>
      </c>
      <c r="E5" s="40">
        <v>45684</v>
      </c>
      <c r="F5" s="40" t="str">
        <f>IF(AND($H$2 &gt;= Report_Cycle[[#This Row],[28-Day Start]], $H$2 &lt;= Report_Cycle[[#This Row],[28-Day End]], MATCH($H$2, Report_Cycle[28-Day End], 0) = ROW()-1), "CURRENT", IF(AND($H$2 &gt;= Report_Cycle[[#This Row],[7-Day Start]], $H$2 &lt;= Report_Cycle[[#This Row],[7-Day End]], MATCH($H$2, Report_Cycle[7-Day End], 0) = ROW()-1), "CURRENT", ""))</f>
        <v/>
      </c>
    </row>
    <row r="6" spans="1:8" ht="18.75" x14ac:dyDescent="0.3">
      <c r="A6" s="40">
        <v>45692</v>
      </c>
      <c r="B6" s="40">
        <v>45685</v>
      </c>
      <c r="C6" s="40">
        <v>45691</v>
      </c>
      <c r="D6" s="40">
        <v>45663</v>
      </c>
      <c r="E6" s="40">
        <v>45691</v>
      </c>
      <c r="F6" s="40" t="str">
        <f>IF(AND($H$2 &gt;= Report_Cycle[[#This Row],[28-Day Start]], $H$2 &lt;= Report_Cycle[[#This Row],[28-Day End]], MATCH($H$2, Report_Cycle[28-Day End], 0) = ROW()-1), "CURRENT", IF(AND($H$2 &gt;= Report_Cycle[[#This Row],[7-Day Start]], $H$2 &lt;= Report_Cycle[[#This Row],[7-Day End]], MATCH($H$2, Report_Cycle[7-Day End], 0) = ROW()-1), "CURRENT", ""))</f>
        <v/>
      </c>
    </row>
    <row r="7" spans="1:8" ht="18.75" x14ac:dyDescent="0.3">
      <c r="A7" s="40">
        <v>45699</v>
      </c>
      <c r="B7" s="40">
        <v>45692</v>
      </c>
      <c r="C7" s="40">
        <v>45698</v>
      </c>
      <c r="D7" s="40">
        <v>45670</v>
      </c>
      <c r="E7" s="40">
        <v>45698</v>
      </c>
      <c r="F7" s="40" t="str">
        <f>IF(AND($H$2 &gt;= Report_Cycle[[#This Row],[28-Day Start]], $H$2 &lt;= Report_Cycle[[#This Row],[28-Day End]], MATCH($H$2, Report_Cycle[28-Day End], 0) = ROW()-1), "CURRENT", IF(AND($H$2 &gt;= Report_Cycle[[#This Row],[7-Day Start]], $H$2 &lt;= Report_Cycle[[#This Row],[7-Day End]], MATCH($H$2, Report_Cycle[7-Day End], 0) = ROW()-1), "CURRENT", ""))</f>
        <v/>
      </c>
    </row>
    <row r="8" spans="1:8" ht="18.75" x14ac:dyDescent="0.3">
      <c r="A8" s="40">
        <v>45706</v>
      </c>
      <c r="B8" s="40">
        <v>45699</v>
      </c>
      <c r="C8" s="40">
        <v>45705</v>
      </c>
      <c r="D8" s="40">
        <v>45677</v>
      </c>
      <c r="E8" s="40">
        <v>45705</v>
      </c>
      <c r="F8" s="40" t="str">
        <f>IF(AND($H$2 &gt;= Report_Cycle[[#This Row],[28-Day Start]], $H$2 &lt;= Report_Cycle[[#This Row],[28-Day End]], MATCH($H$2, Report_Cycle[28-Day End], 0) = ROW()-1), "CURRENT", IF(AND($H$2 &gt;= Report_Cycle[[#This Row],[7-Day Start]], $H$2 &lt;= Report_Cycle[[#This Row],[7-Day End]], MATCH($H$2, Report_Cycle[7-Day End], 0) = ROW()-1), "CURRENT", ""))</f>
        <v/>
      </c>
    </row>
    <row r="9" spans="1:8" ht="18.75" x14ac:dyDescent="0.3">
      <c r="A9" s="40">
        <v>45713</v>
      </c>
      <c r="B9" s="40">
        <v>45706</v>
      </c>
      <c r="C9" s="40">
        <v>45712</v>
      </c>
      <c r="D9" s="40">
        <v>45684</v>
      </c>
      <c r="E9" s="40">
        <v>45712</v>
      </c>
      <c r="F9" s="40" t="str">
        <f>IF(AND($H$2 &gt;= Report_Cycle[[#This Row],[28-Day Start]], $H$2 &lt;= Report_Cycle[[#This Row],[28-Day End]], MATCH($H$2, Report_Cycle[28-Day End], 0) = ROW()-1), "CURRENT", IF(AND($H$2 &gt;= Report_Cycle[[#This Row],[7-Day Start]], $H$2 &lt;= Report_Cycle[[#This Row],[7-Day End]], MATCH($H$2, Report_Cycle[7-Day End], 0) = ROW()-1), "CURRENT", ""))</f>
        <v/>
      </c>
    </row>
    <row r="10" spans="1:8" ht="18.75" x14ac:dyDescent="0.3">
      <c r="A10" s="40">
        <v>45720</v>
      </c>
      <c r="B10" s="40">
        <v>45713</v>
      </c>
      <c r="C10" s="40">
        <v>45719</v>
      </c>
      <c r="D10" s="40">
        <v>45691</v>
      </c>
      <c r="E10" s="40">
        <v>45719</v>
      </c>
      <c r="F10" s="40" t="str">
        <f>IF(AND($H$2 &gt;= Report_Cycle[[#This Row],[28-Day Start]], $H$2 &lt;= Report_Cycle[[#This Row],[28-Day End]], MATCH($H$2, Report_Cycle[28-Day End], 0) = ROW()-1), "CURRENT", IF(AND($H$2 &gt;= Report_Cycle[[#This Row],[7-Day Start]], $H$2 &lt;= Report_Cycle[[#This Row],[7-Day End]], MATCH($H$2, Report_Cycle[7-Day End], 0) = ROW()-1), "CURRENT", ""))</f>
        <v/>
      </c>
    </row>
    <row r="11" spans="1:8" ht="18.75" x14ac:dyDescent="0.3">
      <c r="A11" s="40">
        <v>45727</v>
      </c>
      <c r="B11" s="40">
        <v>45720</v>
      </c>
      <c r="C11" s="40">
        <v>45726</v>
      </c>
      <c r="D11" s="40">
        <v>45698</v>
      </c>
      <c r="E11" s="40">
        <v>45726</v>
      </c>
      <c r="F11" s="40" t="str">
        <f>IF(AND($H$2 &gt;= Report_Cycle[[#This Row],[28-Day Start]], $H$2 &lt;= Report_Cycle[[#This Row],[28-Day End]], MATCH($H$2, Report_Cycle[28-Day End], 0) = ROW()-1), "CURRENT", IF(AND($H$2 &gt;= Report_Cycle[[#This Row],[7-Day Start]], $H$2 &lt;= Report_Cycle[[#This Row],[7-Day End]], MATCH($H$2, Report_Cycle[7-Day End], 0) = ROW()-1), "CURRENT", ""))</f>
        <v/>
      </c>
    </row>
    <row r="12" spans="1:8" ht="18.75" x14ac:dyDescent="0.3">
      <c r="A12" s="40">
        <v>45734</v>
      </c>
      <c r="B12" s="40">
        <v>45727</v>
      </c>
      <c r="C12" s="40">
        <v>45733</v>
      </c>
      <c r="D12" s="40">
        <v>45705</v>
      </c>
      <c r="E12" s="40">
        <v>45733</v>
      </c>
      <c r="F12" s="40" t="str">
        <f>IF(AND($H$2 &gt;= Report_Cycle[[#This Row],[28-Day Start]], $H$2 &lt;= Report_Cycle[[#This Row],[28-Day End]], MATCH($H$2, Report_Cycle[28-Day End], 0) = ROW()-1), "CURRENT", IF(AND($H$2 &gt;= Report_Cycle[[#This Row],[7-Day Start]], $H$2 &lt;= Report_Cycle[[#This Row],[7-Day End]], MATCH($H$2, Report_Cycle[7-Day End], 0) = ROW()-1), "CURRENT", ""))</f>
        <v/>
      </c>
    </row>
    <row r="13" spans="1:8" ht="18.75" x14ac:dyDescent="0.3">
      <c r="A13" s="40">
        <v>45741</v>
      </c>
      <c r="B13" s="40">
        <v>45734</v>
      </c>
      <c r="C13" s="40">
        <v>45740</v>
      </c>
      <c r="D13" s="40">
        <v>45712</v>
      </c>
      <c r="E13" s="40">
        <v>45740</v>
      </c>
      <c r="F13" s="40" t="str">
        <f>IF(AND($H$2 &gt;= Report_Cycle[[#This Row],[28-Day Start]], $H$2 &lt;= Report_Cycle[[#This Row],[28-Day End]], MATCH($H$2, Report_Cycle[28-Day End], 0) = ROW()-1), "CURRENT", IF(AND($H$2 &gt;= Report_Cycle[[#This Row],[7-Day Start]], $H$2 &lt;= Report_Cycle[[#This Row],[7-Day End]], MATCH($H$2, Report_Cycle[7-Day End], 0) = ROW()-1), "CURRENT", ""))</f>
        <v/>
      </c>
    </row>
    <row r="14" spans="1:8" ht="18.75" x14ac:dyDescent="0.3">
      <c r="A14" s="40">
        <v>45748</v>
      </c>
      <c r="B14" s="40">
        <v>45741</v>
      </c>
      <c r="C14" s="40">
        <v>45747</v>
      </c>
      <c r="D14" s="40">
        <v>45719</v>
      </c>
      <c r="E14" s="40">
        <v>45747</v>
      </c>
      <c r="F14" s="40" t="str">
        <f>IF(AND($H$2 &gt;= Report_Cycle[[#This Row],[28-Day Start]], $H$2 &lt;= Report_Cycle[[#This Row],[28-Day End]], MATCH($H$2, Report_Cycle[28-Day End], 0) = ROW()-1), "CURRENT", IF(AND($H$2 &gt;= Report_Cycle[[#This Row],[7-Day Start]], $H$2 &lt;= Report_Cycle[[#This Row],[7-Day End]], MATCH($H$2, Report_Cycle[7-Day End], 0) = ROW()-1), "CURRENT", ""))</f>
        <v>CURRENT</v>
      </c>
      <c r="H14" s="70"/>
    </row>
    <row r="15" spans="1:8" ht="18.75" x14ac:dyDescent="0.3">
      <c r="A15" s="40">
        <v>45755</v>
      </c>
      <c r="B15" s="40">
        <v>45748</v>
      </c>
      <c r="C15" s="40">
        <v>45754</v>
      </c>
      <c r="D15" s="40">
        <v>45726</v>
      </c>
      <c r="E15" s="40">
        <v>45754</v>
      </c>
      <c r="F15" s="40" t="str">
        <f>IF(AND($H$2 &gt;= Report_Cycle[[#This Row],[28-Day Start]], $H$2 &lt;= Report_Cycle[[#This Row],[28-Day End]], MATCH($H$2, Report_Cycle[28-Day End], 0) = ROW()-1), "CURRENT", IF(AND($H$2 &gt;= Report_Cycle[[#This Row],[7-Day Start]], $H$2 &lt;= Report_Cycle[[#This Row],[7-Day End]], MATCH($H$2, Report_Cycle[7-Day End], 0) = ROW()-1), "CURRENT", ""))</f>
        <v/>
      </c>
    </row>
    <row r="16" spans="1:8" ht="18.75" x14ac:dyDescent="0.3">
      <c r="A16" s="40">
        <v>45762</v>
      </c>
      <c r="B16" s="40">
        <v>45755</v>
      </c>
      <c r="C16" s="40">
        <v>45761</v>
      </c>
      <c r="D16" s="40">
        <v>45733</v>
      </c>
      <c r="E16" s="40">
        <v>45761</v>
      </c>
      <c r="F16" s="40" t="str">
        <f>IF(AND($H$2 &gt;= Report_Cycle[[#This Row],[28-Day Start]], $H$2 &lt;= Report_Cycle[[#This Row],[28-Day End]], MATCH($H$2, Report_Cycle[28-Day End], 0) = ROW()-1), "CURRENT", IF(AND($H$2 &gt;= Report_Cycle[[#This Row],[7-Day Start]], $H$2 &lt;= Report_Cycle[[#This Row],[7-Day End]], MATCH($H$2, Report_Cycle[7-Day End], 0) = ROW()-1), "CURRENT", ""))</f>
        <v/>
      </c>
    </row>
    <row r="17" spans="1:6" ht="18.75" x14ac:dyDescent="0.3">
      <c r="A17" s="40">
        <v>45769</v>
      </c>
      <c r="B17" s="40">
        <v>45762</v>
      </c>
      <c r="C17" s="40">
        <v>45768</v>
      </c>
      <c r="D17" s="40">
        <v>45740</v>
      </c>
      <c r="E17" s="40">
        <v>45768</v>
      </c>
      <c r="F17" s="40" t="str">
        <f>IF(AND($H$2 &gt;= Report_Cycle[[#This Row],[28-Day Start]], $H$2 &lt;= Report_Cycle[[#This Row],[28-Day End]], MATCH($H$2, Report_Cycle[28-Day End], 0) = ROW()-1), "CURRENT", IF(AND($H$2 &gt;= Report_Cycle[[#This Row],[7-Day Start]], $H$2 &lt;= Report_Cycle[[#This Row],[7-Day End]], MATCH($H$2, Report_Cycle[7-Day End], 0) = ROW()-1), "CURRENT", ""))</f>
        <v/>
      </c>
    </row>
    <row r="18" spans="1:6" ht="18.75" x14ac:dyDescent="0.3">
      <c r="A18" s="40">
        <v>45776</v>
      </c>
      <c r="B18" s="40">
        <v>45769</v>
      </c>
      <c r="C18" s="40">
        <v>45775</v>
      </c>
      <c r="D18" s="40">
        <v>45747</v>
      </c>
      <c r="E18" s="40">
        <v>45775</v>
      </c>
      <c r="F18" s="40" t="str">
        <f>IF(AND($H$2 &gt;= Report_Cycle[[#This Row],[28-Day Start]], $H$2 &lt;= Report_Cycle[[#This Row],[28-Day End]], MATCH($H$2, Report_Cycle[28-Day End], 0) = ROW()-1), "CURRENT", IF(AND($H$2 &gt;= Report_Cycle[[#This Row],[7-Day Start]], $H$2 &lt;= Report_Cycle[[#This Row],[7-Day End]], MATCH($H$2, Report_Cycle[7-Day End], 0) = ROW()-1), "CURRENT", ""))</f>
        <v/>
      </c>
    </row>
    <row r="19" spans="1:6" ht="18.75" x14ac:dyDescent="0.3">
      <c r="A19" s="40">
        <v>45783</v>
      </c>
      <c r="B19" s="40">
        <v>45776</v>
      </c>
      <c r="C19" s="40">
        <v>45782</v>
      </c>
      <c r="D19" s="40">
        <v>45754</v>
      </c>
      <c r="E19" s="40">
        <v>45782</v>
      </c>
      <c r="F19" s="40" t="str">
        <f>IF(AND($H$2 &gt;= Report_Cycle[[#This Row],[28-Day Start]], $H$2 &lt;= Report_Cycle[[#This Row],[28-Day End]], MATCH($H$2, Report_Cycle[28-Day End], 0) = ROW()-1), "CURRENT", IF(AND($H$2 &gt;= Report_Cycle[[#This Row],[7-Day Start]], $H$2 &lt;= Report_Cycle[[#This Row],[7-Day End]], MATCH($H$2, Report_Cycle[7-Day End], 0) = ROW()-1), "CURRENT", ""))</f>
        <v/>
      </c>
    </row>
    <row r="20" spans="1:6" ht="18.75" x14ac:dyDescent="0.3">
      <c r="A20" s="40">
        <v>45790</v>
      </c>
      <c r="B20" s="40">
        <v>45783</v>
      </c>
      <c r="C20" s="40">
        <v>45789</v>
      </c>
      <c r="D20" s="40">
        <v>45761</v>
      </c>
      <c r="E20" s="40">
        <v>45789</v>
      </c>
      <c r="F20" s="40" t="str">
        <f>IF(AND($H$2 &gt;= Report_Cycle[[#This Row],[28-Day Start]], $H$2 &lt;= Report_Cycle[[#This Row],[28-Day End]], MATCH($H$2, Report_Cycle[28-Day End], 0) = ROW()-1), "CURRENT", IF(AND($H$2 &gt;= Report_Cycle[[#This Row],[7-Day Start]], $H$2 &lt;= Report_Cycle[[#This Row],[7-Day End]], MATCH($H$2, Report_Cycle[7-Day End], 0) = ROW()-1), "CURRENT", ""))</f>
        <v/>
      </c>
    </row>
    <row r="21" spans="1:6" ht="18.75" x14ac:dyDescent="0.3">
      <c r="A21" s="40">
        <v>45797</v>
      </c>
      <c r="B21" s="40">
        <v>45790</v>
      </c>
      <c r="C21" s="40">
        <v>45796</v>
      </c>
      <c r="D21" s="40">
        <v>45768</v>
      </c>
      <c r="E21" s="40">
        <v>45796</v>
      </c>
      <c r="F21" s="40" t="str">
        <f>IF(AND($H$2 &gt;= Report_Cycle[[#This Row],[28-Day Start]], $H$2 &lt;= Report_Cycle[[#This Row],[28-Day End]], MATCH($H$2, Report_Cycle[28-Day End], 0) = ROW()-1), "CURRENT", IF(AND($H$2 &gt;= Report_Cycle[[#This Row],[7-Day Start]], $H$2 &lt;= Report_Cycle[[#This Row],[7-Day End]], MATCH($H$2, Report_Cycle[7-Day End], 0) = ROW()-1), "CURRENT", ""))</f>
        <v/>
      </c>
    </row>
    <row r="22" spans="1:6" ht="18.75" x14ac:dyDescent="0.3">
      <c r="A22" s="40">
        <v>45804</v>
      </c>
      <c r="B22" s="40">
        <v>45797</v>
      </c>
      <c r="C22" s="40">
        <v>45803</v>
      </c>
      <c r="D22" s="40">
        <v>45775</v>
      </c>
      <c r="E22" s="40">
        <v>45803</v>
      </c>
      <c r="F22" s="40" t="str">
        <f>IF(AND($H$2 &gt;= Report_Cycle[[#This Row],[28-Day Start]], $H$2 &lt;= Report_Cycle[[#This Row],[28-Day End]], MATCH($H$2, Report_Cycle[28-Day End], 0) = ROW()-1), "CURRENT", IF(AND($H$2 &gt;= Report_Cycle[[#This Row],[7-Day Start]], $H$2 &lt;= Report_Cycle[[#This Row],[7-Day End]], MATCH($H$2, Report_Cycle[7-Day End], 0) = ROW()-1), "CURRENT", ""))</f>
        <v/>
      </c>
    </row>
    <row r="23" spans="1:6" ht="18.75" x14ac:dyDescent="0.3">
      <c r="A23" s="40">
        <v>45811</v>
      </c>
      <c r="B23" s="40">
        <v>45804</v>
      </c>
      <c r="C23" s="40">
        <v>45810</v>
      </c>
      <c r="D23" s="40">
        <v>45782</v>
      </c>
      <c r="E23" s="40">
        <v>45810</v>
      </c>
      <c r="F23" s="40" t="str">
        <f>IF(AND($H$2 &gt;= Report_Cycle[[#This Row],[28-Day Start]], $H$2 &lt;= Report_Cycle[[#This Row],[28-Day End]], MATCH($H$2, Report_Cycle[28-Day End], 0) = ROW()-1), "CURRENT", IF(AND($H$2 &gt;= Report_Cycle[[#This Row],[7-Day Start]], $H$2 &lt;= Report_Cycle[[#This Row],[7-Day End]], MATCH($H$2, Report_Cycle[7-Day End], 0) = ROW()-1), "CURRENT", ""))</f>
        <v/>
      </c>
    </row>
    <row r="24" spans="1:6" ht="18.75" x14ac:dyDescent="0.3">
      <c r="A24" s="40">
        <v>45818</v>
      </c>
      <c r="B24" s="40">
        <v>45811</v>
      </c>
      <c r="C24" s="40">
        <v>45817</v>
      </c>
      <c r="D24" s="40">
        <v>45789</v>
      </c>
      <c r="E24" s="40">
        <v>45817</v>
      </c>
      <c r="F24" s="40" t="str">
        <f>IF(AND($H$2 &gt;= Report_Cycle[[#This Row],[28-Day Start]], $H$2 &lt;= Report_Cycle[[#This Row],[28-Day End]], MATCH($H$2, Report_Cycle[28-Day End], 0) = ROW()-1), "CURRENT", IF(AND($H$2 &gt;= Report_Cycle[[#This Row],[7-Day Start]], $H$2 &lt;= Report_Cycle[[#This Row],[7-Day End]], MATCH($H$2, Report_Cycle[7-Day End], 0) = ROW()-1), "CURRENT", ""))</f>
        <v/>
      </c>
    </row>
    <row r="25" spans="1:6" ht="18.75" x14ac:dyDescent="0.3">
      <c r="A25" s="40">
        <v>45825</v>
      </c>
      <c r="B25" s="40">
        <v>45818</v>
      </c>
      <c r="C25" s="40">
        <v>45824</v>
      </c>
      <c r="D25" s="40">
        <v>45796</v>
      </c>
      <c r="E25" s="40">
        <v>45824</v>
      </c>
      <c r="F25" s="40" t="str">
        <f>IF(AND($H$2 &gt;= Report_Cycle[[#This Row],[28-Day Start]], $H$2 &lt;= Report_Cycle[[#This Row],[28-Day End]], MATCH($H$2, Report_Cycle[28-Day End], 0) = ROW()-1), "CURRENT", IF(AND($H$2 &gt;= Report_Cycle[[#This Row],[7-Day Start]], $H$2 &lt;= Report_Cycle[[#This Row],[7-Day End]], MATCH($H$2, Report_Cycle[7-Day End], 0) = ROW()-1), "CURRENT", ""))</f>
        <v/>
      </c>
    </row>
    <row r="26" spans="1:6" ht="18.75" x14ac:dyDescent="0.3">
      <c r="A26" s="40">
        <v>45832</v>
      </c>
      <c r="B26" s="40">
        <v>45825</v>
      </c>
      <c r="C26" s="40">
        <v>45831</v>
      </c>
      <c r="D26" s="40">
        <v>45803</v>
      </c>
      <c r="E26" s="40">
        <v>45831</v>
      </c>
      <c r="F26" s="40" t="str">
        <f>IF(AND($H$2 &gt;= Report_Cycle[[#This Row],[28-Day Start]], $H$2 &lt;= Report_Cycle[[#This Row],[28-Day End]], MATCH($H$2, Report_Cycle[28-Day End], 0) = ROW()-1), "CURRENT", IF(AND($H$2 &gt;= Report_Cycle[[#This Row],[7-Day Start]], $H$2 &lt;= Report_Cycle[[#This Row],[7-Day End]], MATCH($H$2, Report_Cycle[7-Day End], 0) = ROW()-1), "CURRENT", ""))</f>
        <v/>
      </c>
    </row>
    <row r="27" spans="1:6" ht="18.75" x14ac:dyDescent="0.3">
      <c r="A27" s="40">
        <v>45839</v>
      </c>
      <c r="B27" s="40">
        <v>45832</v>
      </c>
      <c r="C27" s="40">
        <v>45838</v>
      </c>
      <c r="D27" s="40">
        <v>45810</v>
      </c>
      <c r="E27" s="40">
        <v>45838</v>
      </c>
      <c r="F27" s="40" t="str">
        <f>IF(AND($H$2 &gt;= Report_Cycle[[#This Row],[28-Day Start]], $H$2 &lt;= Report_Cycle[[#This Row],[28-Day End]], MATCH($H$2, Report_Cycle[28-Day End], 0) = ROW()-1), "CURRENT", IF(AND($H$2 &gt;= Report_Cycle[[#This Row],[7-Day Start]], $H$2 &lt;= Report_Cycle[[#This Row],[7-Day End]], MATCH($H$2, Report_Cycle[7-Day End], 0) = ROW()-1), "CURRENT", ""))</f>
        <v/>
      </c>
    </row>
    <row r="28" spans="1:6" ht="18.75" x14ac:dyDescent="0.3">
      <c r="A28" s="40">
        <v>45846</v>
      </c>
      <c r="B28" s="40">
        <v>45839</v>
      </c>
      <c r="C28" s="40">
        <v>45845</v>
      </c>
      <c r="D28" s="40">
        <v>45817</v>
      </c>
      <c r="E28" s="40">
        <v>45845</v>
      </c>
      <c r="F28" s="40" t="str">
        <f>IF(AND($H$2 &gt;= Report_Cycle[[#This Row],[28-Day Start]], $H$2 &lt;= Report_Cycle[[#This Row],[28-Day End]], MATCH($H$2, Report_Cycle[28-Day End], 0) = ROW()-1), "CURRENT", IF(AND($H$2 &gt;= Report_Cycle[[#This Row],[7-Day Start]], $H$2 &lt;= Report_Cycle[[#This Row],[7-Day End]], MATCH($H$2, Report_Cycle[7-Day End], 0) = ROW()-1), "CURRENT", ""))</f>
        <v/>
      </c>
    </row>
    <row r="29" spans="1:6" ht="18.75" x14ac:dyDescent="0.3">
      <c r="A29" s="40">
        <v>45853</v>
      </c>
      <c r="B29" s="40">
        <v>45846</v>
      </c>
      <c r="C29" s="40">
        <v>45852</v>
      </c>
      <c r="D29" s="40">
        <v>45824</v>
      </c>
      <c r="E29" s="40">
        <v>45852</v>
      </c>
      <c r="F29" s="40" t="str">
        <f>IF(AND($H$2 &gt;= Report_Cycle[[#This Row],[28-Day Start]], $H$2 &lt;= Report_Cycle[[#This Row],[28-Day End]], MATCH($H$2, Report_Cycle[28-Day End], 0) = ROW()-1), "CURRENT", IF(AND($H$2 &gt;= Report_Cycle[[#This Row],[7-Day Start]], $H$2 &lt;= Report_Cycle[[#This Row],[7-Day End]], MATCH($H$2, Report_Cycle[7-Day End], 0) = ROW()-1), "CURRENT", ""))</f>
        <v/>
      </c>
    </row>
    <row r="30" spans="1:6" ht="18.75" x14ac:dyDescent="0.3">
      <c r="A30" s="40">
        <v>45860</v>
      </c>
      <c r="B30" s="40">
        <v>45853</v>
      </c>
      <c r="C30" s="40">
        <v>45859</v>
      </c>
      <c r="D30" s="40">
        <v>45831</v>
      </c>
      <c r="E30" s="40">
        <v>45859</v>
      </c>
      <c r="F30" s="40" t="str">
        <f>IF(AND($H$2 &gt;= Report_Cycle[[#This Row],[28-Day Start]], $H$2 &lt;= Report_Cycle[[#This Row],[28-Day End]], MATCH($H$2, Report_Cycle[28-Day End], 0) = ROW()-1), "CURRENT", IF(AND($H$2 &gt;= Report_Cycle[[#This Row],[7-Day Start]], $H$2 &lt;= Report_Cycle[[#This Row],[7-Day End]], MATCH($H$2, Report_Cycle[7-Day End], 0) = ROW()-1), "CURRENT", ""))</f>
        <v/>
      </c>
    </row>
    <row r="31" spans="1:6" ht="18.75" x14ac:dyDescent="0.3">
      <c r="A31" s="40">
        <v>45867</v>
      </c>
      <c r="B31" s="40">
        <v>45860</v>
      </c>
      <c r="C31" s="40">
        <v>45866</v>
      </c>
      <c r="D31" s="40">
        <v>45838</v>
      </c>
      <c r="E31" s="40">
        <v>45866</v>
      </c>
      <c r="F31" s="40" t="str">
        <f>IF(AND($H$2 &gt;= Report_Cycle[[#This Row],[28-Day Start]], $H$2 &lt;= Report_Cycle[[#This Row],[28-Day End]], MATCH($H$2, Report_Cycle[28-Day End], 0) = ROW()-1), "CURRENT", IF(AND($H$2 &gt;= Report_Cycle[[#This Row],[7-Day Start]], $H$2 &lt;= Report_Cycle[[#This Row],[7-Day End]], MATCH($H$2, Report_Cycle[7-Day End], 0) = ROW()-1), "CURRENT", ""))</f>
        <v/>
      </c>
    </row>
    <row r="32" spans="1:6" ht="18.75" x14ac:dyDescent="0.3">
      <c r="A32" s="40">
        <v>45874</v>
      </c>
      <c r="B32" s="40">
        <v>45867</v>
      </c>
      <c r="C32" s="40">
        <v>45873</v>
      </c>
      <c r="D32" s="40">
        <v>45845</v>
      </c>
      <c r="E32" s="40">
        <v>45873</v>
      </c>
      <c r="F32" s="40" t="str">
        <f>IF(AND($H$2 &gt;= Report_Cycle[[#This Row],[28-Day Start]], $H$2 &lt;= Report_Cycle[[#This Row],[28-Day End]], MATCH($H$2, Report_Cycle[28-Day End], 0) = ROW()-1), "CURRENT", IF(AND($H$2 &gt;= Report_Cycle[[#This Row],[7-Day Start]], $H$2 &lt;= Report_Cycle[[#This Row],[7-Day End]], MATCH($H$2, Report_Cycle[7-Day End], 0) = ROW()-1), "CURRENT", ""))</f>
        <v/>
      </c>
    </row>
    <row r="33" spans="1:6" ht="18.75" x14ac:dyDescent="0.3">
      <c r="A33" s="40">
        <v>45881</v>
      </c>
      <c r="B33" s="40">
        <v>45874</v>
      </c>
      <c r="C33" s="40">
        <v>45880</v>
      </c>
      <c r="D33" s="40">
        <v>45852</v>
      </c>
      <c r="E33" s="40">
        <v>45880</v>
      </c>
      <c r="F33" s="40" t="str">
        <f>IF(AND($H$2 &gt;= Report_Cycle[[#This Row],[28-Day Start]], $H$2 &lt;= Report_Cycle[[#This Row],[28-Day End]], MATCH($H$2, Report_Cycle[28-Day End], 0) = ROW()-1), "CURRENT", IF(AND($H$2 &gt;= Report_Cycle[[#This Row],[7-Day Start]], $H$2 &lt;= Report_Cycle[[#This Row],[7-Day End]], MATCH($H$2, Report_Cycle[7-Day End], 0) = ROW()-1), "CURRENT", ""))</f>
        <v/>
      </c>
    </row>
    <row r="34" spans="1:6" ht="18.75" x14ac:dyDescent="0.3">
      <c r="A34" s="40">
        <v>45888</v>
      </c>
      <c r="B34" s="40">
        <v>45881</v>
      </c>
      <c r="C34" s="40">
        <v>45887</v>
      </c>
      <c r="D34" s="40">
        <v>45859</v>
      </c>
      <c r="E34" s="40">
        <v>45887</v>
      </c>
      <c r="F34" s="40" t="str">
        <f>IF(AND($H$2 &gt;= Report_Cycle[[#This Row],[28-Day Start]], $H$2 &lt;= Report_Cycle[[#This Row],[28-Day End]], MATCH($H$2, Report_Cycle[28-Day End], 0) = ROW()-1), "CURRENT", IF(AND($H$2 &gt;= Report_Cycle[[#This Row],[7-Day Start]], $H$2 &lt;= Report_Cycle[[#This Row],[7-Day End]], MATCH($H$2, Report_Cycle[7-Day End], 0) = ROW()-1), "CURRENT", ""))</f>
        <v/>
      </c>
    </row>
    <row r="35" spans="1:6" ht="18.75" x14ac:dyDescent="0.3">
      <c r="A35" s="40">
        <v>45895</v>
      </c>
      <c r="B35" s="40">
        <v>45888</v>
      </c>
      <c r="C35" s="40">
        <v>45894</v>
      </c>
      <c r="D35" s="40">
        <v>45866</v>
      </c>
      <c r="E35" s="40">
        <v>45894</v>
      </c>
      <c r="F35" s="40" t="str">
        <f>IF(AND($H$2 &gt;= Report_Cycle[[#This Row],[28-Day Start]], $H$2 &lt;= Report_Cycle[[#This Row],[28-Day End]], MATCH($H$2, Report_Cycle[28-Day End], 0) = ROW()-1), "CURRENT", IF(AND($H$2 &gt;= Report_Cycle[[#This Row],[7-Day Start]], $H$2 &lt;= Report_Cycle[[#This Row],[7-Day End]], MATCH($H$2, Report_Cycle[7-Day End], 0) = ROW()-1), "CURRENT", ""))</f>
        <v/>
      </c>
    </row>
    <row r="36" spans="1:6" ht="18.75" x14ac:dyDescent="0.3">
      <c r="A36" s="40">
        <v>45902</v>
      </c>
      <c r="B36" s="40">
        <v>45895</v>
      </c>
      <c r="C36" s="40">
        <v>45901</v>
      </c>
      <c r="D36" s="40">
        <v>45873</v>
      </c>
      <c r="E36" s="40">
        <v>45901</v>
      </c>
      <c r="F36" s="40" t="str">
        <f>IF(AND($H$2 &gt;= Report_Cycle[[#This Row],[28-Day Start]], $H$2 &lt;= Report_Cycle[[#This Row],[28-Day End]], MATCH($H$2, Report_Cycle[28-Day End], 0) = ROW()-1), "CURRENT", IF(AND($H$2 &gt;= Report_Cycle[[#This Row],[7-Day Start]], $H$2 &lt;= Report_Cycle[[#This Row],[7-Day End]], MATCH($H$2, Report_Cycle[7-Day End], 0) = ROW()-1), "CURRENT", ""))</f>
        <v/>
      </c>
    </row>
    <row r="37" spans="1:6" ht="18.75" x14ac:dyDescent="0.3">
      <c r="A37" s="40">
        <v>45909</v>
      </c>
      <c r="B37" s="40">
        <v>45902</v>
      </c>
      <c r="C37" s="40">
        <v>45908</v>
      </c>
      <c r="D37" s="40">
        <v>45880</v>
      </c>
      <c r="E37" s="40">
        <v>45908</v>
      </c>
      <c r="F37" s="40" t="str">
        <f>IF(AND($H$2 &gt;= Report_Cycle[[#This Row],[28-Day Start]], $H$2 &lt;= Report_Cycle[[#This Row],[28-Day End]], MATCH($H$2, Report_Cycle[28-Day End], 0) = ROW()-1), "CURRENT", IF(AND($H$2 &gt;= Report_Cycle[[#This Row],[7-Day Start]], $H$2 &lt;= Report_Cycle[[#This Row],[7-Day End]], MATCH($H$2, Report_Cycle[7-Day End], 0) = ROW()-1), "CURRENT", ""))</f>
        <v/>
      </c>
    </row>
    <row r="38" spans="1:6" ht="18.75" x14ac:dyDescent="0.3">
      <c r="A38" s="40">
        <v>45916</v>
      </c>
      <c r="B38" s="40">
        <v>45909</v>
      </c>
      <c r="C38" s="40">
        <v>45915</v>
      </c>
      <c r="D38" s="40">
        <v>45887</v>
      </c>
      <c r="E38" s="40">
        <v>45915</v>
      </c>
      <c r="F38" s="40" t="str">
        <f>IF(AND($H$2 &gt;= Report_Cycle[[#This Row],[28-Day Start]], $H$2 &lt;= Report_Cycle[[#This Row],[28-Day End]], MATCH($H$2, Report_Cycle[28-Day End], 0) = ROW()-1), "CURRENT", IF(AND($H$2 &gt;= Report_Cycle[[#This Row],[7-Day Start]], $H$2 &lt;= Report_Cycle[[#This Row],[7-Day End]], MATCH($H$2, Report_Cycle[7-Day End], 0) = ROW()-1), "CURRENT", ""))</f>
        <v/>
      </c>
    </row>
    <row r="39" spans="1:6" ht="18.75" x14ac:dyDescent="0.3">
      <c r="A39" s="40">
        <v>45923</v>
      </c>
      <c r="B39" s="40">
        <v>45916</v>
      </c>
      <c r="C39" s="40">
        <v>45922</v>
      </c>
      <c r="D39" s="40">
        <v>45894</v>
      </c>
      <c r="E39" s="40">
        <v>45922</v>
      </c>
      <c r="F39" s="40" t="str">
        <f>IF(AND($H$2 &gt;= Report_Cycle[[#This Row],[28-Day Start]], $H$2 &lt;= Report_Cycle[[#This Row],[28-Day End]], MATCH($H$2, Report_Cycle[28-Day End], 0) = ROW()-1), "CURRENT", IF(AND($H$2 &gt;= Report_Cycle[[#This Row],[7-Day Start]], $H$2 &lt;= Report_Cycle[[#This Row],[7-Day End]], MATCH($H$2, Report_Cycle[7-Day End], 0) = ROW()-1), "CURRENT", ""))</f>
        <v/>
      </c>
    </row>
    <row r="40" spans="1:6" ht="18.75" x14ac:dyDescent="0.3">
      <c r="A40" s="40">
        <v>45930</v>
      </c>
      <c r="B40" s="40">
        <v>45923</v>
      </c>
      <c r="C40" s="40">
        <v>45929</v>
      </c>
      <c r="D40" s="40">
        <v>45901</v>
      </c>
      <c r="E40" s="40">
        <v>45929</v>
      </c>
      <c r="F40" s="40" t="str">
        <f>IF(AND($H$2 &gt;= Report_Cycle[[#This Row],[28-Day Start]], $H$2 &lt;= Report_Cycle[[#This Row],[28-Day End]], MATCH($H$2, Report_Cycle[28-Day End], 0) = ROW()-1), "CURRENT", IF(AND($H$2 &gt;= Report_Cycle[[#This Row],[7-Day Start]], $H$2 &lt;= Report_Cycle[[#This Row],[7-Day End]], MATCH($H$2, Report_Cycle[7-Day End], 0) = ROW()-1), "CURRENT", ""))</f>
        <v/>
      </c>
    </row>
    <row r="41" spans="1:6" ht="18.75" x14ac:dyDescent="0.3">
      <c r="A41" s="40">
        <v>45937</v>
      </c>
      <c r="B41" s="40">
        <v>45930</v>
      </c>
      <c r="C41" s="40">
        <v>45936</v>
      </c>
      <c r="D41" s="40">
        <v>45908</v>
      </c>
      <c r="E41" s="40">
        <v>45936</v>
      </c>
      <c r="F41" s="40" t="str">
        <f>IF(AND($H$2 &gt;= Report_Cycle[[#This Row],[28-Day Start]], $H$2 &lt;= Report_Cycle[[#This Row],[28-Day End]], MATCH($H$2, Report_Cycle[28-Day End], 0) = ROW()-1), "CURRENT", IF(AND($H$2 &gt;= Report_Cycle[[#This Row],[7-Day Start]], $H$2 &lt;= Report_Cycle[[#This Row],[7-Day End]], MATCH($H$2, Report_Cycle[7-Day End], 0) = ROW()-1), "CURRENT", ""))</f>
        <v/>
      </c>
    </row>
    <row r="42" spans="1:6" ht="18.75" x14ac:dyDescent="0.3">
      <c r="A42" s="40">
        <v>45944</v>
      </c>
      <c r="B42" s="40">
        <v>45937</v>
      </c>
      <c r="C42" s="40">
        <v>45943</v>
      </c>
      <c r="D42" s="40">
        <v>45915</v>
      </c>
      <c r="E42" s="40">
        <v>45943</v>
      </c>
      <c r="F42" s="40" t="str">
        <f>IF(AND($H$2 &gt;= Report_Cycle[[#This Row],[28-Day Start]], $H$2 &lt;= Report_Cycle[[#This Row],[28-Day End]], MATCH($H$2, Report_Cycle[28-Day End], 0) = ROW()-1), "CURRENT", IF(AND($H$2 &gt;= Report_Cycle[[#This Row],[7-Day Start]], $H$2 &lt;= Report_Cycle[[#This Row],[7-Day End]], MATCH($H$2, Report_Cycle[7-Day End], 0) = ROW()-1), "CURRENT", ""))</f>
        <v/>
      </c>
    </row>
    <row r="43" spans="1:6" ht="18.75" x14ac:dyDescent="0.3">
      <c r="A43" s="40">
        <v>45951</v>
      </c>
      <c r="B43" s="40">
        <v>45944</v>
      </c>
      <c r="C43" s="40">
        <v>45950</v>
      </c>
      <c r="D43" s="40">
        <v>45922</v>
      </c>
      <c r="E43" s="40">
        <v>45950</v>
      </c>
      <c r="F43" s="40" t="str">
        <f>IF(AND($H$2 &gt;= Report_Cycle[[#This Row],[28-Day Start]], $H$2 &lt;= Report_Cycle[[#This Row],[28-Day End]], MATCH($H$2, Report_Cycle[28-Day End], 0) = ROW()-1), "CURRENT", IF(AND($H$2 &gt;= Report_Cycle[[#This Row],[7-Day Start]], $H$2 &lt;= Report_Cycle[[#This Row],[7-Day End]], MATCH($H$2, Report_Cycle[7-Day End], 0) = ROW()-1), "CURRENT", ""))</f>
        <v/>
      </c>
    </row>
    <row r="44" spans="1:6" ht="18.75" x14ac:dyDescent="0.3">
      <c r="A44" s="40">
        <v>45958</v>
      </c>
      <c r="B44" s="40">
        <v>45951</v>
      </c>
      <c r="C44" s="40">
        <v>45957</v>
      </c>
      <c r="D44" s="40">
        <v>45929</v>
      </c>
      <c r="E44" s="40">
        <v>45957</v>
      </c>
      <c r="F44" s="40" t="str">
        <f>IF(AND($H$2 &gt;= Report_Cycle[[#This Row],[28-Day Start]], $H$2 &lt;= Report_Cycle[[#This Row],[28-Day End]], MATCH($H$2, Report_Cycle[28-Day End], 0) = ROW()-1), "CURRENT", IF(AND($H$2 &gt;= Report_Cycle[[#This Row],[7-Day Start]], $H$2 &lt;= Report_Cycle[[#This Row],[7-Day End]], MATCH($H$2, Report_Cycle[7-Day End], 0) = ROW()-1), "CURRENT", ""))</f>
        <v/>
      </c>
    </row>
    <row r="45" spans="1:6" ht="18.75" x14ac:dyDescent="0.3">
      <c r="A45" s="40">
        <v>45965</v>
      </c>
      <c r="B45" s="40">
        <v>45958</v>
      </c>
      <c r="C45" s="40">
        <v>45964</v>
      </c>
      <c r="D45" s="40">
        <v>45936</v>
      </c>
      <c r="E45" s="40">
        <v>45964</v>
      </c>
      <c r="F45" s="40" t="str">
        <f>IF(AND($H$2 &gt;= Report_Cycle[[#This Row],[28-Day Start]], $H$2 &lt;= Report_Cycle[[#This Row],[28-Day End]], MATCH($H$2, Report_Cycle[28-Day End], 0) = ROW()-1), "CURRENT", IF(AND($H$2 &gt;= Report_Cycle[[#This Row],[7-Day Start]], $H$2 &lt;= Report_Cycle[[#This Row],[7-Day End]], MATCH($H$2, Report_Cycle[7-Day End], 0) = ROW()-1), "CURRENT", ""))</f>
        <v/>
      </c>
    </row>
    <row r="46" spans="1:6" ht="18.75" x14ac:dyDescent="0.3">
      <c r="A46" s="40">
        <v>45972</v>
      </c>
      <c r="B46" s="40">
        <v>45965</v>
      </c>
      <c r="C46" s="40">
        <v>45971</v>
      </c>
      <c r="D46" s="40">
        <v>45943</v>
      </c>
      <c r="E46" s="40">
        <v>45971</v>
      </c>
      <c r="F46" s="40" t="str">
        <f>IF(AND($H$2 &gt;= Report_Cycle[[#This Row],[28-Day Start]], $H$2 &lt;= Report_Cycle[[#This Row],[28-Day End]], MATCH($H$2, Report_Cycle[28-Day End], 0) = ROW()-1), "CURRENT", IF(AND($H$2 &gt;= Report_Cycle[[#This Row],[7-Day Start]], $H$2 &lt;= Report_Cycle[[#This Row],[7-Day End]], MATCH($H$2, Report_Cycle[7-Day End], 0) = ROW()-1), "CURRENT", ""))</f>
        <v/>
      </c>
    </row>
    <row r="47" spans="1:6" ht="18.75" x14ac:dyDescent="0.3">
      <c r="A47" s="40">
        <v>45979</v>
      </c>
      <c r="B47" s="40">
        <v>45972</v>
      </c>
      <c r="C47" s="40">
        <v>45978</v>
      </c>
      <c r="D47" s="40">
        <v>45950</v>
      </c>
      <c r="E47" s="40">
        <v>45978</v>
      </c>
      <c r="F47" s="40" t="str">
        <f>IF(AND($H$2 &gt;= Report_Cycle[[#This Row],[28-Day Start]], $H$2 &lt;= Report_Cycle[[#This Row],[28-Day End]], MATCH($H$2, Report_Cycle[28-Day End], 0) = ROW()-1), "CURRENT", IF(AND($H$2 &gt;= Report_Cycle[[#This Row],[7-Day Start]], $H$2 &lt;= Report_Cycle[[#This Row],[7-Day End]], MATCH($H$2, Report_Cycle[7-Day End], 0) = ROW()-1), "CURRENT", ""))</f>
        <v/>
      </c>
    </row>
    <row r="48" spans="1:6" ht="18.75" x14ac:dyDescent="0.3">
      <c r="A48" s="40">
        <v>45986</v>
      </c>
      <c r="B48" s="40">
        <v>45979</v>
      </c>
      <c r="C48" s="40">
        <v>45985</v>
      </c>
      <c r="D48" s="40">
        <v>45957</v>
      </c>
      <c r="E48" s="40">
        <v>45985</v>
      </c>
      <c r="F48" s="40" t="str">
        <f>IF(AND($H$2 &gt;= Report_Cycle[[#This Row],[28-Day Start]], $H$2 &lt;= Report_Cycle[[#This Row],[28-Day End]], MATCH($H$2, Report_Cycle[28-Day End], 0) = ROW()-1), "CURRENT", IF(AND($H$2 &gt;= Report_Cycle[[#This Row],[7-Day Start]], $H$2 &lt;= Report_Cycle[[#This Row],[7-Day End]], MATCH($H$2, Report_Cycle[7-Day End], 0) = ROW()-1), "CURRENT", ""))</f>
        <v/>
      </c>
    </row>
    <row r="49" spans="1:6" ht="18.75" x14ac:dyDescent="0.3">
      <c r="A49" s="40">
        <v>45993</v>
      </c>
      <c r="B49" s="40">
        <v>45986</v>
      </c>
      <c r="C49" s="40">
        <v>45992</v>
      </c>
      <c r="D49" s="40">
        <v>45964</v>
      </c>
      <c r="E49" s="40">
        <v>45992</v>
      </c>
      <c r="F49" s="40" t="str">
        <f>IF(AND($H$2 &gt;= Report_Cycle[[#This Row],[28-Day Start]], $H$2 &lt;= Report_Cycle[[#This Row],[28-Day End]], MATCH($H$2, Report_Cycle[28-Day End], 0) = ROW()-1), "CURRENT", IF(AND($H$2 &gt;= Report_Cycle[[#This Row],[7-Day Start]], $H$2 &lt;= Report_Cycle[[#This Row],[7-Day End]], MATCH($H$2, Report_Cycle[7-Day End], 0) = ROW()-1), "CURRENT", ""))</f>
        <v/>
      </c>
    </row>
    <row r="50" spans="1:6" ht="18.75" x14ac:dyDescent="0.3">
      <c r="A50" s="40">
        <v>46000</v>
      </c>
      <c r="B50" s="40">
        <v>45993</v>
      </c>
      <c r="C50" s="40">
        <v>45999</v>
      </c>
      <c r="D50" s="40">
        <v>45971</v>
      </c>
      <c r="E50" s="40">
        <v>45999</v>
      </c>
      <c r="F50" s="40" t="str">
        <f>IF(AND($H$2 &gt;= Report_Cycle[[#This Row],[28-Day Start]], $H$2 &lt;= Report_Cycle[[#This Row],[28-Day End]], MATCH($H$2, Report_Cycle[28-Day End], 0) = ROW()-1), "CURRENT", IF(AND($H$2 &gt;= Report_Cycle[[#This Row],[7-Day Start]], $H$2 &lt;= Report_Cycle[[#This Row],[7-Day End]], MATCH($H$2, Report_Cycle[7-Day End], 0) = ROW()-1), "CURRENT", ""))</f>
        <v/>
      </c>
    </row>
    <row r="51" spans="1:6" ht="18.75" x14ac:dyDescent="0.3">
      <c r="A51" s="40">
        <v>46007</v>
      </c>
      <c r="B51" s="40">
        <v>46000</v>
      </c>
      <c r="C51" s="40">
        <v>46006</v>
      </c>
      <c r="D51" s="40">
        <v>45978</v>
      </c>
      <c r="E51" s="40">
        <v>46006</v>
      </c>
      <c r="F51" s="40" t="str">
        <f>IF(AND($H$2 &gt;= Report_Cycle[[#This Row],[28-Day Start]], $H$2 &lt;= Report_Cycle[[#This Row],[28-Day End]], MATCH($H$2, Report_Cycle[28-Day End], 0) = ROW()-1), "CURRENT", IF(AND($H$2 &gt;= Report_Cycle[[#This Row],[7-Day Start]], $H$2 &lt;= Report_Cycle[[#This Row],[7-Day End]], MATCH($H$2, Report_Cycle[7-Day End], 0) = ROW()-1), "CURRENT", ""))</f>
        <v/>
      </c>
    </row>
    <row r="52" spans="1:6" ht="18.75" x14ac:dyDescent="0.3">
      <c r="A52" s="40">
        <v>46014</v>
      </c>
      <c r="B52" s="40">
        <v>46007</v>
      </c>
      <c r="C52" s="40">
        <v>46013</v>
      </c>
      <c r="D52" s="40">
        <v>45985</v>
      </c>
      <c r="E52" s="40">
        <v>46013</v>
      </c>
      <c r="F52" s="40" t="str">
        <f>IF(AND($H$2 &gt;= Report_Cycle[[#This Row],[28-Day Start]], $H$2 &lt;= Report_Cycle[[#This Row],[28-Day End]], MATCH($H$2, Report_Cycle[28-Day End], 0) = ROW()-1), "CURRENT", IF(AND($H$2 &gt;= Report_Cycle[[#This Row],[7-Day Start]], $H$2 &lt;= Report_Cycle[[#This Row],[7-Day End]], MATCH($H$2, Report_Cycle[7-Day End], 0) = ROW()-1), "CURRENT", ""))</f>
        <v/>
      </c>
    </row>
    <row r="53" spans="1:6" ht="18.75" x14ac:dyDescent="0.3">
      <c r="A53" s="40">
        <v>46021</v>
      </c>
      <c r="B53" s="40">
        <v>46014</v>
      </c>
      <c r="C53" s="40">
        <v>46020</v>
      </c>
      <c r="D53" s="40">
        <v>45992</v>
      </c>
      <c r="E53" s="40">
        <v>46020</v>
      </c>
      <c r="F53" s="40" t="str">
        <f>IF(AND($H$2 &gt;= Report_Cycle[[#This Row],[28-Day Start]], $H$2 &lt;= Report_Cycle[[#This Row],[28-Day End]], MATCH($H$2, Report_Cycle[28-Day End], 0) = ROW()-1), "CURRENT", IF(AND($H$2 &gt;= Report_Cycle[[#This Row],[7-Day Start]], $H$2 &lt;= Report_Cycle[[#This Row],[7-Day End]], MATCH($H$2, Report_Cycle[7-Day End], 0) = ROW()-1), "CURRENT", ""))</f>
        <v/>
      </c>
    </row>
    <row r="54" spans="1:6" ht="18.75" x14ac:dyDescent="0.3">
      <c r="A54" s="40">
        <v>46028</v>
      </c>
      <c r="B54" s="40">
        <v>46021</v>
      </c>
      <c r="C54" s="40">
        <v>45975</v>
      </c>
      <c r="D54" s="40">
        <v>45947</v>
      </c>
      <c r="E54" s="40">
        <v>45975</v>
      </c>
      <c r="F54" s="40" t="str">
        <f>IF(AND($H$2 &gt;= Report_Cycle[[#This Row],[28-Day Start]], $H$2 &lt;= Report_Cycle[[#This Row],[28-Day End]], MATCH($H$2, Report_Cycle[28-Day End], 0) = ROW()-1), "CURRENT", IF(AND($H$2 &gt;= Report_Cycle[[#This Row],[7-Day Start]], $H$2 &lt;= Report_Cycle[[#This Row],[7-Day End]], MATCH($H$2, Report_Cycle[7-Day End], 0) = ROW()-1), "CURRENT", ""))</f>
        <v/>
      </c>
    </row>
    <row r="55" spans="1:6" ht="18.75" x14ac:dyDescent="0.3">
      <c r="A55" s="40">
        <v>46035</v>
      </c>
      <c r="B55" s="40">
        <v>45657</v>
      </c>
      <c r="C55" s="40">
        <v>45981</v>
      </c>
      <c r="D55" s="40">
        <v>45953</v>
      </c>
      <c r="E55" s="40">
        <v>45981</v>
      </c>
      <c r="F55" s="40" t="str">
        <f>IF(AND($H$2 &gt;= Report_Cycle[[#This Row],[28-Day Start]], $H$2 &lt;= Report_Cycle[[#This Row],[28-Day End]], MATCH($H$2, Report_Cycle[28-Day End], 0) = ROW()-1), "CURRENT", IF(AND($H$2 &gt;= Report_Cycle[[#This Row],[7-Day Start]], $H$2 &lt;= Report_Cycle[[#This Row],[7-Day End]], MATCH($H$2, Report_Cycle[7-Day End], 0) = ROW()-1), "CURRENT", ""))</f>
        <v/>
      </c>
    </row>
    <row r="56" spans="1:6" ht="18.75" x14ac:dyDescent="0.3">
      <c r="A56" s="40">
        <v>46042</v>
      </c>
      <c r="B56" s="40">
        <v>45664</v>
      </c>
      <c r="C56" s="40">
        <v>45987</v>
      </c>
      <c r="D56" s="40">
        <v>45959</v>
      </c>
      <c r="E56" s="40">
        <v>45987</v>
      </c>
      <c r="F56" s="40" t="str">
        <f>IF(AND($H$2 &gt;= Report_Cycle[[#This Row],[28-Day Start]], $H$2 &lt;= Report_Cycle[[#This Row],[28-Day End]], MATCH($H$2, Report_Cycle[28-Day End], 0) = ROW()-1), "CURRENT", IF(AND($H$2 &gt;= Report_Cycle[[#This Row],[7-Day Start]], $H$2 &lt;= Report_Cycle[[#This Row],[7-Day End]], MATCH($H$2, Report_Cycle[7-Day End], 0) = ROW()-1), "CURRENT", ""))</f>
        <v/>
      </c>
    </row>
    <row r="57" spans="1:6" ht="18.75" x14ac:dyDescent="0.3">
      <c r="A57" s="40">
        <v>46049</v>
      </c>
      <c r="B57" s="40">
        <v>45671</v>
      </c>
      <c r="C57" s="40">
        <v>45993</v>
      </c>
      <c r="D57" s="40">
        <v>45965</v>
      </c>
      <c r="E57" s="40">
        <v>45993</v>
      </c>
      <c r="F57" s="40" t="str">
        <f>IF(AND($H$2 &gt;= Report_Cycle[[#This Row],[28-Day Start]], $H$2 &lt;= Report_Cycle[[#This Row],[28-Day End]], MATCH($H$2, Report_Cycle[28-Day End], 0) = ROW()-1), "CURRENT", IF(AND($H$2 &gt;= Report_Cycle[[#This Row],[7-Day Start]], $H$2 &lt;= Report_Cycle[[#This Row],[7-Day End]], MATCH($H$2, Report_Cycle[7-Day End], 0) = ROW()-1), "CURRENT", ""))</f>
        <v/>
      </c>
    </row>
    <row r="58" spans="1:6" ht="18.75" x14ac:dyDescent="0.3">
      <c r="A58" s="40">
        <v>46056</v>
      </c>
      <c r="B58" s="40">
        <v>45678</v>
      </c>
      <c r="C58" s="40">
        <v>45999</v>
      </c>
      <c r="D58" s="40">
        <v>45971</v>
      </c>
      <c r="E58" s="40">
        <v>45999</v>
      </c>
      <c r="F58" s="40" t="str">
        <f>IF(AND($H$2 &gt;= Report_Cycle[[#This Row],[28-Day Start]], $H$2 &lt;= Report_Cycle[[#This Row],[28-Day End]], MATCH($H$2, Report_Cycle[28-Day End], 0) = ROW()-1), "CURRENT", IF(AND($H$2 &gt;= Report_Cycle[[#This Row],[7-Day Start]], $H$2 &lt;= Report_Cycle[[#This Row],[7-Day End]], MATCH($H$2, Report_Cycle[7-Day End], 0) = ROW()-1), "CURRENT", ""))</f>
        <v/>
      </c>
    </row>
    <row r="59" spans="1:6" ht="18.75" x14ac:dyDescent="0.3">
      <c r="A59" s="40">
        <v>46063</v>
      </c>
      <c r="B59" s="40">
        <v>45685</v>
      </c>
      <c r="C59" s="40">
        <v>46005</v>
      </c>
      <c r="D59" s="40">
        <v>45977</v>
      </c>
      <c r="E59" s="40">
        <v>46005</v>
      </c>
      <c r="F59" s="40" t="str">
        <f>IF(AND($H$2 &gt;= Report_Cycle[[#This Row],[28-Day Start]], $H$2 &lt;= Report_Cycle[[#This Row],[28-Day End]], MATCH($H$2, Report_Cycle[28-Day End], 0) = ROW()-1), "CURRENT", IF(AND($H$2 &gt;= Report_Cycle[[#This Row],[7-Day Start]], $H$2 &lt;= Report_Cycle[[#This Row],[7-Day End]], MATCH($H$2, Report_Cycle[7-Day End], 0) = ROW()-1), "CURRENT", ""))</f>
        <v/>
      </c>
    </row>
    <row r="60" spans="1:6" ht="18.75" x14ac:dyDescent="0.3">
      <c r="A60" s="40">
        <v>46070</v>
      </c>
      <c r="B60" s="40">
        <v>45692</v>
      </c>
      <c r="C60" s="40">
        <v>46011</v>
      </c>
      <c r="D60" s="40">
        <v>45983</v>
      </c>
      <c r="E60" s="40">
        <v>46011</v>
      </c>
      <c r="F60" s="40" t="str">
        <f>IF(AND($H$2 &gt;= Report_Cycle[[#This Row],[28-Day Start]], $H$2 &lt;= Report_Cycle[[#This Row],[28-Day End]], MATCH($H$2, Report_Cycle[28-Day End], 0) = ROW()-1), "CURRENT", IF(AND($H$2 &gt;= Report_Cycle[[#This Row],[7-Day Start]], $H$2 &lt;= Report_Cycle[[#This Row],[7-Day End]], MATCH($H$2, Report_Cycle[7-Day End], 0) = ROW()-1), "CURRENT", ""))</f>
        <v/>
      </c>
    </row>
    <row r="61" spans="1:6" ht="18.75" x14ac:dyDescent="0.3">
      <c r="A61" s="40">
        <v>46077</v>
      </c>
      <c r="B61" s="40">
        <v>45699</v>
      </c>
      <c r="C61" s="40">
        <v>46017</v>
      </c>
      <c r="D61" s="40">
        <v>45989</v>
      </c>
      <c r="E61" s="40">
        <v>46017</v>
      </c>
      <c r="F61" s="40" t="str">
        <f>IF(AND($H$2 &gt;= Report_Cycle[[#This Row],[28-Day Start]], $H$2 &lt;= Report_Cycle[[#This Row],[28-Day End]], MATCH($H$2, Report_Cycle[28-Day End], 0) = ROW()-1), "CURRENT", IF(AND($H$2 &gt;= Report_Cycle[[#This Row],[7-Day Start]], $H$2 &lt;= Report_Cycle[[#This Row],[7-Day End]], MATCH($H$2, Report_Cycle[7-Day End], 0) = ROW()-1), "CURRENT", ""))</f>
        <v/>
      </c>
    </row>
    <row r="62" spans="1:6" ht="18.75" x14ac:dyDescent="0.3">
      <c r="A62" s="40">
        <v>46084</v>
      </c>
      <c r="B62" s="40">
        <v>45706</v>
      </c>
      <c r="C62" s="40">
        <v>46023</v>
      </c>
      <c r="D62" s="40">
        <v>45995</v>
      </c>
      <c r="E62" s="40">
        <v>46023</v>
      </c>
      <c r="F62" s="40" t="str">
        <f>IF(AND($H$2 &gt;= Report_Cycle[[#This Row],[28-Day Start]], $H$2 &lt;= Report_Cycle[[#This Row],[28-Day End]], MATCH($H$2, Report_Cycle[28-Day End], 0) = ROW()-1), "CURRENT", IF(AND($H$2 &gt;= Report_Cycle[[#This Row],[7-Day Start]], $H$2 &lt;= Report_Cycle[[#This Row],[7-Day End]], MATCH($H$2, Report_Cycle[7-Day End], 0) = ROW()-1), "CURRENT", ""))</f>
        <v/>
      </c>
    </row>
    <row r="63" spans="1:6" ht="18.75" x14ac:dyDescent="0.3">
      <c r="A63" s="40">
        <v>46091</v>
      </c>
      <c r="B63" s="40">
        <v>45713</v>
      </c>
      <c r="C63" s="40">
        <v>45663</v>
      </c>
      <c r="D63" s="40">
        <v>45635</v>
      </c>
      <c r="E63" s="40">
        <v>45663</v>
      </c>
      <c r="F63" s="40" t="str">
        <f>IF(AND($H$2 &gt;= Report_Cycle[[#This Row],[28-Day Start]], $H$2 &lt;= Report_Cycle[[#This Row],[28-Day End]], MATCH($H$2, Report_Cycle[28-Day End], 0) = ROW()-1), "CURRENT", IF(AND($H$2 &gt;= Report_Cycle[[#This Row],[7-Day Start]], $H$2 &lt;= Report_Cycle[[#This Row],[7-Day End]], MATCH($H$2, Report_Cycle[7-Day End], 0) = ROW()-1), "CURRENT", ""))</f>
        <v/>
      </c>
    </row>
    <row r="64" spans="1:6" ht="18.75" x14ac:dyDescent="0.3">
      <c r="A64" s="40">
        <v>46098</v>
      </c>
      <c r="B64" s="40">
        <v>45720</v>
      </c>
      <c r="C64" s="40">
        <v>45670</v>
      </c>
      <c r="D64" s="40">
        <v>45642</v>
      </c>
      <c r="E64" s="40">
        <v>45670</v>
      </c>
      <c r="F64" s="40" t="str">
        <f>IF(AND($H$2 &gt;= Report_Cycle[[#This Row],[28-Day Start]], $H$2 &lt;= Report_Cycle[[#This Row],[28-Day End]], MATCH($H$2, Report_Cycle[28-Day End], 0) = ROW()-1), "CURRENT", IF(AND($H$2 &gt;= Report_Cycle[[#This Row],[7-Day Start]], $H$2 &lt;= Report_Cycle[[#This Row],[7-Day End]], MATCH($H$2, Report_Cycle[7-Day End], 0) = ROW()-1), "CURRENT", ""))</f>
        <v/>
      </c>
    </row>
    <row r="65" spans="1:6" ht="18.75" x14ac:dyDescent="0.3">
      <c r="A65" s="40">
        <v>46105</v>
      </c>
      <c r="B65" s="40">
        <v>45727</v>
      </c>
      <c r="C65" s="40">
        <v>45677</v>
      </c>
      <c r="D65" s="40">
        <v>45649</v>
      </c>
      <c r="E65" s="40">
        <v>45677</v>
      </c>
      <c r="F65" s="40" t="str">
        <f>IF(AND($H$2 &gt;= Report_Cycle[[#This Row],[28-Day Start]], $H$2 &lt;= Report_Cycle[[#This Row],[28-Day End]], MATCH($H$2, Report_Cycle[28-Day End], 0) = ROW()-1), "CURRENT", IF(AND($H$2 &gt;= Report_Cycle[[#This Row],[7-Day Start]], $H$2 &lt;= Report_Cycle[[#This Row],[7-Day End]], MATCH($H$2, Report_Cycle[7-Day End], 0) = ROW()-1), "CURRENT", ""))</f>
        <v/>
      </c>
    </row>
    <row r="66" spans="1:6" ht="18.75" x14ac:dyDescent="0.3">
      <c r="A66" s="40">
        <v>46112</v>
      </c>
      <c r="B66" s="40">
        <v>45734</v>
      </c>
      <c r="C66" s="40">
        <v>45684</v>
      </c>
      <c r="D66" s="40">
        <v>45656</v>
      </c>
      <c r="E66" s="40">
        <v>45684</v>
      </c>
      <c r="F66" s="40" t="str">
        <f>IF(AND($H$2 &gt;= Report_Cycle[[#This Row],[28-Day Start]], $H$2 &lt;= Report_Cycle[[#This Row],[28-Day End]], MATCH($H$2, Report_Cycle[28-Day End], 0) = ROW()-1), "CURRENT", IF(AND($H$2 &gt;= Report_Cycle[[#This Row],[7-Day Start]], $H$2 &lt;= Report_Cycle[[#This Row],[7-Day End]], MATCH($H$2, Report_Cycle[7-Day End], 0) = ROW()-1), "CURRENT", ""))</f>
        <v/>
      </c>
    </row>
    <row r="67" spans="1:6" ht="18.75" x14ac:dyDescent="0.3">
      <c r="A67" s="40">
        <v>46119</v>
      </c>
      <c r="B67" s="40">
        <v>45741</v>
      </c>
      <c r="C67" s="40">
        <v>45691</v>
      </c>
      <c r="D67" s="40">
        <v>45663</v>
      </c>
      <c r="E67" s="40">
        <v>45691</v>
      </c>
      <c r="F67" s="40" t="str">
        <f>IF(AND($H$2 &gt;= Report_Cycle[[#This Row],[28-Day Start]], $H$2 &lt;= Report_Cycle[[#This Row],[28-Day End]], MATCH($H$2, Report_Cycle[28-Day End], 0) = ROW()-1), "CURRENT", IF(AND($H$2 &gt;= Report_Cycle[[#This Row],[7-Day Start]], $H$2 &lt;= Report_Cycle[[#This Row],[7-Day End]], MATCH($H$2, Report_Cycle[7-Day End], 0) = ROW()-1), "CURRENT", ""))</f>
        <v/>
      </c>
    </row>
    <row r="68" spans="1:6" ht="18.75" x14ac:dyDescent="0.3">
      <c r="A68" s="40">
        <v>46126</v>
      </c>
      <c r="B68" s="40">
        <v>45748</v>
      </c>
      <c r="C68" s="40">
        <v>45698</v>
      </c>
      <c r="D68" s="40">
        <v>45670</v>
      </c>
      <c r="E68" s="40">
        <v>45698</v>
      </c>
      <c r="F68" s="40" t="str">
        <f>IF(AND($H$2 &gt;= Report_Cycle[[#This Row],[28-Day Start]], $H$2 &lt;= Report_Cycle[[#This Row],[28-Day End]], MATCH($H$2, Report_Cycle[28-Day End], 0) = ROW()-1), "CURRENT", IF(AND($H$2 &gt;= Report_Cycle[[#This Row],[7-Day Start]], $H$2 &lt;= Report_Cycle[[#This Row],[7-Day End]], MATCH($H$2, Report_Cycle[7-Day End], 0) = ROW()-1), "CURRENT", ""))</f>
        <v/>
      </c>
    </row>
    <row r="69" spans="1:6" ht="18.75" x14ac:dyDescent="0.3">
      <c r="A69" s="40">
        <v>46133</v>
      </c>
      <c r="B69" s="40">
        <v>45755</v>
      </c>
      <c r="C69" s="40">
        <v>45705</v>
      </c>
      <c r="D69" s="40">
        <v>45677</v>
      </c>
      <c r="E69" s="40">
        <v>45705</v>
      </c>
      <c r="F69" s="40" t="str">
        <f>IF(AND($H$2 &gt;= Report_Cycle[[#This Row],[28-Day Start]], $H$2 &lt;= Report_Cycle[[#This Row],[28-Day End]], MATCH($H$2, Report_Cycle[28-Day End], 0) = ROW()-1), "CURRENT", IF(AND($H$2 &gt;= Report_Cycle[[#This Row],[7-Day Start]], $H$2 &lt;= Report_Cycle[[#This Row],[7-Day End]], MATCH($H$2, Report_Cycle[7-Day End], 0) = ROW()-1), "CURRENT", ""))</f>
        <v/>
      </c>
    </row>
    <row r="70" spans="1:6" ht="18.75" x14ac:dyDescent="0.3">
      <c r="A70" s="40">
        <v>46140</v>
      </c>
      <c r="B70" s="40">
        <v>45762</v>
      </c>
      <c r="C70" s="40">
        <v>45712</v>
      </c>
      <c r="D70" s="40">
        <v>45684</v>
      </c>
      <c r="E70" s="40">
        <v>45712</v>
      </c>
      <c r="F70" s="40" t="str">
        <f>IF(AND($H$2 &gt;= Report_Cycle[[#This Row],[28-Day Start]], $H$2 &lt;= Report_Cycle[[#This Row],[28-Day End]], MATCH($H$2, Report_Cycle[28-Day End], 0) = ROW()-1), "CURRENT", IF(AND($H$2 &gt;= Report_Cycle[[#This Row],[7-Day Start]], $H$2 &lt;= Report_Cycle[[#This Row],[7-Day End]], MATCH($H$2, Report_Cycle[7-Day End], 0) = ROW()-1), "CURRENT", ""))</f>
        <v/>
      </c>
    </row>
    <row r="71" spans="1:6" ht="18.75" x14ac:dyDescent="0.3">
      <c r="A71" s="40">
        <v>46147</v>
      </c>
      <c r="B71" s="40">
        <v>45769</v>
      </c>
      <c r="C71" s="40">
        <v>45719</v>
      </c>
      <c r="D71" s="40">
        <v>45691</v>
      </c>
      <c r="E71" s="40">
        <v>45719</v>
      </c>
      <c r="F71" s="40" t="str">
        <f>IF(AND($H$2 &gt;= Report_Cycle[[#This Row],[28-Day Start]], $H$2 &lt;= Report_Cycle[[#This Row],[28-Day End]], MATCH($H$2, Report_Cycle[28-Day End], 0) = ROW()-1), "CURRENT", IF(AND($H$2 &gt;= Report_Cycle[[#This Row],[7-Day Start]], $H$2 &lt;= Report_Cycle[[#This Row],[7-Day End]], MATCH($H$2, Report_Cycle[7-Day End], 0) = ROW()-1), "CURRENT", ""))</f>
        <v/>
      </c>
    </row>
    <row r="72" spans="1:6" ht="18.75" x14ac:dyDescent="0.3">
      <c r="A72" s="40">
        <v>46154</v>
      </c>
      <c r="B72" s="40">
        <v>45776</v>
      </c>
      <c r="C72" s="40">
        <v>45726</v>
      </c>
      <c r="D72" s="40">
        <v>45698</v>
      </c>
      <c r="E72" s="40">
        <v>45726</v>
      </c>
      <c r="F72" s="40" t="str">
        <f>IF(AND($H$2 &gt;= Report_Cycle[[#This Row],[28-Day Start]], $H$2 &lt;= Report_Cycle[[#This Row],[28-Day End]], MATCH($H$2, Report_Cycle[28-Day End], 0) = ROW()-1), "CURRENT", IF(AND($H$2 &gt;= Report_Cycle[[#This Row],[7-Day Start]], $H$2 &lt;= Report_Cycle[[#This Row],[7-Day End]], MATCH($H$2, Report_Cycle[7-Day End], 0) = ROW()-1), "CURRENT", ""))</f>
        <v/>
      </c>
    </row>
    <row r="73" spans="1:6" ht="18.75" x14ac:dyDescent="0.3">
      <c r="A73" s="40">
        <v>46161</v>
      </c>
      <c r="B73" s="40">
        <v>45783</v>
      </c>
      <c r="C73" s="40">
        <v>45733</v>
      </c>
      <c r="D73" s="40">
        <v>45705</v>
      </c>
      <c r="E73" s="40">
        <v>45733</v>
      </c>
      <c r="F73" s="40" t="str">
        <f>IF(AND($H$2 &gt;= Report_Cycle[[#This Row],[28-Day Start]], $H$2 &lt;= Report_Cycle[[#This Row],[28-Day End]], MATCH($H$2, Report_Cycle[28-Day End], 0) = ROW()-1), "CURRENT", IF(AND($H$2 &gt;= Report_Cycle[[#This Row],[7-Day Start]], $H$2 &lt;= Report_Cycle[[#This Row],[7-Day End]], MATCH($H$2, Report_Cycle[7-Day End], 0) = ROW()-1), "CURRENT", ""))</f>
        <v/>
      </c>
    </row>
    <row r="74" spans="1:6" ht="18.75" x14ac:dyDescent="0.3">
      <c r="A74" s="40">
        <v>46168</v>
      </c>
      <c r="B74" s="40">
        <v>45790</v>
      </c>
      <c r="C74" s="40">
        <v>45740</v>
      </c>
      <c r="D74" s="40">
        <v>45712</v>
      </c>
      <c r="E74" s="40">
        <v>45740</v>
      </c>
      <c r="F74" s="40" t="str">
        <f>IF(AND($H$2 &gt;= Report_Cycle[[#This Row],[28-Day Start]], $H$2 &lt;= Report_Cycle[[#This Row],[28-Day End]], MATCH($H$2, Report_Cycle[28-Day End], 0) = ROW()-1), "CURRENT", IF(AND($H$2 &gt;= Report_Cycle[[#This Row],[7-Day Start]], $H$2 &lt;= Report_Cycle[[#This Row],[7-Day End]], MATCH($H$2, Report_Cycle[7-Day End], 0) = ROW()-1), "CURRENT", ""))</f>
        <v/>
      </c>
    </row>
    <row r="75" spans="1:6" ht="18.75" x14ac:dyDescent="0.3">
      <c r="A75" s="40">
        <v>46175</v>
      </c>
      <c r="B75" s="40">
        <v>45797</v>
      </c>
      <c r="C75" s="40">
        <v>45747</v>
      </c>
      <c r="D75" s="40">
        <v>45719</v>
      </c>
      <c r="E75" s="40">
        <v>45747</v>
      </c>
      <c r="F75" s="40" t="str">
        <f>IF(AND($H$2 &gt;= Report_Cycle[[#This Row],[28-Day Start]], $H$2 &lt;= Report_Cycle[[#This Row],[28-Day End]], MATCH($H$2, Report_Cycle[28-Day End], 0) = ROW()-1), "CURRENT", IF(AND($H$2 &gt;= Report_Cycle[[#This Row],[7-Day Start]], $H$2 &lt;= Report_Cycle[[#This Row],[7-Day End]], MATCH($H$2, Report_Cycle[7-Day End], 0) = ROW()-1), "CURRENT", ""))</f>
        <v/>
      </c>
    </row>
    <row r="76" spans="1:6" ht="18.75" x14ac:dyDescent="0.3">
      <c r="A76" s="40">
        <v>46182</v>
      </c>
      <c r="B76" s="40">
        <v>45804</v>
      </c>
      <c r="C76" s="40">
        <v>45754</v>
      </c>
      <c r="D76" s="40">
        <v>45726</v>
      </c>
      <c r="E76" s="40">
        <v>45754</v>
      </c>
      <c r="F76" s="40" t="str">
        <f>IF(AND($H$2 &gt;= Report_Cycle[[#This Row],[28-Day Start]], $H$2 &lt;= Report_Cycle[[#This Row],[28-Day End]], MATCH($H$2, Report_Cycle[28-Day End], 0) = ROW()-1), "CURRENT", IF(AND($H$2 &gt;= Report_Cycle[[#This Row],[7-Day Start]], $H$2 &lt;= Report_Cycle[[#This Row],[7-Day End]], MATCH($H$2, Report_Cycle[7-Day End], 0) = ROW()-1), "CURRENT", ""))</f>
        <v/>
      </c>
    </row>
    <row r="77" spans="1:6" ht="18.75" x14ac:dyDescent="0.3">
      <c r="A77" s="40">
        <v>46189</v>
      </c>
      <c r="B77" s="40">
        <v>45811</v>
      </c>
      <c r="C77" s="40">
        <v>45761</v>
      </c>
      <c r="D77" s="40">
        <v>45733</v>
      </c>
      <c r="E77" s="40">
        <v>45761</v>
      </c>
      <c r="F77" s="40" t="str">
        <f>IF(AND($H$2 &gt;= Report_Cycle[[#This Row],[28-Day Start]], $H$2 &lt;= Report_Cycle[[#This Row],[28-Day End]], MATCH($H$2, Report_Cycle[28-Day End], 0) = ROW()-1), "CURRENT", IF(AND($H$2 &gt;= Report_Cycle[[#This Row],[7-Day Start]], $H$2 &lt;= Report_Cycle[[#This Row],[7-Day End]], MATCH($H$2, Report_Cycle[7-Day End], 0) = ROW()-1), "CURRENT", ""))</f>
        <v/>
      </c>
    </row>
    <row r="78" spans="1:6" ht="18.75" x14ac:dyDescent="0.3">
      <c r="A78" s="40">
        <v>46196</v>
      </c>
      <c r="B78" s="40">
        <v>45818</v>
      </c>
      <c r="C78" s="40">
        <v>45768</v>
      </c>
      <c r="D78" s="40">
        <v>45740</v>
      </c>
      <c r="E78" s="40">
        <v>45768</v>
      </c>
      <c r="F78" s="40" t="str">
        <f>IF(AND($H$2 &gt;= Report_Cycle[[#This Row],[28-Day Start]], $H$2 &lt;= Report_Cycle[[#This Row],[28-Day End]], MATCH($H$2, Report_Cycle[28-Day End], 0) = ROW()-1), "CURRENT", IF(AND($H$2 &gt;= Report_Cycle[[#This Row],[7-Day Start]], $H$2 &lt;= Report_Cycle[[#This Row],[7-Day End]], MATCH($H$2, Report_Cycle[7-Day End], 0) = ROW()-1), "CURRENT", ""))</f>
        <v/>
      </c>
    </row>
    <row r="79" spans="1:6" ht="18.75" x14ac:dyDescent="0.3">
      <c r="A79" s="40">
        <v>46203</v>
      </c>
      <c r="B79" s="40">
        <v>45825</v>
      </c>
      <c r="C79" s="40">
        <v>45775</v>
      </c>
      <c r="D79" s="40">
        <v>45747</v>
      </c>
      <c r="E79" s="40">
        <v>45775</v>
      </c>
      <c r="F79" s="40" t="str">
        <f>IF(AND($H$2 &gt;= Report_Cycle[[#This Row],[28-Day Start]], $H$2 &lt;= Report_Cycle[[#This Row],[28-Day End]], MATCH($H$2, Report_Cycle[28-Day End], 0) = ROW()-1), "CURRENT", IF(AND($H$2 &gt;= Report_Cycle[[#This Row],[7-Day Start]], $H$2 &lt;= Report_Cycle[[#This Row],[7-Day End]], MATCH($H$2, Report_Cycle[7-Day End], 0) = ROW()-1), "CURRENT", ""))</f>
        <v/>
      </c>
    </row>
    <row r="80" spans="1:6" ht="18.75" x14ac:dyDescent="0.3">
      <c r="A80" s="40">
        <v>46210</v>
      </c>
      <c r="B80" s="40">
        <v>45832</v>
      </c>
      <c r="C80" s="40">
        <v>45782</v>
      </c>
      <c r="D80" s="40">
        <v>45754</v>
      </c>
      <c r="E80" s="40">
        <v>45782</v>
      </c>
      <c r="F80" s="40" t="str">
        <f>IF(AND($H$2 &gt;= Report_Cycle[[#This Row],[28-Day Start]], $H$2 &lt;= Report_Cycle[[#This Row],[28-Day End]], MATCH($H$2, Report_Cycle[28-Day End], 0) = ROW()-1), "CURRENT", IF(AND($H$2 &gt;= Report_Cycle[[#This Row],[7-Day Start]], $H$2 &lt;= Report_Cycle[[#This Row],[7-Day End]], MATCH($H$2, Report_Cycle[7-Day End], 0) = ROW()-1), "CURRENT", ""))</f>
        <v/>
      </c>
    </row>
    <row r="81" spans="1:6" ht="18.75" x14ac:dyDescent="0.3">
      <c r="A81" s="40">
        <v>46217</v>
      </c>
      <c r="B81" s="40">
        <v>45839</v>
      </c>
      <c r="C81" s="40">
        <v>45789</v>
      </c>
      <c r="D81" s="40">
        <v>45761</v>
      </c>
      <c r="E81" s="40">
        <v>45789</v>
      </c>
      <c r="F81" s="40" t="str">
        <f>IF(AND($H$2 &gt;= Report_Cycle[[#This Row],[28-Day Start]], $H$2 &lt;= Report_Cycle[[#This Row],[28-Day End]], MATCH($H$2, Report_Cycle[28-Day End], 0) = ROW()-1), "CURRENT", IF(AND($H$2 &gt;= Report_Cycle[[#This Row],[7-Day Start]], $H$2 &lt;= Report_Cycle[[#This Row],[7-Day End]], MATCH($H$2, Report_Cycle[7-Day End], 0) = ROW()-1), "CURRENT", ""))</f>
        <v/>
      </c>
    </row>
    <row r="82" spans="1:6" ht="18.75" x14ac:dyDescent="0.3">
      <c r="A82" s="40">
        <v>46224</v>
      </c>
      <c r="B82" s="40">
        <v>45846</v>
      </c>
      <c r="C82" s="40">
        <v>45796</v>
      </c>
      <c r="D82" s="40">
        <v>45768</v>
      </c>
      <c r="E82" s="40">
        <v>45796</v>
      </c>
      <c r="F82" s="40" t="str">
        <f>IF(AND($H$2 &gt;= Report_Cycle[[#This Row],[28-Day Start]], $H$2 &lt;= Report_Cycle[[#This Row],[28-Day End]], MATCH($H$2, Report_Cycle[28-Day End], 0) = ROW()-1), "CURRENT", IF(AND($H$2 &gt;= Report_Cycle[[#This Row],[7-Day Start]], $H$2 &lt;= Report_Cycle[[#This Row],[7-Day End]], MATCH($H$2, Report_Cycle[7-Day End], 0) = ROW()-1), "CURRENT", ""))</f>
        <v/>
      </c>
    </row>
    <row r="83" spans="1:6" ht="18.75" x14ac:dyDescent="0.3">
      <c r="A83" s="40">
        <v>46231</v>
      </c>
      <c r="B83" s="40">
        <v>45853</v>
      </c>
      <c r="C83" s="40">
        <v>45803</v>
      </c>
      <c r="D83" s="40">
        <v>45775</v>
      </c>
      <c r="E83" s="40">
        <v>45803</v>
      </c>
      <c r="F83" s="40" t="str">
        <f>IF(AND($H$2 &gt;= Report_Cycle[[#This Row],[28-Day Start]], $H$2 &lt;= Report_Cycle[[#This Row],[28-Day End]], MATCH($H$2, Report_Cycle[28-Day End], 0) = ROW()-1), "CURRENT", IF(AND($H$2 &gt;= Report_Cycle[[#This Row],[7-Day Start]], $H$2 &lt;= Report_Cycle[[#This Row],[7-Day End]], MATCH($H$2, Report_Cycle[7-Day End], 0) = ROW()-1), "CURRENT", ""))</f>
        <v/>
      </c>
    </row>
    <row r="84" spans="1:6" ht="18.75" x14ac:dyDescent="0.3">
      <c r="A84" s="40">
        <v>46238</v>
      </c>
      <c r="B84" s="40">
        <v>45860</v>
      </c>
      <c r="C84" s="40">
        <v>45810</v>
      </c>
      <c r="D84" s="40">
        <v>45782</v>
      </c>
      <c r="E84" s="40">
        <v>45810</v>
      </c>
      <c r="F84" s="40" t="str">
        <f>IF(AND($H$2 &gt;= Report_Cycle[[#This Row],[28-Day Start]], $H$2 &lt;= Report_Cycle[[#This Row],[28-Day End]], MATCH($H$2, Report_Cycle[28-Day End], 0) = ROW()-1), "CURRENT", IF(AND($H$2 &gt;= Report_Cycle[[#This Row],[7-Day Start]], $H$2 &lt;= Report_Cycle[[#This Row],[7-Day End]], MATCH($H$2, Report_Cycle[7-Day End], 0) = ROW()-1), "CURRENT", ""))</f>
        <v/>
      </c>
    </row>
    <row r="85" spans="1:6" ht="18.75" x14ac:dyDescent="0.3">
      <c r="A85" s="40">
        <v>46245</v>
      </c>
      <c r="B85" s="40">
        <v>45867</v>
      </c>
      <c r="C85" s="40">
        <v>45817</v>
      </c>
      <c r="D85" s="40">
        <v>45789</v>
      </c>
      <c r="E85" s="40">
        <v>45817</v>
      </c>
      <c r="F85" s="40" t="str">
        <f>IF(AND($H$2 &gt;= Report_Cycle[[#This Row],[28-Day Start]], $H$2 &lt;= Report_Cycle[[#This Row],[28-Day End]], MATCH($H$2, Report_Cycle[28-Day End], 0) = ROW()-1), "CURRENT", IF(AND($H$2 &gt;= Report_Cycle[[#This Row],[7-Day Start]], $H$2 &lt;= Report_Cycle[[#This Row],[7-Day End]], MATCH($H$2, Report_Cycle[7-Day End], 0) = ROW()-1), "CURRENT", ""))</f>
        <v/>
      </c>
    </row>
    <row r="86" spans="1:6" ht="18.75" x14ac:dyDescent="0.3">
      <c r="A86" s="40">
        <v>46252</v>
      </c>
      <c r="B86" s="40">
        <v>45874</v>
      </c>
      <c r="C86" s="40">
        <v>45824</v>
      </c>
      <c r="D86" s="40">
        <v>45796</v>
      </c>
      <c r="E86" s="40">
        <v>45824</v>
      </c>
      <c r="F86" s="40" t="str">
        <f>IF(AND($H$2 &gt;= Report_Cycle[[#This Row],[28-Day Start]], $H$2 &lt;= Report_Cycle[[#This Row],[28-Day End]], MATCH($H$2, Report_Cycle[28-Day End], 0) = ROW()-1), "CURRENT", IF(AND($H$2 &gt;= Report_Cycle[[#This Row],[7-Day Start]], $H$2 &lt;= Report_Cycle[[#This Row],[7-Day End]], MATCH($H$2, Report_Cycle[7-Day End], 0) = ROW()-1), "CURRENT", ""))</f>
        <v/>
      </c>
    </row>
    <row r="87" spans="1:6" ht="18.75" x14ac:dyDescent="0.3">
      <c r="A87" s="40">
        <v>46259</v>
      </c>
      <c r="B87" s="40">
        <v>45881</v>
      </c>
      <c r="C87" s="40">
        <v>45831</v>
      </c>
      <c r="D87" s="40">
        <v>45803</v>
      </c>
      <c r="E87" s="40">
        <v>45831</v>
      </c>
      <c r="F87" s="40" t="str">
        <f>IF(AND($H$2 &gt;= Report_Cycle[[#This Row],[28-Day Start]], $H$2 &lt;= Report_Cycle[[#This Row],[28-Day End]], MATCH($H$2, Report_Cycle[28-Day End], 0) = ROW()-1), "CURRENT", IF(AND($H$2 &gt;= Report_Cycle[[#This Row],[7-Day Start]], $H$2 &lt;= Report_Cycle[[#This Row],[7-Day End]], MATCH($H$2, Report_Cycle[7-Day End], 0) = ROW()-1), "CURRENT", ""))</f>
        <v/>
      </c>
    </row>
    <row r="88" spans="1:6" ht="18.75" x14ac:dyDescent="0.3">
      <c r="A88" s="40">
        <v>46266</v>
      </c>
      <c r="B88" s="40">
        <v>45888</v>
      </c>
      <c r="C88" s="40">
        <v>45838</v>
      </c>
      <c r="D88" s="40">
        <v>45810</v>
      </c>
      <c r="E88" s="40">
        <v>45838</v>
      </c>
      <c r="F88" s="40" t="str">
        <f>IF(AND($H$2 &gt;= Report_Cycle[[#This Row],[28-Day Start]], $H$2 &lt;= Report_Cycle[[#This Row],[28-Day End]], MATCH($H$2, Report_Cycle[28-Day End], 0) = ROW()-1), "CURRENT", IF(AND($H$2 &gt;= Report_Cycle[[#This Row],[7-Day Start]], $H$2 &lt;= Report_Cycle[[#This Row],[7-Day End]], MATCH($H$2, Report_Cycle[7-Day End], 0) = ROW()-1), "CURRENT", ""))</f>
        <v/>
      </c>
    </row>
    <row r="89" spans="1:6" ht="18.75" x14ac:dyDescent="0.3">
      <c r="A89" s="40">
        <v>46273</v>
      </c>
      <c r="B89" s="40">
        <v>45895</v>
      </c>
      <c r="C89" s="40">
        <v>45845</v>
      </c>
      <c r="D89" s="40">
        <v>45817</v>
      </c>
      <c r="E89" s="40">
        <v>45845</v>
      </c>
      <c r="F89" s="40" t="str">
        <f>IF(AND($H$2 &gt;= Report_Cycle[[#This Row],[28-Day Start]], $H$2 &lt;= Report_Cycle[[#This Row],[28-Day End]], MATCH($H$2, Report_Cycle[28-Day End], 0) = ROW()-1), "CURRENT", IF(AND($H$2 &gt;= Report_Cycle[[#This Row],[7-Day Start]], $H$2 &lt;= Report_Cycle[[#This Row],[7-Day End]], MATCH($H$2, Report_Cycle[7-Day End], 0) = ROW()-1), "CURRENT", ""))</f>
        <v/>
      </c>
    </row>
    <row r="90" spans="1:6" ht="18.75" x14ac:dyDescent="0.3">
      <c r="A90" s="40">
        <v>46280</v>
      </c>
      <c r="B90" s="40">
        <v>45902</v>
      </c>
      <c r="C90" s="40">
        <v>45852</v>
      </c>
      <c r="D90" s="40">
        <v>45824</v>
      </c>
      <c r="E90" s="40">
        <v>45852</v>
      </c>
      <c r="F90" s="40" t="str">
        <f>IF(AND($H$2 &gt;= Report_Cycle[[#This Row],[28-Day Start]], $H$2 &lt;= Report_Cycle[[#This Row],[28-Day End]], MATCH($H$2, Report_Cycle[28-Day End], 0) = ROW()-1), "CURRENT", IF(AND($H$2 &gt;= Report_Cycle[[#This Row],[7-Day Start]], $H$2 &lt;= Report_Cycle[[#This Row],[7-Day End]], MATCH($H$2, Report_Cycle[7-Day End], 0) = ROW()-1), "CURRENT", ""))</f>
        <v/>
      </c>
    </row>
    <row r="91" spans="1:6" ht="18.75" x14ac:dyDescent="0.3">
      <c r="A91" s="40">
        <v>46287</v>
      </c>
      <c r="B91" s="40">
        <v>45909</v>
      </c>
      <c r="C91" s="40">
        <v>45859</v>
      </c>
      <c r="D91" s="40">
        <v>45831</v>
      </c>
      <c r="E91" s="40">
        <v>45859</v>
      </c>
      <c r="F91" s="40" t="str">
        <f>IF(AND($H$2 &gt;= Report_Cycle[[#This Row],[28-Day Start]], $H$2 &lt;= Report_Cycle[[#This Row],[28-Day End]], MATCH($H$2, Report_Cycle[28-Day End], 0) = ROW()-1), "CURRENT", IF(AND($H$2 &gt;= Report_Cycle[[#This Row],[7-Day Start]], $H$2 &lt;= Report_Cycle[[#This Row],[7-Day End]], MATCH($H$2, Report_Cycle[7-Day End], 0) = ROW()-1), "CURRENT", ""))</f>
        <v/>
      </c>
    </row>
    <row r="92" spans="1:6" ht="18.75" x14ac:dyDescent="0.3">
      <c r="A92" s="40">
        <v>46294</v>
      </c>
      <c r="B92" s="40">
        <v>45916</v>
      </c>
      <c r="C92" s="40">
        <v>45866</v>
      </c>
      <c r="D92" s="40">
        <v>45838</v>
      </c>
      <c r="E92" s="40">
        <v>45866</v>
      </c>
      <c r="F92" s="40" t="str">
        <f>IF(AND($H$2 &gt;= Report_Cycle[[#This Row],[28-Day Start]], $H$2 &lt;= Report_Cycle[[#This Row],[28-Day End]], MATCH($H$2, Report_Cycle[28-Day End], 0) = ROW()-1), "CURRENT", IF(AND($H$2 &gt;= Report_Cycle[[#This Row],[7-Day Start]], $H$2 &lt;= Report_Cycle[[#This Row],[7-Day End]], MATCH($H$2, Report_Cycle[7-Day End], 0) = ROW()-1), "CURRENT", ""))</f>
        <v/>
      </c>
    </row>
    <row r="93" spans="1:6" ht="18.75" x14ac:dyDescent="0.3">
      <c r="A93" s="40">
        <v>46301</v>
      </c>
      <c r="B93" s="40">
        <v>45923</v>
      </c>
      <c r="C93" s="40">
        <v>45873</v>
      </c>
      <c r="D93" s="40">
        <v>45845</v>
      </c>
      <c r="E93" s="40">
        <v>45873</v>
      </c>
      <c r="F93" s="40" t="str">
        <f>IF(AND($H$2 &gt;= Report_Cycle[[#This Row],[28-Day Start]], $H$2 &lt;= Report_Cycle[[#This Row],[28-Day End]], MATCH($H$2, Report_Cycle[28-Day End], 0) = ROW()-1), "CURRENT", IF(AND($H$2 &gt;= Report_Cycle[[#This Row],[7-Day Start]], $H$2 &lt;= Report_Cycle[[#This Row],[7-Day End]], MATCH($H$2, Report_Cycle[7-Day End], 0) = ROW()-1), "CURRENT", ""))</f>
        <v/>
      </c>
    </row>
    <row r="94" spans="1:6" ht="18.75" x14ac:dyDescent="0.3">
      <c r="A94" s="40">
        <v>46308</v>
      </c>
      <c r="B94" s="40">
        <v>45930</v>
      </c>
      <c r="C94" s="40">
        <v>45880</v>
      </c>
      <c r="D94" s="40">
        <v>45852</v>
      </c>
      <c r="E94" s="40">
        <v>45880</v>
      </c>
      <c r="F94" s="40" t="str">
        <f>IF(AND($H$2 &gt;= Report_Cycle[[#This Row],[28-Day Start]], $H$2 &lt;= Report_Cycle[[#This Row],[28-Day End]], MATCH($H$2, Report_Cycle[28-Day End], 0) = ROW()-1), "CURRENT", IF(AND($H$2 &gt;= Report_Cycle[[#This Row],[7-Day Start]], $H$2 &lt;= Report_Cycle[[#This Row],[7-Day End]], MATCH($H$2, Report_Cycle[7-Day End], 0) = ROW()-1), "CURRENT", ""))</f>
        <v/>
      </c>
    </row>
    <row r="95" spans="1:6" ht="18.75" x14ac:dyDescent="0.3">
      <c r="A95" s="40">
        <v>46315</v>
      </c>
      <c r="B95" s="40">
        <v>45937</v>
      </c>
      <c r="C95" s="40">
        <v>45887</v>
      </c>
      <c r="D95" s="40">
        <v>45859</v>
      </c>
      <c r="E95" s="40">
        <v>45887</v>
      </c>
      <c r="F95" s="40" t="str">
        <f>IF(AND($H$2 &gt;= Report_Cycle[[#This Row],[28-Day Start]], $H$2 &lt;= Report_Cycle[[#This Row],[28-Day End]], MATCH($H$2, Report_Cycle[28-Day End], 0) = ROW()-1), "CURRENT", IF(AND($H$2 &gt;= Report_Cycle[[#This Row],[7-Day Start]], $H$2 &lt;= Report_Cycle[[#This Row],[7-Day End]], MATCH($H$2, Report_Cycle[7-Day End], 0) = ROW()-1), "CURRENT", ""))</f>
        <v/>
      </c>
    </row>
    <row r="96" spans="1:6" ht="18.75" x14ac:dyDescent="0.3">
      <c r="A96" s="40">
        <v>46322</v>
      </c>
      <c r="B96" s="40">
        <v>45944</v>
      </c>
      <c r="C96" s="40">
        <v>45894</v>
      </c>
      <c r="D96" s="40">
        <v>45866</v>
      </c>
      <c r="E96" s="40">
        <v>45894</v>
      </c>
      <c r="F96" s="40" t="str">
        <f>IF(AND($H$2 &gt;= Report_Cycle[[#This Row],[28-Day Start]], $H$2 &lt;= Report_Cycle[[#This Row],[28-Day End]], MATCH($H$2, Report_Cycle[28-Day End], 0) = ROW()-1), "CURRENT", IF(AND($H$2 &gt;= Report_Cycle[[#This Row],[7-Day Start]], $H$2 &lt;= Report_Cycle[[#This Row],[7-Day End]], MATCH($H$2, Report_Cycle[7-Day End], 0) = ROW()-1), "CURRENT", ""))</f>
        <v/>
      </c>
    </row>
    <row r="97" spans="1:6" ht="18.75" x14ac:dyDescent="0.3">
      <c r="A97" s="40">
        <v>46329</v>
      </c>
      <c r="B97" s="40">
        <v>45951</v>
      </c>
      <c r="C97" s="40">
        <v>45901</v>
      </c>
      <c r="D97" s="40">
        <v>45873</v>
      </c>
      <c r="E97" s="40">
        <v>45901</v>
      </c>
      <c r="F97" s="40" t="str">
        <f>IF(AND($H$2 &gt;= Report_Cycle[[#This Row],[28-Day Start]], $H$2 &lt;= Report_Cycle[[#This Row],[28-Day End]], MATCH($H$2, Report_Cycle[28-Day End], 0) = ROW()-1), "CURRENT", IF(AND($H$2 &gt;= Report_Cycle[[#This Row],[7-Day Start]], $H$2 &lt;= Report_Cycle[[#This Row],[7-Day End]], MATCH($H$2, Report_Cycle[7-Day End], 0) = ROW()-1), "CURRENT", ""))</f>
        <v/>
      </c>
    </row>
    <row r="98" spans="1:6" ht="18.75" x14ac:dyDescent="0.3">
      <c r="A98" s="40">
        <v>46336</v>
      </c>
      <c r="B98" s="40">
        <v>45958</v>
      </c>
      <c r="C98" s="40">
        <v>45908</v>
      </c>
      <c r="D98" s="40">
        <v>45880</v>
      </c>
      <c r="E98" s="40">
        <v>45908</v>
      </c>
      <c r="F98" s="40" t="str">
        <f>IF(AND($H$2 &gt;= Report_Cycle[[#This Row],[28-Day Start]], $H$2 &lt;= Report_Cycle[[#This Row],[28-Day End]], MATCH($H$2, Report_Cycle[28-Day End], 0) = ROW()-1), "CURRENT", IF(AND($H$2 &gt;= Report_Cycle[[#This Row],[7-Day Start]], $H$2 &lt;= Report_Cycle[[#This Row],[7-Day End]], MATCH($H$2, Report_Cycle[7-Day End], 0) = ROW()-1), "CURRENT", ""))</f>
        <v/>
      </c>
    </row>
    <row r="99" spans="1:6" ht="18.75" x14ac:dyDescent="0.3">
      <c r="A99" s="40">
        <v>46343</v>
      </c>
      <c r="B99" s="40">
        <v>45965</v>
      </c>
      <c r="C99" s="40">
        <v>45915</v>
      </c>
      <c r="D99" s="40">
        <v>45887</v>
      </c>
      <c r="E99" s="40">
        <v>45915</v>
      </c>
      <c r="F99" s="40" t="str">
        <f>IF(AND($H$2 &gt;= Report_Cycle[[#This Row],[28-Day Start]], $H$2 &lt;= Report_Cycle[[#This Row],[28-Day End]], MATCH($H$2, Report_Cycle[28-Day End], 0) = ROW()-1), "CURRENT", IF(AND($H$2 &gt;= Report_Cycle[[#This Row],[7-Day Start]], $H$2 &lt;= Report_Cycle[[#This Row],[7-Day End]], MATCH($H$2, Report_Cycle[7-Day End], 0) = ROW()-1), "CURRENT", ""))</f>
        <v/>
      </c>
    </row>
    <row r="100" spans="1:6" ht="18.75" x14ac:dyDescent="0.3">
      <c r="A100" s="40">
        <v>46350</v>
      </c>
      <c r="B100" s="40">
        <v>45972</v>
      </c>
      <c r="C100" s="40">
        <v>45922</v>
      </c>
      <c r="D100" s="40">
        <v>45894</v>
      </c>
      <c r="E100" s="40">
        <v>45922</v>
      </c>
      <c r="F100" s="40" t="str">
        <f>IF(AND($H$2 &gt;= Report_Cycle[[#This Row],[28-Day Start]], $H$2 &lt;= Report_Cycle[[#This Row],[28-Day End]], MATCH($H$2, Report_Cycle[28-Day End], 0) = ROW()-1), "CURRENT", IF(AND($H$2 &gt;= Report_Cycle[[#This Row],[7-Day Start]], $H$2 &lt;= Report_Cycle[[#This Row],[7-Day End]], MATCH($H$2, Report_Cycle[7-Day End], 0) = ROW()-1), "CURRENT", ""))</f>
        <v/>
      </c>
    </row>
    <row r="101" spans="1:6" ht="18.75" x14ac:dyDescent="0.3">
      <c r="A101" s="40">
        <v>46357</v>
      </c>
      <c r="B101" s="40">
        <v>45979</v>
      </c>
      <c r="C101" s="40">
        <v>45929</v>
      </c>
      <c r="D101" s="40">
        <v>45901</v>
      </c>
      <c r="E101" s="40">
        <v>45929</v>
      </c>
      <c r="F101" s="40" t="str">
        <f>IF(AND($H$2 &gt;= Report_Cycle[[#This Row],[28-Day Start]], $H$2 &lt;= Report_Cycle[[#This Row],[28-Day End]], MATCH($H$2, Report_Cycle[28-Day End], 0) = ROW()-1), "CURRENT", IF(AND($H$2 &gt;= Report_Cycle[[#This Row],[7-Day Start]], $H$2 &lt;= Report_Cycle[[#This Row],[7-Day End]], MATCH($H$2, Report_Cycle[7-Day End], 0) = ROW()-1), "CURRENT", ""))</f>
        <v/>
      </c>
    </row>
    <row r="102" spans="1:6" ht="18.75" x14ac:dyDescent="0.3">
      <c r="A102" s="40">
        <v>46364</v>
      </c>
      <c r="B102" s="40">
        <v>45986</v>
      </c>
      <c r="C102" s="40">
        <v>45936</v>
      </c>
      <c r="D102" s="40">
        <v>45908</v>
      </c>
      <c r="E102" s="40">
        <v>45936</v>
      </c>
      <c r="F102" s="40" t="str">
        <f>IF(AND($H$2 &gt;= Report_Cycle[[#This Row],[28-Day Start]], $H$2 &lt;= Report_Cycle[[#This Row],[28-Day End]], MATCH($H$2, Report_Cycle[28-Day End], 0) = ROW()-1), "CURRENT", IF(AND($H$2 &gt;= Report_Cycle[[#This Row],[7-Day Start]], $H$2 &lt;= Report_Cycle[[#This Row],[7-Day End]], MATCH($H$2, Report_Cycle[7-Day End], 0) = ROW()-1), "CURRENT", ""))</f>
        <v/>
      </c>
    </row>
    <row r="103" spans="1:6" ht="18.75" x14ac:dyDescent="0.3">
      <c r="A103" s="40">
        <v>46371</v>
      </c>
      <c r="B103" s="40">
        <v>45993</v>
      </c>
      <c r="C103" s="40">
        <v>45943</v>
      </c>
      <c r="D103" s="40">
        <v>45915</v>
      </c>
      <c r="E103" s="40">
        <v>45943</v>
      </c>
      <c r="F103" s="40" t="str">
        <f>IF(AND($H$2 &gt;= Report_Cycle[[#This Row],[28-Day Start]], $H$2 &lt;= Report_Cycle[[#This Row],[28-Day End]], MATCH($H$2, Report_Cycle[28-Day End], 0) = ROW()-1), "CURRENT", IF(AND($H$2 &gt;= Report_Cycle[[#This Row],[7-Day Start]], $H$2 &lt;= Report_Cycle[[#This Row],[7-Day End]], MATCH($H$2, Report_Cycle[7-Day End], 0) = ROW()-1), "CURRENT", ""))</f>
        <v/>
      </c>
    </row>
    <row r="104" spans="1:6" ht="18.75" x14ac:dyDescent="0.3">
      <c r="A104" s="40">
        <v>46378</v>
      </c>
      <c r="B104" s="40">
        <v>46000</v>
      </c>
      <c r="C104" s="40">
        <v>45950</v>
      </c>
      <c r="D104" s="40">
        <v>45922</v>
      </c>
      <c r="E104" s="40">
        <v>45950</v>
      </c>
      <c r="F104" s="40" t="str">
        <f>IF(AND($H$2 &gt;= Report_Cycle[[#This Row],[28-Day Start]], $H$2 &lt;= Report_Cycle[[#This Row],[28-Day End]], MATCH($H$2, Report_Cycle[28-Day End], 0) = ROW()-1), "CURRENT", IF(AND($H$2 &gt;= Report_Cycle[[#This Row],[7-Day Start]], $H$2 &lt;= Report_Cycle[[#This Row],[7-Day End]], MATCH($H$2, Report_Cycle[7-Day End], 0) = ROW()-1), "CURRENT", ""))</f>
        <v/>
      </c>
    </row>
    <row r="105" spans="1:6" ht="18.75" x14ac:dyDescent="0.3">
      <c r="A105" s="40">
        <v>46385</v>
      </c>
      <c r="B105" s="40">
        <v>46007</v>
      </c>
      <c r="C105" s="40">
        <v>45957</v>
      </c>
      <c r="D105" s="40">
        <v>45929</v>
      </c>
      <c r="E105" s="40">
        <v>45957</v>
      </c>
      <c r="F105" s="40" t="str">
        <f>IF(AND($H$2 &gt;= Report_Cycle[[#This Row],[28-Day Start]], $H$2 &lt;= Report_Cycle[[#This Row],[28-Day End]], MATCH($H$2, Report_Cycle[28-Day End], 0) = ROW()-1), "CURRENT", IF(AND($H$2 &gt;= Report_Cycle[[#This Row],[7-Day Start]], $H$2 &lt;= Report_Cycle[[#This Row],[7-Day End]], MATCH($H$2, Report_Cycle[7-Day End], 0) = ROW()-1), "CURRENT", ""))</f>
        <v/>
      </c>
    </row>
  </sheetData>
  <conditionalFormatting sqref="A2:F105">
    <cfRule type="expression" dxfId="4" priority="1">
      <formula>$F2="CURRENT"</formula>
    </cfRule>
  </conditionalFormatting>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1bf5c3b-6d54-46d3-b945-dfb4607c5fc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01B980016700041A859C26B0CBE3010" ma:contentTypeVersion="16" ma:contentTypeDescription="Create a new document." ma:contentTypeScope="" ma:versionID="1209fce709753742879aa2378553e378">
  <xsd:schema xmlns:xsd="http://www.w3.org/2001/XMLSchema" xmlns:xs="http://www.w3.org/2001/XMLSchema" xmlns:p="http://schemas.microsoft.com/office/2006/metadata/properties" xmlns:ns3="b1bf5c3b-6d54-46d3-b945-dfb4607c5fc2" xmlns:ns4="a7c3798e-333d-4d8c-b7f0-61d3254dbad2" targetNamespace="http://schemas.microsoft.com/office/2006/metadata/properties" ma:root="true" ma:fieldsID="5789b25bd9b028519a2563d031c469c4" ns3:_="" ns4:_="">
    <xsd:import namespace="b1bf5c3b-6d54-46d3-b945-dfb4607c5fc2"/>
    <xsd:import namespace="a7c3798e-333d-4d8c-b7f0-61d3254dbad2"/>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CR"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bf5c3b-6d54-46d3-b945-dfb4607c5f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c3798e-333d-4d8c-b7f0-61d3254dbad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2810D0D-F7EB-4155-BDDE-E199544D9328}">
  <ds:schemaRefs>
    <ds:schemaRef ds:uri="http://schemas.microsoft.com/office/2006/metadata/properties"/>
    <ds:schemaRef ds:uri="http://schemas.microsoft.com/office/infopath/2007/PartnerControls"/>
    <ds:schemaRef ds:uri="b1bf5c3b-6d54-46d3-b945-dfb4607c5fc2"/>
  </ds:schemaRefs>
</ds:datastoreItem>
</file>

<file path=customXml/itemProps2.xml><?xml version="1.0" encoding="utf-8"?>
<ds:datastoreItem xmlns:ds="http://schemas.openxmlformats.org/officeDocument/2006/customXml" ds:itemID="{CB7326F4-C310-4BE5-8C1C-0B665131CBE9}">
  <ds:schemaRefs>
    <ds:schemaRef ds:uri="http://schemas.microsoft.com/sharepoint/v3/contenttype/forms"/>
  </ds:schemaRefs>
</ds:datastoreItem>
</file>

<file path=customXml/itemProps3.xml><?xml version="1.0" encoding="utf-8"?>
<ds:datastoreItem xmlns:ds="http://schemas.openxmlformats.org/officeDocument/2006/customXml" ds:itemID="{21E17DD6-CAB6-420A-A95D-C32957EEB9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bf5c3b-6d54-46d3-b945-dfb4607c5fc2"/>
    <ds:schemaRef ds:uri="a7c3798e-333d-4d8c-b7f0-61d3254dba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3093440-9B82-429A-AB14-5B94A942A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BurglaryAuto</vt:lpstr>
      <vt:lpstr>Bur_Auto</vt:lpstr>
      <vt:lpstr>M_BurglaryAuto</vt:lpstr>
      <vt:lpstr>BurglaryAutoNotes</vt:lpstr>
      <vt:lpstr>ENTRY_BurglaryAutoNotes</vt:lpstr>
      <vt:lpstr>Helper_BA</vt:lpstr>
      <vt:lpstr>BUR_AUTO_PT</vt:lpstr>
      <vt:lpstr>Bur_C_R</vt:lpstr>
      <vt:lpstr>BUR_C_R_PT</vt:lpstr>
      <vt:lpstr>Helper_CRB)</vt:lpstr>
      <vt:lpstr>MV_Theft</vt:lpstr>
      <vt:lpstr>Helper_MVT</vt:lpstr>
      <vt:lpstr>MV_THEFT_PT</vt:lpstr>
      <vt:lpstr>Robbery</vt:lpstr>
      <vt:lpstr>Sexual_Offenses</vt:lpstr>
      <vt:lpstr>SEXUAL_PT</vt:lpstr>
      <vt:lpstr>SexualAssaultNotes</vt:lpstr>
      <vt:lpstr>SA_Notes</vt:lpstr>
      <vt:lpstr>EXPORT_RMS</vt:lpstr>
      <vt:lpstr>Report</vt:lpstr>
      <vt:lpstr>_7DAY_CYCLE</vt:lpstr>
      <vt:lpstr>PAST_WEEK</vt:lpstr>
      <vt:lpstr>EXPORT_RMS (2)</vt:lpstr>
      <vt:lpstr>28Day</vt:lpstr>
      <vt:lpstr>PAST_WEEK (2)</vt:lpstr>
      <vt:lpstr>Report_Cycle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Carucci</dc:creator>
  <cp:keywords/>
  <dc:description/>
  <cp:lastModifiedBy>Robert Carucci</cp:lastModifiedBy>
  <cp:revision/>
  <cp:lastPrinted>2025-03-03T00:55:41Z</cp:lastPrinted>
  <dcterms:created xsi:type="dcterms:W3CDTF">2015-06-05T18:17:20Z</dcterms:created>
  <dcterms:modified xsi:type="dcterms:W3CDTF">2025-04-01T17:48:20Z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0x010100601B980016700041A859C26B0CBE3010</vt:lpwstr>
  </property>
</Properties>
</file>