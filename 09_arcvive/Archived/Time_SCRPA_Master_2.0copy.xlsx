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queryTables/queryTable5.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7.xml" ContentType="application/vnd.openxmlformats-officedocument.spreadsheetml.table+xml"/>
  <Override PartName="/xl/tables/table8.xml" ContentType="application/vnd.openxmlformats-officedocument.spreadsheetml.table+xml"/>
  <Override PartName="/xl/queryTables/queryTable6.xml" ContentType="application/vnd.openxmlformats-officedocument.spreadsheetml.queryTable+xml"/>
  <Override PartName="/xl/tables/table9.xml" ContentType="application/vnd.openxmlformats-officedocument.spreadsheetml.table+xml"/>
  <Override PartName="/xl/queryTables/queryTable7.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queryTables/queryTable8.xml" ContentType="application/vnd.openxmlformats-officedocument.spreadsheetml.queryTable+xml"/>
  <Override PartName="/xl/tables/table14.xml" ContentType="application/vnd.openxmlformats-officedocument.spreadsheetml.table+xml"/>
  <Override PartName="/xl/queryTables/queryTable9.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harts/chart1.xml" ContentType="application/vnd.openxmlformats-officedocument.drawingml.chart+xml"/>
  <Override PartName="/xl/tables/table18.xml" ContentType="application/vnd.openxmlformats-officedocument.spreadsheetml.table+xml"/>
  <Override PartName="/xl/queryTables/queryTable10.xml" ContentType="application/vnd.openxmlformats-officedocument.spreadsheetml.queryTable+xml"/>
  <Override PartName="/xl/tables/table19.xml" ContentType="application/vnd.openxmlformats-officedocument.spreadsheetml.table+xml"/>
  <Override PartName="/xl/queryTables/queryTable11.xml" ContentType="application/vnd.openxmlformats-officedocument.spreadsheetml.query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0.xml" ContentType="application/vnd.openxmlformats-officedocument.spreadsheetml.table+xml"/>
  <Override PartName="/xl/queryTables/queryTable12.xml" ContentType="application/vnd.openxmlformats-officedocument.spreadsheetml.queryTable+xml"/>
  <Override PartName="/xl/tables/table2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https://hackensack-my.sharepoint.com/personal/rcarucci_hackensackpd_org/Documents/_25_SCRPA/TIME_Based/Archived/"/>
    </mc:Choice>
  </mc:AlternateContent>
  <xr:revisionPtr revIDLastSave="0" documentId="8_{EA02B9F3-D1BB-4D75-AD78-94FAAB128412}" xr6:coauthVersionLast="47" xr6:coauthVersionMax="47" xr10:uidLastSave="{00000000-0000-0000-0000-000000000000}"/>
  <bookViews>
    <workbookView xWindow="384" yWindow="384" windowWidth="17280" windowHeight="8880" tabRatio="746" firstSheet="12" activeTab="15" xr2:uid="{00000000-000D-0000-FFFF-FFFF00000000}"/>
  </bookViews>
  <sheets>
    <sheet name="PAST_WEEK3" sheetId="25" r:id="rId1"/>
    <sheet name="CURRENT_28D" sheetId="26" r:id="rId2"/>
    <sheet name="Bur_Auto" sheetId="3" r:id="rId3"/>
    <sheet name="Bur_Auto_7D" sheetId="24" r:id="rId4"/>
    <sheet name="BUR_AUTO_PT" sheetId="12" r:id="rId5"/>
    <sheet name="Bur_C_R" sheetId="4" r:id="rId6"/>
    <sheet name="BUR_C_R_PT" sheetId="11" r:id="rId7"/>
    <sheet name="MV_Theft" sheetId="6" r:id="rId8"/>
    <sheet name="_MV_THEFT_7DAY" sheetId="27" r:id="rId9"/>
    <sheet name="MV_THEFT_PT" sheetId="10" r:id="rId10"/>
    <sheet name="Robbery" sheetId="28" r:id="rId11"/>
    <sheet name="_Robbery_7D" sheetId="29" r:id="rId12"/>
    <sheet name="ROB_PT" sheetId="8" r:id="rId13"/>
    <sheet name="Sexual_Offenses" sheetId="7" r:id="rId14"/>
    <sheet name="Sex_Off_7D" sheetId="30" r:id="rId15"/>
    <sheet name="SEXUAL_PT" sheetId="9" r:id="rId16"/>
    <sheet name="EXPORT_RMS" sheetId="2" r:id="rId17"/>
    <sheet name="Report" sheetId="1" r:id="rId18"/>
    <sheet name="_7Day_28Day_250414" sheetId="22" r:id="rId19"/>
  </sheets>
  <definedNames>
    <definedName name="ExternalData_1" localSheetId="18" hidden="1">_7Day_28Day_250414!$A$1:$F$53</definedName>
    <definedName name="ExternalData_1" localSheetId="8" hidden="1">'_MV_THEFT_7DAY'!$A$1:$L$2</definedName>
    <definedName name="ExternalData_1" localSheetId="11" hidden="1">'_Robbery_7D'!$A$1:$P$2</definedName>
    <definedName name="ExternalData_1" localSheetId="16" hidden="1">EXPORT_RMS!$A$1:$BB$56</definedName>
    <definedName name="ExternalData_2" localSheetId="2" hidden="1">Bur_Auto!$A$1:$AS$122</definedName>
    <definedName name="ExternalData_2" localSheetId="4" hidden="1">BUR_AUTO_PT!#REF!</definedName>
    <definedName name="ExternalData_2" localSheetId="10" hidden="1">Robbery!$A$1:$AT$10</definedName>
    <definedName name="ExternalData_3" localSheetId="3" hidden="1">Bur_Auto_7D!$A$1:$O$2</definedName>
    <definedName name="ExternalData_3" localSheetId="5" hidden="1">Bur_C_R!$A$1:$BB$11</definedName>
    <definedName name="ExternalData_3" localSheetId="6" hidden="1">BUR_C_R_PT!$M$1:$BN$11</definedName>
    <definedName name="ExternalData_4" localSheetId="0" hidden="1">PAST_WEEK3!$A$1:$AV$3</definedName>
    <definedName name="ExternalData_5" localSheetId="1" hidden="1">'CURRENT_28D'!$A$1:$AV$18</definedName>
    <definedName name="ExternalData_5" localSheetId="7" hidden="1">MV_Theft!$A$1:$BB$15</definedName>
    <definedName name="ExternalData_6" localSheetId="13" hidden="1">Sexual_Offenses!$A$1:$BB$6</definedName>
    <definedName name="ExternalData_7" localSheetId="14" hidden="1">Sex_Off_7D!$A$1:$O$2</definedName>
  </definedNames>
  <calcPr calcId="191028"/>
  <pivotCaches>
    <pivotCache cacheId="0" r:id="rId20"/>
    <pivotCache cacheId="1" r:id="rId21"/>
    <pivotCache cacheId="2" r:id="rId22"/>
    <pivotCache cacheId="3" r:id="rId23"/>
    <pivotCache cacheId="4" r:id="rId2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9" l="1" a="1"/>
  <c r="J13" i="9" s="1"/>
  <c r="A13" i="9" a="1"/>
  <c r="A13" i="9" s="1"/>
  <c r="J14" i="8" a="1"/>
  <c r="J14" i="8" s="1"/>
  <c r="A14" i="8" a="1"/>
  <c r="A14" i="8" s="1"/>
  <c r="A33" i="11" a="1"/>
  <c r="A33" i="11" s="1"/>
  <c r="A15" i="11" a="1"/>
  <c r="A15" i="11" s="1"/>
  <c r="A35" i="12" a="1"/>
  <c r="A35" i="12" s="1"/>
  <c r="A17" i="12" a="1"/>
  <c r="A17" i="12" s="1"/>
  <c r="G53" i="22"/>
  <c r="G52" i="22"/>
  <c r="G51" i="22"/>
  <c r="G50" i="22"/>
  <c r="G49" i="22"/>
  <c r="G48" i="22"/>
  <c r="G47" i="22"/>
  <c r="G46" i="22"/>
  <c r="G45" i="22"/>
  <c r="G44" i="22"/>
  <c r="G43" i="22"/>
  <c r="G42" i="22"/>
  <c r="G41" i="22"/>
  <c r="G40" i="22"/>
  <c r="G39" i="22"/>
  <c r="G38" i="22"/>
  <c r="G37" i="22"/>
  <c r="G36" i="22"/>
  <c r="G35" i="22"/>
  <c r="G34" i="22"/>
  <c r="G33" i="22"/>
  <c r="G32" i="22"/>
  <c r="G31" i="22"/>
  <c r="G30" i="22"/>
  <c r="G29" i="22"/>
  <c r="G28" i="22"/>
  <c r="G27" i="22"/>
  <c r="G26" i="22"/>
  <c r="G25" i="22"/>
  <c r="G24" i="22"/>
  <c r="G23" i="22"/>
  <c r="G22" i="22"/>
  <c r="G21" i="22"/>
  <c r="G20" i="22"/>
  <c r="G19" i="22"/>
  <c r="G18" i="22"/>
  <c r="G17" i="22"/>
  <c r="G16" i="22"/>
  <c r="G15" i="22"/>
  <c r="G14" i="22"/>
  <c r="G13" i="22"/>
  <c r="G12" i="22"/>
  <c r="G11" i="22"/>
  <c r="G10" i="22"/>
  <c r="G9" i="22"/>
  <c r="G8" i="22"/>
  <c r="G7" i="22"/>
  <c r="G6" i="22"/>
  <c r="G5" i="22"/>
  <c r="G4" i="22"/>
  <c r="G3" i="22"/>
  <c r="G2" i="22"/>
  <c r="B2" i="1" a="1"/>
  <c r="B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93118B-3E6E-4041-B699-33E7DCE83C0A}" keepAlive="1" name="Query - _7Day_28Day_250414_" description="Connection to the '_7Day_28Day_250414_' query in the workbook." type="5" refreshedVersion="8" background="1" saveData="1">
    <dbPr connection="Provider=Microsoft.Mashup.OleDb.1;Data Source=$Workbook$;Location=_7Day_28Day_250414_;Extended Properties=&quot;&quot;" command="SELECT * FROM [_7Day_28Day_250414_]"/>
  </connection>
  <connection id="2" xr16:uid="{62E07BCB-FA72-4FB5-9C2E-25CE2CB945DC}" keepAlive="1" name="Query - _MV_THEFT_7DAY" description="Connection to the '_MV_THEFT_7DAY' query in the workbook." type="5" refreshedVersion="8" background="1" saveData="1">
    <dbPr connection="Provider=Microsoft.Mashup.OleDb.1;Data Source=$Workbook$;Location=_MV_THEFT_7DAY;Extended Properties=&quot;&quot;" command="SELECT * FROM [_MV_THEFT_7DAY]"/>
  </connection>
  <connection id="3" xr16:uid="{B02B1BD9-AF3D-4975-AC20-CF5A3EBE20C1}" keepAlive="1" name="Query - _Robbery_7D_" description="Connection to the '_Robbery_7D_' query in the workbook." type="5" refreshedVersion="8" background="1" saveData="1">
    <dbPr connection="Provider=Microsoft.Mashup.OleDb.1;Data Source=$Workbook$;Location=_Robbery_7D_;Extended Properties=&quot;&quot;" command="SELECT * FROM [_Robbery_7D_]"/>
  </connection>
  <connection id="4" xr16:uid="{EA0072ED-832C-429A-9FCE-38975CDE78AF}" keepAlive="1" name="Query - Bur_Auto" description="Connection to the 'Bur_Auto' query in the workbook." type="5" refreshedVersion="8" background="1" saveData="1">
    <dbPr connection="Provider=Microsoft.Mashup.OleDb.1;Data Source=$Workbook$;Location=Bur_Auto;Extended Properties=&quot;&quot;" command="SELECT * FROM [Bur_Auto]"/>
  </connection>
  <connection id="5" xr16:uid="{CDC0DC32-E900-4F76-B9E6-B6338BB07DE3}" keepAlive="1" name="Query - Bur_Auto_7D" description="Connection to the 'Bur_Auto_7D' query in the workbook." type="5" refreshedVersion="8" background="1" saveData="1">
    <dbPr connection="Provider=Microsoft.Mashup.OleDb.1;Data Source=$Workbook$;Location=Bur_Auto_7D;Extended Properties=&quot;&quot;" command="SELECT * FROM [Bur_Auto_7D]"/>
  </connection>
  <connection id="6" xr16:uid="{E939293C-6DC8-4249-873B-9B7663FA4F30}" keepAlive="1" name="Query - Bur_C_R" description="Connection to the 'Bur_C_R' query in the workbook." type="5" refreshedVersion="8" background="1" saveData="1">
    <dbPr connection="Provider=Microsoft.Mashup.OleDb.1;Data Source=$Workbook$;Location=Bur_C_R;Extended Properties=&quot;&quot;" command="SELECT * FROM [Bur_C_R]"/>
  </connection>
  <connection id="7" xr16:uid="{D4DCD111-752A-40C8-A46C-60C534A946D8}" keepAlive="1" name="Query - CURRENT_28D" description="Connection to the 'CURRENT_28D' query in the workbook." type="5" refreshedVersion="8" background="1" saveData="1">
    <dbPr connection="Provider=Microsoft.Mashup.OleDb.1;Data Source=$Workbook$;Location=CURRENT_28D;Extended Properties=&quot;&quot;" command="SELECT * FROM [CURRENT_28D]"/>
  </connection>
  <connection id="8" xr16:uid="{03A5906A-4CA8-4C73-AD11-E0976737A902}" keepAlive="1" name="Query - EXPORT_RMS" description="Connection to the 'EXPORT_RMS' query in the workbook." type="5" refreshedVersion="8" background="1" saveData="1">
    <dbPr connection="Provider=Microsoft.Mashup.OleDb.1;Data Source=$Workbook$;Location=EXPORT_RMS;Extended Properties=&quot;&quot;" command="SELECT * FROM [EXPORT_RMS]"/>
  </connection>
  <connection id="9" xr16:uid="{44A5ED86-19DC-4DA4-AD89-32F759B0F066}" keepAlive="1" name="Query - EXPORT_RMS (2)" description="Connection to the 'EXPORT_RMS (2)' query in the workbook." type="5" refreshedVersion="8" background="1" saveData="1">
    <dbPr connection="Provider=Microsoft.Mashup.OleDb.1;Data Source=$Workbook$;Location=&quot;EXPORT_RMS (2)&quot;;Extended Properties=&quot;&quot;" command="SELECT * FROM [EXPORT_RMS (2)]"/>
  </connection>
  <connection id="10" xr16:uid="{64254351-F874-412F-B5A6-65600380F8EE}" keepAlive="1" name="Query - fnExtractAfterKeyword" description="Connection to the 'fnExtractAfterKeyword' query in the workbook." type="5" refreshedVersion="0" background="1">
    <dbPr connection="Provider=Microsoft.Mashup.OleDb.1;Data Source=$Workbook$;Location=fnExtractAfterKeyword;Extended Properties=&quot;&quot;" command="SELECT * FROM [fnExtractAfterKeyword]"/>
  </connection>
  <connection id="11" xr16:uid="{9241D73E-215C-4301-A693-1097E89404D9}" keepAlive="1" name="Query - MV_Theft" description="Connection to the 'MV_Theft' query in the workbook." type="5" refreshedVersion="8" background="1" saveData="1">
    <dbPr connection="Provider=Microsoft.Mashup.OleDb.1;Data Source=$Workbook$;Location=MV_Theft;Extended Properties=&quot;&quot;" command="SELECT * FROM [MV_Theft]"/>
  </connection>
  <connection id="12" xr16:uid="{12EA993F-6343-4693-B798-EF2B18165E57}"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13" xr16:uid="{41BA2DA0-A83F-41EC-A867-FFF8B939D9E5}" keepAlive="1" name="Query - PAST_WEEK" description="Connection to the 'PAST_WEEK' query in the workbook." type="5" refreshedVersion="8" background="1" saveData="1">
    <dbPr connection="Provider=Microsoft.Mashup.OleDb.1;Data Source=$Workbook$;Location=PAST_WEEK;Extended Properties=&quot;&quot;" command="SELECT * FROM [PAST_WEEK]"/>
  </connection>
  <connection id="14" xr16:uid="{14E7BA4E-99B6-49FF-88CB-09E24D63324C}" keepAlive="1" name="Query - Robbery_" description="Connection to the 'Robbery_' query in the workbook." type="5" refreshedVersion="8" background="1" saveData="1">
    <dbPr connection="Provider=Microsoft.Mashup.OleDb.1;Data Source=$Workbook$;Location=Robbery_;Extended Properties=&quot;&quot;" command="SELECT * FROM [Robbery_]"/>
  </connection>
  <connection id="15" xr16:uid="{6A029052-2F38-42F3-9FCD-B69A88E9FB8F}"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6" xr16:uid="{6E8245EF-28A7-4BA0-BAF8-0DC8913AAF0D}" keepAlive="1" name="Query - Sex_Off_7D" description="Connection to the 'Sex_Off_7D' query in the workbook." type="5" refreshedVersion="8" background="1" saveData="1">
    <dbPr connection="Provider=Microsoft.Mashup.OleDb.1;Data Source=$Workbook$;Location=Sex_Off_7D;Extended Properties=&quot;&quot;" command="SELECT * FROM [Sex_Off_7D]"/>
  </connection>
  <connection id="17" xr16:uid="{C4BFF245-EC0C-49A9-9868-AE2F36E3C877}" keepAlive="1" name="Query - Sexual_Offenses" description="Connection to the 'Sexual_Offenses' query in the workbook." type="5" refreshedVersion="8" background="1" saveData="1">
    <dbPr connection="Provider=Microsoft.Mashup.OleDb.1;Data Source=$Workbook$;Location=Sexual_Offenses;Extended Properties=&quot;&quot;" command="SELECT * FROM [Sexual_Offenses]"/>
  </connection>
  <connection id="18" xr16:uid="{6B0C8447-4982-486A-BB43-7E498D61E2F3}"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9" xr16:uid="{A48D6E5C-A2FE-4047-A8B0-082EB0312818}"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<sst xmlns="http://schemas.openxmlformats.org/spreadsheetml/2006/main" count="7688" uniqueCount="820">
  <si>
    <t>Case Number</t>
  </si>
  <si>
    <t>INC_DATE</t>
  </si>
  <si>
    <t>TOD</t>
  </si>
  <si>
    <t>Start of Hour</t>
  </si>
  <si>
    <t>INC_TIME</t>
  </si>
  <si>
    <t>Day Name</t>
  </si>
  <si>
    <t>Month Name</t>
  </si>
  <si>
    <t>BLOCK</t>
  </si>
  <si>
    <t>Location</t>
  </si>
  <si>
    <t>Incident Type_1</t>
  </si>
  <si>
    <t>ALL_INCIDENTS</t>
  </si>
  <si>
    <t>Incident Type_2</t>
  </si>
  <si>
    <t>Incident Type_3</t>
  </si>
  <si>
    <t>FullAddress</t>
  </si>
  <si>
    <t>Grid</t>
  </si>
  <si>
    <t>Zone</t>
  </si>
  <si>
    <t>Narrative</t>
  </si>
  <si>
    <t>Total Value Stolen</t>
  </si>
  <si>
    <t>Total Value Recover</t>
  </si>
  <si>
    <t>Registration 1</t>
  </si>
  <si>
    <t>Make1</t>
  </si>
  <si>
    <t>Model1</t>
  </si>
  <si>
    <t>Reg State 1</t>
  </si>
  <si>
    <t>Registration 2</t>
  </si>
  <si>
    <t>Reg State 2</t>
  </si>
  <si>
    <t>Make2</t>
  </si>
  <si>
    <t>Model2</t>
  </si>
  <si>
    <t>Reviewed By</t>
  </si>
  <si>
    <t>CompleteCalc</t>
  </si>
  <si>
    <t>Officer of Record</t>
  </si>
  <si>
    <t>Squad</t>
  </si>
  <si>
    <t>Det_Assigned</t>
  </si>
  <si>
    <t>Case_Status</t>
  </si>
  <si>
    <t>NIBRS Classification</t>
  </si>
  <si>
    <t>CASE_NUMBER_LENGTH</t>
  </si>
  <si>
    <t>Incident Date</t>
  </si>
  <si>
    <t>Incident Time</t>
  </si>
  <si>
    <t>Incident Date_Between</t>
  </si>
  <si>
    <t>Incident Time_Between</t>
  </si>
  <si>
    <t>Report Date</t>
  </si>
  <si>
    <t>Report Time</t>
  </si>
  <si>
    <t>Year</t>
  </si>
  <si>
    <t>Week of Year</t>
  </si>
  <si>
    <t>Week of Month</t>
  </si>
  <si>
    <t>Day</t>
  </si>
  <si>
    <t>Day of Year</t>
  </si>
  <si>
    <t>INC_DATE_AND_TIME</t>
  </si>
  <si>
    <t>St#</t>
  </si>
  <si>
    <t>Narrative - Copy</t>
  </si>
  <si>
    <t>VEHICLE</t>
  </si>
  <si>
    <t>Suspect</t>
  </si>
  <si>
    <t>TOTAL_STOLEN_AMOUNT</t>
  </si>
  <si>
    <t>REPORT_CYCLE</t>
  </si>
  <si>
    <t>TIME_OF_DAY</t>
  </si>
  <si>
    <t>25-002635</t>
  </si>
  <si>
    <t>12:00-15:59 Afternoon</t>
  </si>
  <si>
    <t>January</t>
  </si>
  <si>
    <t>Prospect Ave, 0 Block</t>
  </si>
  <si>
    <t>90 Prospect Avenue</t>
  </si>
  <si>
    <t>Burglary - Auto</t>
  </si>
  <si>
    <t/>
  </si>
  <si>
    <t>90 Prospect Avenue, Hackensack, NJ, 07601</t>
  </si>
  <si>
    <t>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t>
  </si>
  <si>
    <t>XCSW43</t>
  </si>
  <si>
    <t>HONDA</t>
  </si>
  <si>
    <t>PIL</t>
  </si>
  <si>
    <t>NJ</t>
  </si>
  <si>
    <t>Deleon_A</t>
  </si>
  <si>
    <t>Complete</t>
  </si>
  <si>
    <t>P.O. Ruben Almonte 359</t>
  </si>
  <si>
    <t>A3</t>
  </si>
  <si>
    <t>Det. Matthew DeBonis 325</t>
  </si>
  <si>
    <t>Active/Administratively Closed</t>
  </si>
  <si>
    <t>23F = Theft From Motor Vehicle</t>
  </si>
  <si>
    <t>Vehicle 1: NJ-XCSW43 HONDA, PIL</t>
  </si>
  <si>
    <t>suspect(s): unknown suspect may be her husband uri darzi whom she is currently in a civil lawsuit with</t>
  </si>
  <si>
    <t>$5,000.00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t>
  </si>
  <si>
    <t>Afternoon (12:00-15:59)</t>
  </si>
  <si>
    <t>25-007074</t>
  </si>
  <si>
    <t>16:00-19:59 Evening Peak</t>
  </si>
  <si>
    <t>Stanley Pl, 200 Block</t>
  </si>
  <si>
    <t>206 Stanley Place</t>
  </si>
  <si>
    <t>Burglary - Auto, Theft</t>
  </si>
  <si>
    <t>Theft</t>
  </si>
  <si>
    <t>206 Stanley Place, Hackensack, NJ, 07601</t>
  </si>
  <si>
    <t>H3</t>
  </si>
  <si>
    <t>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t>
  </si>
  <si>
    <t>R36GBB</t>
  </si>
  <si>
    <t>CRV</t>
  </si>
  <si>
    <t>Levis_R</t>
  </si>
  <si>
    <t>P.O. Massimo Gallorini 379</t>
  </si>
  <si>
    <t>A2</t>
  </si>
  <si>
    <t>Sgt. Franklin Bay 162</t>
  </si>
  <si>
    <t>No Investigation</t>
  </si>
  <si>
    <t>Vehicle 1: NJ-R36GBB HONDA, CRV</t>
  </si>
  <si>
    <t>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t>
  </si>
  <si>
    <t>Evening Peak (16:00-19:59)</t>
  </si>
  <si>
    <t>25-007197</t>
  </si>
  <si>
    <t>20:00-23:59 Night</t>
  </si>
  <si>
    <t>Pangborn Pl, 0 Block</t>
  </si>
  <si>
    <t>5 Pangborn Place</t>
  </si>
  <si>
    <t>5 Pangborn Place, Hackensack, NJ, 07601</t>
  </si>
  <si>
    <t>H2</t>
  </si>
  <si>
    <t>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t>
  </si>
  <si>
    <t>R97RYW</t>
  </si>
  <si>
    <t>ODY</t>
  </si>
  <si>
    <t>P.O. Micah Gibson 365</t>
  </si>
  <si>
    <t>Det. Matthew Dogali 338</t>
  </si>
  <si>
    <t>Vehicle 1: NJ-R97RYW HONDA, ODY</t>
  </si>
  <si>
    <t>$200.00.    The vehicle was parked on Conklin Place, 150 feet east of Pangborn Place, facing west</t>
  </si>
  <si>
    <t>Night (20:00-23:59)</t>
  </si>
  <si>
    <t>25-012325</t>
  </si>
  <si>
    <t>February</t>
  </si>
  <si>
    <t>East Pleasantview Avenue &amp; Kipp Street</t>
  </si>
  <si>
    <t>East Pleasantview Avenue &amp; Kipp Street, Hackensack, NJ, 07601</t>
  </si>
  <si>
    <t>F3</t>
  </si>
  <si>
    <t>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t>
  </si>
  <si>
    <t>XGDR55</t>
  </si>
  <si>
    <t>FORD</t>
  </si>
  <si>
    <t>R1Z</t>
  </si>
  <si>
    <t>Swetits_M</t>
  </si>
  <si>
    <t>P.O. Angelo Vicale 370</t>
  </si>
  <si>
    <t>B3</t>
  </si>
  <si>
    <t>Det. Demetrius Carroll 133</t>
  </si>
  <si>
    <t>Active Investigation</t>
  </si>
  <si>
    <t>Vehicle 1: NJ-XGDR55 FORD, R1Z</t>
  </si>
  <si>
    <t>suspect(s) were able to unlock the door from the inside and enter the vehicle</t>
  </si>
  <si>
    <t>$3,000.001-Heath RMLD- Approximately  $8,000.001-Heath gas detector- Approximately  $5,000.00                                            Approximate amount stolen:  $16,000.00    I did not observe any cameras in the area and the PSE&amp;G vehicle is self insured.</t>
  </si>
  <si>
    <t>(All)</t>
  </si>
  <si>
    <t>Count of Case Number</t>
  </si>
  <si>
    <t>25-004478</t>
  </si>
  <si>
    <t>Second St, 0 Block</t>
  </si>
  <si>
    <t>30 Second Street</t>
  </si>
  <si>
    <t>Burglary - Residence</t>
  </si>
  <si>
    <t>30 Second Street, Hackensack, NJ, 07601</t>
  </si>
  <si>
    <t>G3</t>
  </si>
  <si>
    <t>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t>
  </si>
  <si>
    <t>P.O. Aziah Miller 357</t>
  </si>
  <si>
    <t>220 = Burglary/Breaking &amp; Entering</t>
  </si>
  <si>
    <t>suspects at the time this report was taken</t>
  </si>
  <si>
    <t>$35.00. A Victim Notification was completed and the victim was provided with a copy upon our departure</t>
  </si>
  <si>
    <t>25-006864</t>
  </si>
  <si>
    <t>08:00-11:59 Morning Peak</t>
  </si>
  <si>
    <t>Kansas St, 0 Block</t>
  </si>
  <si>
    <t>60 Kansas Street</t>
  </si>
  <si>
    <t>60 Kansas Street, Hackensack, NJ, 07601</t>
  </si>
  <si>
    <t>E1</t>
  </si>
  <si>
    <t>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incident.Sgt. Competiello contacted detectives. Detective DeBonis arrived on scene.The victim requested for the apartment to be processed. Sgt. Competiello contacted Bergen County Sheriff's Office. Detective LaSala #1866 arrived on scene. See BCSO case #2025-0052 for more .I observed no signs of forced entry. The New Jersey victim notification form was filled out and a copy was provided to the victim for her records.The crime scene was secured at 14:15 hours.Crime Scene Log:14:31: Det. LaSala Enters14:38: Det. LaSala Exits14:48: Det. Lasala Enters14:49: Det. Debonis Enters15:01: Det. LaSala Exits.15:04: Det. LaSala Enters.Crime Scene Terminated: 15:08</t>
  </si>
  <si>
    <t>P.O. Andres Lopez 375</t>
  </si>
  <si>
    <t>suspects inside</t>
  </si>
  <si>
    <t>$2,000 in miscellaneous jewelry. She described the jewelry to be earrings and gold necklaces.The victim reported she had the same incident occur in 2023</t>
  </si>
  <si>
    <t>Morning Peak (08:00-11:59)</t>
  </si>
  <si>
    <t>25-008551</t>
  </si>
  <si>
    <t>The Esplanade, 200 Block</t>
  </si>
  <si>
    <t>292 The Esplanade</t>
  </si>
  <si>
    <t>292 The Esplanade, Hackensack, NJ, 07601</t>
  </si>
  <si>
    <t>H5</t>
  </si>
  <si>
    <t>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t>
  </si>
  <si>
    <t>Klosk_J</t>
  </si>
  <si>
    <t>P.O. Denisse Caero 367</t>
  </si>
  <si>
    <t>B2</t>
  </si>
  <si>
    <t>Det. John Tanucilli 335</t>
  </si>
  <si>
    <t>25-009831</t>
  </si>
  <si>
    <t>00:00-03:59 Early Morning</t>
  </si>
  <si>
    <t>Passaic St, 400 Block</t>
  </si>
  <si>
    <t>441 Passaic Street</t>
  </si>
  <si>
    <t>Burglary - Commercial</t>
  </si>
  <si>
    <t>Burglary - Commercial, Alarm - Burglar</t>
  </si>
  <si>
    <t>Alarm - Burglar</t>
  </si>
  <si>
    <t>441 Passaic Street, Hackensack, NJ, 07601</t>
  </si>
  <si>
    <t>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commenced.-0448 hours, Det. N. LaSala (BCSD-CSU) arrived to process the scene, BCSD case # 2025-0088.-0528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t>
  </si>
  <si>
    <t>P.O. Benjamin Estrada 350</t>
  </si>
  <si>
    <t>Det. Frank Scarpa 348</t>
  </si>
  <si>
    <t>Early Morning (00:00-03:59)</t>
  </si>
  <si>
    <t>25-013147</t>
  </si>
  <si>
    <t>35 Pangborn Place</t>
  </si>
  <si>
    <t>Burglary - Commercial, Suspicious Incident</t>
  </si>
  <si>
    <t>Suspicious Incident</t>
  </si>
  <si>
    <t>35 Pangborn Place, Hackensack, NJ, 07601</t>
  </si>
  <si>
    <t>I1</t>
  </si>
  <si>
    <t>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handle.Sgt. Farhi was notified. Detectives were notified by Sgt. Farhi. Total value of items taken - $150.00 USD</t>
  </si>
  <si>
    <t>Sgt. Francesco Tripodi 134</t>
  </si>
  <si>
    <t>Under Supervisor Review</t>
  </si>
  <si>
    <t>suspect(s): unknown     i responded to the listed location, 35 pangborn place - hackensack emergency dental, on a report of a burglary</t>
  </si>
  <si>
    <t>$100.00 USD) and a Keep Connect Router Reporter ( $50.00) had been a taken from the basement. The complainant further stated there did not appear to be any forced entry into the basement $150.00 USD</t>
  </si>
  <si>
    <t>25-003745</t>
  </si>
  <si>
    <t>Main St, 800 Block</t>
  </si>
  <si>
    <t>895 Main Street</t>
  </si>
  <si>
    <t>Burglary - Residence, Harassment, Domestic Violence</t>
  </si>
  <si>
    <t>Harassment</t>
  </si>
  <si>
    <t>Domestic Violence</t>
  </si>
  <si>
    <t>895 Main Street, Hackensack, NJ, 07601</t>
  </si>
  <si>
    <t>I5</t>
  </si>
  <si>
    <t>On Tuesday, 01/14/2025, P.O. Rivera and I responded to 895 Main Street apartment 12A for a Domestic Violence incident report. Mrs. Charmaine Perez (victim) is the mother of Mr. Christopher Pereira (suspect). Mr. Eusebia Perez (witness) is married to the victim and stepfather to the suspect.      The victim reported that the suspect has not lived at the apartment for approximately three (3) months. The suspect does not have key access to the apartment. There is a vestibule, which is kept locked, that leads to a first and second floor apartment. The victim's apartment is on the first floor.       The victim reported that the suspect broke into the apartment uninvited and continued into her bedroom, where she was located. The suspect was irate, confronted her about money that she was awarded from a lawsuit settlement. The suspect stated, " BITCH, DON'T MESS WITH THE GRANDKIDS, DO YOU KNOW WHO THAT NIGGA IS ON THE COUCH, STAY THE FUCK AWAY FROM ME!" The victim reported at the time her granddaughter, Ms. Keka Ornsby, and her boyfriend were seated on the couch when the suspect entered. The victim reported that the suspect did not engage with Ms. Keka Ornsby. It should be noted, Ms. Ornsby's mother has an active temporary restraining order (Docket #FV-02000101-11 against the suspect. Ms. Ornsby is listed as an additional person in the order. The victim reported that Ms. Ornsby began staying with her for approximately three (3) weeks. Due to the statements the victim made, we did not sign a complaint against suspect for 2C:29-9 (Contempt of court).       The victim reported when the suspect exited the bedroom, the granddaughter and her boyfriend left and the witness entered the apartment. The witness reported that he avoided confrontation from the suspect by exiting the apartment. The witness was unaware the suspect was inside and the victim confirmed his reporting. It should be noted, the suspect has a no contact order against the witness (See complaint #W2024-000767-0223). Due to the victim's and witness's statement, we did not sign a complaint against the witness for 2C:29-9 (Contempt of court).      Sgt. Williams arrived to assist. The victim believed the suspect used a credit card to gain entry into the apartment. The vestibule door and apartment door had old damage near the doorknob and strike plate. The victim confirmed our observation. Sgt. Detective Bay was notified. The scene was unable to be processed, but was captured by my body worn camera.      The victim wanted a temporary restraining order and willing to give a recorded statement. She was transported to headquarters, gave a recorded statement to detectives (See their supplement), and Judge Takvorian granted the TRO in report room #2 @1342 hours. Sgt. Feuilly was sent an e-mail to preserve the recording. The victim was given her copy of the TRO. She did not want to speak with a Domestic Violence Response member, but was provided their phone number. A voluntary handwritten form was not completed because she gave a recorded statement. A New Jersey Victim notification form was completed.      Lt. Knapp authored complaint #W-0223-2025-000014 for 2C:33-4C (Harassment), a petty disorderly persons offense, and 2C:18-2A(1) (Burglary), a third degree crime.</t>
  </si>
  <si>
    <t>Knapp_J</t>
  </si>
  <si>
    <t>P.O. Kevin Small 328</t>
  </si>
  <si>
    <t>Complaint Signed</t>
  </si>
  <si>
    <t>suspect) suspect suspect has not lived at the apartment for approximately three (3) months suspect does not have key access to the apartment suspect broke into the apartment uninvited and continued into her bedroom, where she was located suspect was irate, confronted her about money that she was awarded from a lawsuit settlement suspect stated, " bitch, don't mess with the grandkids, do you know who that nigga is on the couch, stay the fuck away from me!" the victim reported at the time her granddaughter, ms suspect entered suspect did not engage with ms suspect suspect for 2c:29-9 (contempt of court) suspect exited the bedroom, the granddaughter and her boyfriend left and the witness entered the apartment suspect by exiting the apartment suspect was inside and the victim confirmed his reporting suspect has a no contact order against the witness (see complaint #w2024-000767-0223) suspect used a credit card to gain entry into the apartment</t>
  </si>
  <si>
    <t>25-004288</t>
  </si>
  <si>
    <t>Bonhomme St, 100 Block</t>
  </si>
  <si>
    <t>152 Bonhomme Street</t>
  </si>
  <si>
    <t>Violation of Court Order</t>
  </si>
  <si>
    <t>Violation of Court Order, Burglary - Residence, Harassment</t>
  </si>
  <si>
    <t>152 Bonhomme Street, Hackensack, NJ, 07601</t>
  </si>
  <si>
    <t>E2</t>
  </si>
  <si>
    <t>The victim and the suspect were prviously in a two year relationship.  The two never resided together and have no children in common.     P.O. McCarthy and I responded to the listed location on a report of a violation of a court order.  Upon arrival, we met with the victim,  Johnathan Arroyo, who reported hearing a loud bang from the basement door.  After hearing the loud bang, he began to hear his ex-girlfriend, Ashley Celdo Rodriguez, start to scream while standing in the basement.  That's when his brother, David Arroyo, and the victim exit their bedrooms and witness the suspect inside of the house.  Both parties grabbed the suspect and escorted her out of the house.  Once outside, the suspect ran toward the backyard fence and climbed over before our arrival on the scene.  While on the scene, I observed the door frame trim to be damaged.  The victim estimated that the cost to fix the door was $200.00.  P.O. Mcarthy and P.O. Lopez-Amaya arrived to assist and conducted a check of the area.     While on the scene, I observed several surveillance cameras on the residence's exterior.  They showed me the footage of the suspect entering the rear yard and walking to the basement door of the house.  I provided the victim with my departmental e-mail address so that the video footage could be sent.        I contacted police headquarters to see if any active restraining orders were in place.  They advised me that three no-contact orders were in place.  I asked if the victim wanted the scene processed, but he did not want it done.  I asked the victim if he wanted to apply for a restraining order at this time, which he denied.  He also wanted to speak with a DVRT member at a later time.  I provided the victim with the telephone number.  I completed the New Jersey victim notification form and domestic violence supplement were completed.   The victim refused to complete a voluntary handwritten statement.  While at police headquarters, P.O. McCarthy, P.O. Vicale, and P.O. Lopez-Amaya located the suspect. See their supplements for further information.       Arrestee was charged with 2C:29-17-3A(1), 2C:33-4A, 2C:18-2A(1), 2C:29-2A(1) and 3 counts of 2C:29-9A(1) on 0223-W-2025-000023</t>
  </si>
  <si>
    <t>P.O. Daniel Francavilla 329</t>
  </si>
  <si>
    <t>B4</t>
  </si>
  <si>
    <t>suspect were prviously in a two year relationship suspect inside of the house suspect and escorted her out of the house suspect ran toward the backyard fence and climbed over before our arrival on the scene suspect entering the rear yard and walking to the basement door of the house suspect</t>
  </si>
  <si>
    <t>$200.00.  P</t>
  </si>
  <si>
    <t>(Multiple Items)</t>
  </si>
  <si>
    <t>25-000813</t>
  </si>
  <si>
    <t>Lookout Ave, 300 Block</t>
  </si>
  <si>
    <t>309 Lookout Avenue</t>
  </si>
  <si>
    <t>Motor Vehicle Theft</t>
  </si>
  <si>
    <t>309 Lookout Avenue, Hackensack, NJ, 07601</t>
  </si>
  <si>
    <t>I2</t>
  </si>
  <si>
    <t>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t>
  </si>
  <si>
    <t>W46ULY</t>
  </si>
  <si>
    <t>ACC</t>
  </si>
  <si>
    <t>P.O. Nicholas Mazzaccaro 377</t>
  </si>
  <si>
    <t>Det. Robert Ghirardi 150</t>
  </si>
  <si>
    <t>240 = Theft of Motor Vehicle</t>
  </si>
  <si>
    <t>Vehicle 1: NJ-W46ULY HONDA, ACC</t>
  </si>
  <si>
    <t>suspect(s) are identified</t>
  </si>
  <si>
    <t>25-004097</t>
  </si>
  <si>
    <t>First St, 200 Block</t>
  </si>
  <si>
    <t>244 First Street</t>
  </si>
  <si>
    <t>244 First Street, Hackensack, NJ, 07601</t>
  </si>
  <si>
    <t>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stolen.240 First Street has cameras in the general direction of where the vehicle was parked. It is unknown at this time if they captured the incident occur.Insurance Information: Company: Geico (369)Policy Number: 6183163036The driver was provided with a completed New Jersey Victim Notification Form.The driver wished to have the vehicle processed if located and a Hackensack Police Consent to Search from was completed.The vehicle was entered into NCIC as stolen by Communications.The vehicle was entered into ATTF as stolen.</t>
  </si>
  <si>
    <t>U38ULG</t>
  </si>
  <si>
    <t>CIV</t>
  </si>
  <si>
    <t>P.O. Frank Lorenzo 371</t>
  </si>
  <si>
    <t>b1</t>
  </si>
  <si>
    <t>Vehicle 1: NJ-U38ULG HONDA, CIV</t>
  </si>
  <si>
    <t>suspected to be from his rear passenger side window</t>
  </si>
  <si>
    <t>$50,000.00 as the vehicle was fairly new. He further reported he attempted to track the vehicle as it contains tracking equipment but was unsuccessful as it was not connecting</t>
  </si>
  <si>
    <t>25-005871</t>
  </si>
  <si>
    <t>Ross Ave, 0 Block</t>
  </si>
  <si>
    <t>33 Ross Avenue</t>
  </si>
  <si>
    <t>33 Ross Avenue, Hackensack, NJ, 07601</t>
  </si>
  <si>
    <t>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t>
  </si>
  <si>
    <t>U22RSV</t>
  </si>
  <si>
    <t>PAS</t>
  </si>
  <si>
    <t>Tovbin_S</t>
  </si>
  <si>
    <t>P.O. Roselys Salas 369</t>
  </si>
  <si>
    <t>Vehicle 1: NJ-U22RSV HONDA, PAS</t>
  </si>
  <si>
    <t>25-006083</t>
  </si>
  <si>
    <t>Hudson St, 400 Block</t>
  </si>
  <si>
    <t>443 Hudson Street</t>
  </si>
  <si>
    <t>443 Hudson Street, Hackensack, NJ, 07601</t>
  </si>
  <si>
    <t>E3</t>
  </si>
  <si>
    <t>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"the vehicle was towed off the property early morning and he got some money for it."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t>
  </si>
  <si>
    <t>Y62SRJ</t>
  </si>
  <si>
    <t>NISSAN</t>
  </si>
  <si>
    <t>PTH</t>
  </si>
  <si>
    <t>Vehicle 1: NJ-Y62SRJ NISSAN, PTH</t>
  </si>
  <si>
    <t>25-008075</t>
  </si>
  <si>
    <t>Essex St, 100 Block</t>
  </si>
  <si>
    <t>119 Essex Street</t>
  </si>
  <si>
    <t>Motor Vehicle Theft, Theft</t>
  </si>
  <si>
    <t>119 Essex Street, Hackensack, NJ, 07601</t>
  </si>
  <si>
    <t>F1</t>
  </si>
  <si>
    <t>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t>
  </si>
  <si>
    <t>K84CXU</t>
  </si>
  <si>
    <t>LEXUS</t>
  </si>
  <si>
    <t>ES</t>
  </si>
  <si>
    <t>Ex-Cleared / Closed</t>
  </si>
  <si>
    <t>Vehicle 1: NJ-K84CXU LEXUS, ES</t>
  </si>
  <si>
    <t>$800.00 USD.</t>
  </si>
  <si>
    <t>25-008777</t>
  </si>
  <si>
    <t>Sutton Ave, 400 Block</t>
  </si>
  <si>
    <t>453 Sutton Avenue</t>
  </si>
  <si>
    <t>453 Sutton Avenue, Hackensack, NJ, 07601</t>
  </si>
  <si>
    <t>F2</t>
  </si>
  <si>
    <t>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t>
  </si>
  <si>
    <t>P77UZJ</t>
  </si>
  <si>
    <t>CRO</t>
  </si>
  <si>
    <t>Vehicle 1: NJ-P77UZJ FORD, CRO</t>
  </si>
  <si>
    <t>$30.00 USD.</t>
  </si>
  <si>
    <t>25-009657</t>
  </si>
  <si>
    <t>Midtown Bridge Approach, 0 Block</t>
  </si>
  <si>
    <t>55 Midtown Bridge Approach</t>
  </si>
  <si>
    <t>55 Midtown Bridge Approach, Hackensack, NJ, 07601</t>
  </si>
  <si>
    <t>H1</t>
  </si>
  <si>
    <t>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completed.Insurance Info: Self-InsuredCertificate #:S012Exp: 06/30/2025</t>
  </si>
  <si>
    <t>AM82732</t>
  </si>
  <si>
    <t>RAM</t>
  </si>
  <si>
    <t>PROMASTER</t>
  </si>
  <si>
    <t>AZ</t>
  </si>
  <si>
    <t>Vehicle 1: AZ-AM82732 RAM, PROMASTER</t>
  </si>
  <si>
    <t>suspect, where a brief verbal exchange is had suspect is then seen retrieving keys from a lock box, before entering the van and fleeing the area suspect, who acted as an employee of the business suspect and secured the keys in the lock box himself</t>
  </si>
  <si>
    <t>$45,000.00.            The complainant has video footage of the incident, available upon request</t>
  </si>
  <si>
    <t>25-010474</t>
  </si>
  <si>
    <t>04:00-07:59 Morning</t>
  </si>
  <si>
    <t>Hudson St, 100 Block</t>
  </si>
  <si>
    <t>170 Hudson Street</t>
  </si>
  <si>
    <t>170 Hudson Street, Hackensack, NJ, 07601</t>
  </si>
  <si>
    <t>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parked.A victim notification form was completed and a copy was given to the victim. The victim requested to have the vehicle process if located. The estimated value of the stolen auto is $2,000.00 Dollars.</t>
  </si>
  <si>
    <t>T12SSE</t>
  </si>
  <si>
    <t>DODGE</t>
  </si>
  <si>
    <t>CAR</t>
  </si>
  <si>
    <t>P.O. Matthew Tedesco 316</t>
  </si>
  <si>
    <t>Vehicle 1: NJ-T12SSE DODGE, CAR</t>
  </si>
  <si>
    <t>$2,000.00 Dollars.</t>
  </si>
  <si>
    <t>Morning (04:00-07:59)</t>
  </si>
  <si>
    <t>25-010788</t>
  </si>
  <si>
    <t>Hudson St, 500 Block</t>
  </si>
  <si>
    <t>535 Hudson Street</t>
  </si>
  <si>
    <t>535 Hudson Street, Hackensack, NJ, 07601</t>
  </si>
  <si>
    <t>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t>
  </si>
  <si>
    <t>S70MPZ</t>
  </si>
  <si>
    <t>Vehicle 1: NJ-S70MPZ</t>
  </si>
  <si>
    <t>$6,000.00.  A victim notification form was completed, and the vehicle was entered into N</t>
  </si>
  <si>
    <t>25-013091</t>
  </si>
  <si>
    <t>Second St, 100 Block</t>
  </si>
  <si>
    <t>100 Second Street</t>
  </si>
  <si>
    <t>Motor Vehicle Theft, Recovered Stolen Vehicle</t>
  </si>
  <si>
    <t>Recovered Stolen Vehicle</t>
  </si>
  <si>
    <t>100 Second Street, Hackensack, NJ, 07601</t>
  </si>
  <si>
    <t>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vehicle.The vehicle registration was given to dispatch and was entered into NCIC. A stolen vehicle entry was made into the Auto Theft Task Force website.The vehicle's estimated value is approximately $22,000 USD.  See Rochelle Park Case #2025-002492.</t>
  </si>
  <si>
    <t>L17PUM</t>
  </si>
  <si>
    <t>Vehicle 1: NJ-L17PUM HONDA, ACC</t>
  </si>
  <si>
    <t>suspect(s): unknown     the victim, kimberly trujillo, responded to police headquarters on a report of a motor vehicle theft</t>
  </si>
  <si>
    <t>$22,000 USD.  See Rochelle Park Case #2025-002492.</t>
  </si>
  <si>
    <t>25-013106</t>
  </si>
  <si>
    <t>30 Prospect Avenue</t>
  </si>
  <si>
    <t>30 Prospect Avenue, Hackensack, NJ, 07601</t>
  </si>
  <si>
    <t>G4</t>
  </si>
  <si>
    <t>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t>
  </si>
  <si>
    <t>Z53RVG</t>
  </si>
  <si>
    <t>P.O. Anzour Marza 356</t>
  </si>
  <si>
    <t>Vehicle 1: NJ-Z53RVG HONDA, ACC</t>
  </si>
  <si>
    <t>25-015290</t>
  </si>
  <si>
    <t>Washington Ave, 400 Block</t>
  </si>
  <si>
    <t>430 Washington Avenue</t>
  </si>
  <si>
    <t>430 Washington Avenue, Hackensack, NJ, 07601</t>
  </si>
  <si>
    <t>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t>
  </si>
  <si>
    <t>8FL4661</t>
  </si>
  <si>
    <t>PILOT</t>
  </si>
  <si>
    <t>MD</t>
  </si>
  <si>
    <t>Vehicle 1: MD-8FL4661 HONDA, PILOT</t>
  </si>
  <si>
    <t>25-003362</t>
  </si>
  <si>
    <t>Clay St, 200 Block</t>
  </si>
  <si>
    <t>204 Clay Street</t>
  </si>
  <si>
    <t>Dispute</t>
  </si>
  <si>
    <t>Dispute, Criminal Attempt, Robbery</t>
  </si>
  <si>
    <t>Criminal Attempt</t>
  </si>
  <si>
    <t>Robbery</t>
  </si>
  <si>
    <t>204 Clay Street, Hackensack, NJ, 07601</t>
  </si>
  <si>
    <t>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victim.It should be noted that the victim, A.R., reported that he had dropped out of school as of today; therefore, a handle with care was not completed. See Detectives report for additional information.</t>
  </si>
  <si>
    <t>P.O. Forrod Bonsu 353</t>
  </si>
  <si>
    <t>B1</t>
  </si>
  <si>
    <t>Det. Frankie Garrett 323</t>
  </si>
  <si>
    <t>120 = Robbery</t>
  </si>
  <si>
    <t>suspect, described as wearing a grey hoodie and sweatpants, had fled southbound on first street suspect, later identified as d suspect, d suspect asked the victim if he could drop off the stolen moped for a couple of days suspect, d suspect arrived at his residence demanding $400 suspect arrived with three (3) other friends: two hispanic males, unknown names, dates of birth, or addresses, and a hispanic female, blonde hair and blue jacket, operating a toyota rav 4 with an unknown ny tag suspect, and the three (3) witnesses stood by suspect breached the door with physical force and continued to assault the victim while demanding $400 suspect, d suspect and the three (3) witnesses fled the scene after she threatened to call the police</t>
  </si>
  <si>
    <t>$400.00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$400.00 for the red moped electric bike.  I then requested a supervisor, and Sgt</t>
  </si>
  <si>
    <t>25-003813</t>
  </si>
  <si>
    <t>Hackensack Ave, 400 Block</t>
  </si>
  <si>
    <t>450 Hackensack Avenue</t>
  </si>
  <si>
    <t>Robbery, Resisting Arrest/Eluding, Suspicious Person</t>
  </si>
  <si>
    <t>Resisting Arrest/Eluding</t>
  </si>
  <si>
    <t>Suspicious Person</t>
  </si>
  <si>
    <t>450 Hackensack Avenue, Hackensack, NJ, 07601</t>
  </si>
  <si>
    <t>I6</t>
  </si>
  <si>
    <t>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jurisdictions.The arrestee was remanded to the Bergen County Jail.</t>
  </si>
  <si>
    <t>Y82VDS</t>
  </si>
  <si>
    <t>VOLKS</t>
  </si>
  <si>
    <t>ATL</t>
  </si>
  <si>
    <t>b2</t>
  </si>
  <si>
    <t>Vehicle 1: NJ-Y82VDS VOLKS, ATL</t>
  </si>
  <si>
    <t>$1,284.00 and placed them in a shopping cart. The arrestee then went past all points of sale and tried to exit the store $189.00Two 20V Atomic BL Combo Kit priced at  $149.00 eachM18 Fuel Jig Saw priced at  $199.00MKE M12 Packout Flood Light priced at  $149.00M18 Fuel 10 Miter Saw priced at  $449.00     Totaling at  $1,284.00.The arrestee was placed in radio car 114 and transported to police headquarters for processing</t>
  </si>
  <si>
    <t>25-004629</t>
  </si>
  <si>
    <t>Main St, 600 Block</t>
  </si>
  <si>
    <t>630 Main Street</t>
  </si>
  <si>
    <t>630 Main Street, Hackensack, NJ, 07601</t>
  </si>
  <si>
    <t>Suspect 1: Hispanic male, approximately early 30' s in age, approximately 5'10" in height, approximately 180 in weight, wearing a tan hooded sweater, brown "NY" Yankees logo hat, black sweatpants and white sneakers.Suspect 2: Hispanic female, approximately mid 20's in age, approximately 5'5" in height, approximately 140 in weight, wearing a black jacket, grey hooded sweater, tan pants and cream colored shoes. Suspect Vehicle: 4 door Silver in color Hyundai Sonata (unknown registration).On 1/17/25 P.O. Papanikolaou and I responded to 630 Main Street, Target on a reported shoplifting. While   speaking with Target Loss Prevention they wanted to report an additional incident, which occurred in the past.Target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time.A receipt of the unpaid merchandise was provided by Target Loss Prevention. The receipt was later secured in the Detective Bureau Mailbox.</t>
  </si>
  <si>
    <t>HYUNDAI</t>
  </si>
  <si>
    <t>SONATA</t>
  </si>
  <si>
    <t>Det. John Mora 257</t>
  </si>
  <si>
    <t>Vehicle 1: HYUNDAI, SONATA</t>
  </si>
  <si>
    <t>suspect 1: hispanic male, approximately early 30' s in age, approximately 5'10" in height, approximately 180 in weight, wearing a tan hooded sweater, brown "ny" yankees logo hat, black sweatpants and white sneakers suspect 2: hispanic female, approximately mid 20's in age, approximately 5'5" in height, approximately 140 in weight, wearing a black jacket, grey hooded sweater, tan pants and cream colored shoes suspect vehicle: 4 door silver in color hyundai sonata (unknown registration) suspect 1 and  suspect 2 entered target suspect 1 and 2 passed all points of sale with unpaid merchandise in a shopping cart suspects suspects attempted to steal suspect 1 punched the victim in the head, specifically the top left side, with a closed fist one time suspect later left the area in the  suspect vehicle</t>
  </si>
  <si>
    <t>$452.71. Prior to exiting Target Loss Prevention / the victim confronted both suspects</t>
  </si>
  <si>
    <t>25-009348</t>
  </si>
  <si>
    <t>144 Hudson Street</t>
  </si>
  <si>
    <t>Suspicious Incident, Robbery</t>
  </si>
  <si>
    <t>144 Hudson Street, Hackensack, NJ, 07601</t>
  </si>
  <si>
    <t>Unknown Suspect Descriptions:Unknown Suspect 1: Tall white male, crew cut, no clothing descriptionUnknown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t>
  </si>
  <si>
    <t>suspect descriptions:unknown  suspect 1: tall white male, crew cut, no clothing descriptionunknown  suspects 2-5: 4 males, unknown race, wearing dark colored helmets and dark clothes with padding suspects, with four of them carrying bats suspect #1 threatened him, stating that he would beat him up if he didn't hand over his belongings suspect #1 forcibly retrieved the wallet off his person and removed a debit card and identification card, before throwing the wallet back in his direction suspect's then told him if they saw him again, they would beat him up suspects then fled east on court street, before turning left to head north on river road</t>
  </si>
  <si>
    <t>25-009438</t>
  </si>
  <si>
    <t>400 Hackensack Avenue</t>
  </si>
  <si>
    <t>400 Hackensack Avenue, Hackensack, NJ, 07601</t>
  </si>
  <si>
    <t>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 black beanie, black puffer, dark pants, white/blue sneakers     Suspect 2: Black female, heavy build, 5'8", short hair, black puffer, black leggings, black pocketbook     Suspect 3: Black female, heavy build, 5'7", long cornrows, gray puffer, light blue jeans</t>
  </si>
  <si>
    <t>suspects (1 male, 2 females) entered the establishment at approximately 1600 hours suspects reportedly exited and reentered the store multiples time prior to committing the offense, with the last entry being made only by the male  suspect suspect grabbed three small purses from the display shelf before he began to walk toward the exit suspect, who immediately shoved him into a store fixture suspect reportedly proceeded to run out of the store toward the nearest mall exit, where he entered a black vehicle and fled in an unknown direction suspects if they were able to be identified suspect 1: black male, slim build, 5'8", black beanie, black puffer, dark pants, white/blue sneakers      suspect 2: black female, heavy build, 5'8", short hair, black puffer, black leggings, black pocketbook      suspect 3: black female, heavy build, 5'7", long cornrows, gray puffer, light blue jeans</t>
  </si>
  <si>
    <t>$650.00. The store manager (witness) wished to have complaints signed against the suspects if they were able to be identified</t>
  </si>
  <si>
    <t>Column Labels</t>
  </si>
  <si>
    <t>25-002564</t>
  </si>
  <si>
    <t>First St, 100 Block</t>
  </si>
  <si>
    <t>135 First Street</t>
  </si>
  <si>
    <t>Criminal Sexual Contact</t>
  </si>
  <si>
    <t>Criminal Sexual Contact, Juvenile Investigation</t>
  </si>
  <si>
    <t>Juvenile Investigation</t>
  </si>
  <si>
    <t>135 First Street, Hackensack, NJ, 07601</t>
  </si>
  <si>
    <t>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t>
  </si>
  <si>
    <t>Dominguez_L</t>
  </si>
  <si>
    <t>Det. Cristobal Lara-Nunez 341</t>
  </si>
  <si>
    <t>STA</t>
  </si>
  <si>
    <t>Det. Evelyn Reyes 336</t>
  </si>
  <si>
    <t>11D = Fondling</t>
  </si>
  <si>
    <t>suspect who is also student suspect was identified as manuel martinez perez suspect and his cousin esmeralda perez martinez who is a potential witness suspect gave her a hug suspect suspect suspect suspect touch the victim because she was busy doing her class work suspect suspect</t>
  </si>
  <si>
    <t>25-006324</t>
  </si>
  <si>
    <t xml:space="preserve"> Berdan Pl, 100 Block</t>
  </si>
  <si>
    <t>176  Berdan Place</t>
  </si>
  <si>
    <t>Sexual Assault</t>
  </si>
  <si>
    <t>Sexual Assault, Juvenile Investigation</t>
  </si>
  <si>
    <t>176  Berdan Place, Hackensack, NJ, 07601</t>
  </si>
  <si>
    <t>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t>
  </si>
  <si>
    <t>Bay_F</t>
  </si>
  <si>
    <t>DET</t>
  </si>
  <si>
    <t>TOT DCP&amp;P</t>
  </si>
  <si>
    <t>suspect</t>
  </si>
  <si>
    <t>25-013527</t>
  </si>
  <si>
    <t xml:space="preserve"> Prospect Ave, 200 Block</t>
  </si>
  <si>
    <t>240  Prospect Avenue</t>
  </si>
  <si>
    <t>Exceptionally Cleared/Closed</t>
  </si>
  <si>
    <t>Exceptionally Cleared/Closed, Sexual Assault</t>
  </si>
  <si>
    <t>240  Prospect Avenue, Hackensack, NJ, 07601</t>
  </si>
  <si>
    <t>H4</t>
  </si>
  <si>
    <t>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t>
  </si>
  <si>
    <t>suspect akashpreet riar on february 17, 2025 suspect is a teacher's assistant at the new york college of podiatric medicine, where she attends suspect because she was looking for a tutor and he offered to help her suspect picked up the victim in a blue honda (unknown registration) from her residence in new york city at approximately 1930 hours suspect arrived at the  suspect's apartment (240 prospect avenue, unknown apartment) suspect were studying for approximately 1 hours, before both parties started to have a few drinks of alcohol suspect started to approach her and speak in a sexual manner suspect started to grope her breasts, buttocks and thighs while trying to kiss her neck suspect suspect forced his way into the bathroom suspect forced her to pull down her pants and shoved his hand down the front of her pants suspect began to digitally penetrate the victim's vagina suspect to stop but felt like she had no control over the situation suspect inserted his penis into her vagina against her will suspect ejaculated next to the victim suspect called an uber for her and she took the ride share back to nyc</t>
  </si>
  <si>
    <t>25-014007</t>
  </si>
  <si>
    <t>Union St, 300 Block</t>
  </si>
  <si>
    <t>360 Union Street</t>
  </si>
  <si>
    <t>360 Union Street, Hackensack, NJ, 07601</t>
  </si>
  <si>
    <t>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children.Det. Reyes was advised all investigation turned over to Dete</t>
  </si>
  <si>
    <t>P.O. Angie Tabares 363</t>
  </si>
  <si>
    <t>Cleared - Arrest</t>
  </si>
  <si>
    <t>36A = Incest</t>
  </si>
  <si>
    <t>25-012110</t>
  </si>
  <si>
    <t>Christopher Columbus Drive, 100 Block</t>
  </si>
  <si>
    <t>128 Christopher Columbus Drive</t>
  </si>
  <si>
    <t>Assist Other Agency</t>
  </si>
  <si>
    <t>Assist Other Agency, Aggravated Assault, Robbery</t>
  </si>
  <si>
    <t>Aggravated Assault</t>
  </si>
  <si>
    <t>128 Christopher Columbus Drive, Jersey City, NJ 07302, Hackensack, NJ, 07601</t>
  </si>
  <si>
    <t>Victim and suspect were in a dating relationship for approximately 9 months.    I responded to Police Headquarters on a report of Domestic Violence. Upon arrival I met with the Victim who stated on 02/13/2025 at approximately 0200 hours she was at a bar called "Six26"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FV-BER-002857-24.A recorded statement was taken by Detective Mora. BREATHE services were offered but the victim refused. A New Jersey Victim Notification Form was completed.DVRT Form was completed.Voluntary Handwritten Statement was completed.ODARA Form was completed. Jersey City Police Department Detective Soto was advised of the incident.All paperwork was forwarded to him for complaints to be signed.</t>
  </si>
  <si>
    <t>Briggs_S</t>
  </si>
  <si>
    <t>TOT Outside Jurisdiction</t>
  </si>
  <si>
    <t>suspect were in a dating relationship for approximately 9 months suspect met with her on the sidewalk suspect wished to get back together, but she refused suspect strangled her, he stole her iphone 14 pro out of her front pocket (approximate value: $1,000 suspect, but he has not been served</t>
  </si>
  <si>
    <t>$1,000.00) then fled the scene.     The victim advised me that she currently has a restraining order against the suspect, but he has not been served</t>
  </si>
  <si>
    <t>Time of Day</t>
  </si>
  <si>
    <t>Mon</t>
  </si>
  <si>
    <t>Tue</t>
  </si>
  <si>
    <t>Wed</t>
  </si>
  <si>
    <t>Thu</t>
  </si>
  <si>
    <t>Fri</t>
  </si>
  <si>
    <t>Sat</t>
  </si>
  <si>
    <t>YTD</t>
  </si>
  <si>
    <t>28-DAY</t>
  </si>
  <si>
    <t>Sun</t>
  </si>
  <si>
    <t>Notes</t>
  </si>
  <si>
    <t>25-018160</t>
  </si>
  <si>
    <t>March</t>
  </si>
  <si>
    <t>Central Ave, 200 Block</t>
  </si>
  <si>
    <t>216 Central Avenue</t>
  </si>
  <si>
    <t>216 Central Avenue, Hackensack, NJ, 07601</t>
  </si>
  <si>
    <t>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"Mike Williams"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t>
  </si>
  <si>
    <t>R64NVW</t>
  </si>
  <si>
    <t>EXP</t>
  </si>
  <si>
    <t>Farhi_B</t>
  </si>
  <si>
    <t>Vehicle 1: NJ-R64NVW FORD, EXP</t>
  </si>
  <si>
    <t>suspect: black male with a beard wearing a gray hooded sweatshirt suspect which was unsuccessful suspect completing a purchase at the listed location suspect was approximately $102</t>
  </si>
  <si>
    <t>$10.00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t>
  </si>
  <si>
    <t>25-019245</t>
  </si>
  <si>
    <t>American Legion Drive, 200 Block</t>
  </si>
  <si>
    <t>282 American Legion Drive</t>
  </si>
  <si>
    <t>282 American Legion Drive, Hackensack, NJ, 07601</t>
  </si>
  <si>
    <t>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t>
  </si>
  <si>
    <t>K46PXJ</t>
  </si>
  <si>
    <t>HYN</t>
  </si>
  <si>
    <t>TIB</t>
  </si>
  <si>
    <t>P.O. Peter Voorhis 380</t>
  </si>
  <si>
    <t>Vehicle 1: NJ-K46PXJ HYN, TIB</t>
  </si>
  <si>
    <t>suspect is identified</t>
  </si>
  <si>
    <t>$250.00 dollars in miscellaneous tools were missing from the vehicle. We did not observe any visible damage or forced entry to the doors' exterior</t>
  </si>
  <si>
    <t>25-017536</t>
  </si>
  <si>
    <t>Essex St, 200 Block</t>
  </si>
  <si>
    <t>216 Essex Street</t>
  </si>
  <si>
    <t>216 Essex Street, Hackensack, NJ, 07601</t>
  </si>
  <si>
    <t>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"If you call the police, I will kill you."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"No."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t>
  </si>
  <si>
    <t>P.O. Steven Lemanowicz 347</t>
  </si>
  <si>
    <t>suspect description:  bm, 5'5, gray vest, blue hooded sweatshirt, blue jeans, black medium length hair, black purse and a black backpack suspect) had entered his store whom he recognized that had caused a disturbance earlier in the day with his customers suspect to leave or he will call the police suspect then grabbed two 50 ml bottles of patron silver and the employee grabbed his hand suspect then left the store with the bottles, picked up a black backpack he left outside the store and walked north on lehigh street suspect said anything during the theft and he stated the  suspect responded, "if you call the police, i will kill you suspect taking the bottles suspect was put out to patrols and a canvass of the area was negative for the  suspect suspect if he was identified</t>
  </si>
  <si>
    <t>$7.00 each for a total loss of  $14.00.</t>
  </si>
  <si>
    <t>25-017488</t>
  </si>
  <si>
    <t>High St, 100 Block</t>
  </si>
  <si>
    <t>195 High Street</t>
  </si>
  <si>
    <t>Robbery, Unlawful Possess./Weapons, Dispute</t>
  </si>
  <si>
    <t>Unlawful Possess./Weapons</t>
  </si>
  <si>
    <t>195 High Street, Hackensack, NJ, 07601</t>
  </si>
  <si>
    <t>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 I will fuck both of ya up" and began demanding the money Foster owed him.     Hunt reported that, he told the suspect that he was going to call the police. The suspect then stated ' I ain't scared of no police"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t>
  </si>
  <si>
    <t>D78PNR</t>
  </si>
  <si>
    <t>BMW</t>
  </si>
  <si>
    <t>430</t>
  </si>
  <si>
    <t>P.O. Bobby Rivera 361</t>
  </si>
  <si>
    <t>Vehicle 1: NJ-D78PNR BMW, 430</t>
  </si>
  <si>
    <t>suspect because she owed him money suspect exited the bmw and confronted him suspect began asking where foster was and hunt advised him that he believes she was at the listed address suspect then stated " ya keep fucking around with me and i am going to bust a cap in both of your asses' suspect reentered the white bmw and began following him suspect exited the bmw, and followed him up the front porch suspect followed him inside, uninvited suspect removed a short black baseball bat from his waistband and stated " i will fuck both of ya up" and began demanding the money foster owed him suspect that he was going to call the police suspect then stated ' i ain't scared of no police" and attempted to snatch hunts phone from his hands suspect fled suspect was responsible for the broken window, however, neither of them observed it suspect's vehicle of nj -d78pnr suspects name and an address of 26 anderson street, where she believes the mother resides suspect suspect for 2c:15-1a(2), 2c:12-3a, 2c:12-1a3, 2c:39-5d, and 2c:39-4d</t>
  </si>
  <si>
    <t>C03W10</t>
  </si>
  <si>
    <t>C03W09</t>
  </si>
  <si>
    <t>C02W08</t>
  </si>
  <si>
    <t>C02W07</t>
  </si>
  <si>
    <t>C02W06</t>
  </si>
  <si>
    <t>C02W05</t>
  </si>
  <si>
    <t>C01W04</t>
  </si>
  <si>
    <t>C01W03</t>
  </si>
  <si>
    <t>C01W02</t>
  </si>
  <si>
    <t>C01W01</t>
  </si>
  <si>
    <t>N/A</t>
  </si>
  <si>
    <t>25-019756</t>
  </si>
  <si>
    <t>Anderson St, 100 Block</t>
  </si>
  <si>
    <t>123 Anderson Street</t>
  </si>
  <si>
    <t>123 Anderson Street, Hackensack, NJ, 07601</t>
  </si>
  <si>
    <t>***Spanish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t>
  </si>
  <si>
    <t>K87VEF</t>
  </si>
  <si>
    <t>SUBARU</t>
  </si>
  <si>
    <t>TRI</t>
  </si>
  <si>
    <t>Det. Gunther Lara-Nunez 351</t>
  </si>
  <si>
    <t>Vehicle 1: NJ-K87VEF SUBARU, TRI</t>
  </si>
  <si>
    <t>suspects should they be identified</t>
  </si>
  <si>
    <t>$200.00 dollars. He reported that he left his wallet with the  $200.00 in the middle console which was visible to any passerby.        Due to the victim reporting that he contaminated the area/vehicle, he was not offered to have his vehicle to be fingerprinted by BCI</t>
  </si>
  <si>
    <t>C03W11</t>
  </si>
  <si>
    <t>25-019648</t>
  </si>
  <si>
    <t>Park Ave, 0 Block</t>
  </si>
  <si>
    <t>1 Park Avenue</t>
  </si>
  <si>
    <t>1 Park Avenue, Hackensack, NJ, 07601</t>
  </si>
  <si>
    <t>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t>
  </si>
  <si>
    <t>Ghirardi_R</t>
  </si>
  <si>
    <t>suspect #1- black female, long black hair, approximately in the early 30's, approximately 5'10 in height, approximately 170 lbs, wearing a black baseball hat, black jacket, white and black leggings, white socks and white sneakers suspect #2- black female, long black hair, approximately in the early 30's, approximately 5'10 in height, approximately 250 lbs, wearing a white jacket, white and grey leggings,white socks and tan timberlands suspects walked through the front lobby door of 1 park avenue, they proceeded to take the elevator to the 4th floor suspect 1 was seen leaving the entrance of 1 park avenue with two bags potentially from the apartment suspect #1 left with is unknown at this time</t>
  </si>
  <si>
    <t>Thur</t>
  </si>
  <si>
    <t>25-021703</t>
  </si>
  <si>
    <t>414 Hackensack Avenue</t>
  </si>
  <si>
    <t>Assist Other Agency, Burglary - Residence</t>
  </si>
  <si>
    <t>414 Hackensack Avenue, Hackensack, NJ, 07601</t>
  </si>
  <si>
    <t>The Hackensack Police Department was contacted by Det M Pletcher in reference to Sparta PD OCA ST2025-007957.  They sought assistance with executing a search warrant.  At 0530 Sparta PD held a briefing in HPD Detective Bureau.  Representatives from NYPD, Sussex County Prosecutor's Office, Sparta PD, and Englewood PD were present.  The subject of their investigation was Jerry Montgomery.  Sparta PD had a search warrant for Montgomery's apartment and a vehicle registered to his wife.After the brief Hackensack PD ESU secured the apartment and turned it over to the investigative personnel.  Montgomery was taken into custody and transported to HPD HQ by Sparta PD.  The vehicle which was subject to search was towed from 414 Hackensack Ave lot to HPD's secure garage by All Points towing.  During transport it was followed by POs Small and Voorhis in radio car 115.Sparta PD's search warrant is docket number JA-SSX-1953A-SW-25, approved by the Honorable Janine Allen.</t>
  </si>
  <si>
    <t>Y52RXA</t>
  </si>
  <si>
    <t>KIA</t>
  </si>
  <si>
    <t>TEL</t>
  </si>
  <si>
    <t>Lt. John Knapp 141</t>
  </si>
  <si>
    <t>HACSOC</t>
  </si>
  <si>
    <t>Vehicle 1: NJ-Y52RXA KIA, TEL</t>
  </si>
  <si>
    <t>C03W12</t>
  </si>
  <si>
    <t>25-022902</t>
  </si>
  <si>
    <t>Kenneth St, 100 Block</t>
  </si>
  <si>
    <t>171 Kenneth Street</t>
  </si>
  <si>
    <t>171 Kenneth Street, Hackensack, NJ, 07601</t>
  </si>
  <si>
    <t>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t>
  </si>
  <si>
    <t>JWG42F</t>
  </si>
  <si>
    <t>CHEVROLET</t>
  </si>
  <si>
    <t>Vehicle 1: NJ-JWG42F</t>
  </si>
  <si>
    <t>suspect enters the van suspect proceeds to sit in the van for a couple of minutes before starting the vehicle south on kenneth st</t>
  </si>
  <si>
    <t>$4,000.00.</t>
  </si>
  <si>
    <t>25-023424</t>
  </si>
  <si>
    <t>Pulaski Pl, 0 Block</t>
  </si>
  <si>
    <t>24 Pulaski Place</t>
  </si>
  <si>
    <t>Burglary - Auto, Criminal Mischief - Vehicle</t>
  </si>
  <si>
    <t>Criminal Mischief - Vehicle</t>
  </si>
  <si>
    <t>24 Pulaski Place, Hackensack, NJ, 07601</t>
  </si>
  <si>
    <t>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t>
  </si>
  <si>
    <t>M88KXU</t>
  </si>
  <si>
    <t>ECO</t>
  </si>
  <si>
    <t>Competiello_Fa</t>
  </si>
  <si>
    <t>Vehicle 1: NJ-M88KXU FORD, ECO</t>
  </si>
  <si>
    <t>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t>
  </si>
  <si>
    <t>$1,000.00.         A New Jersey Victim Notification Form was completed and provided to the victim</t>
  </si>
  <si>
    <t>Unknown</t>
  </si>
  <si>
    <t>25-024952</t>
  </si>
  <si>
    <t>211 Essex Street</t>
  </si>
  <si>
    <t>Burglary - Commercial, Hindering Apprehension, Resisting Arrest/Eluding</t>
  </si>
  <si>
    <t>Hindering Apprehension</t>
  </si>
  <si>
    <t>211 Essex Street, Hackensack, NJ, 07601</t>
  </si>
  <si>
    <t>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"Jorge Williams".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t>
  </si>
  <si>
    <t>P.O. Laura Lopez-Amaya 374</t>
  </si>
  <si>
    <t>$26.99. Melanie Esquiveo then responded to police headquarters to provide a statement to detectives</t>
  </si>
  <si>
    <t>C04W13</t>
  </si>
  <si>
    <t>25-025078</t>
  </si>
  <si>
    <t>2 Park Avenue</t>
  </si>
  <si>
    <t>2 Park Avenue, Hackensack, NJ, 07601</t>
  </si>
  <si>
    <t>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t>
  </si>
  <si>
    <t>Sgt. Patrick Williams 143</t>
  </si>
  <si>
    <t>suspect stated after observing the broken door, he entered his apartment and found drawers, cabinets, and his bedroom door were opened suspects suspect departed his residence suspects appeared to only have gone into a select pair of jeans which contained the rolex watch suspects entered stairwell 3, located across from the victim's apartment at approximately 0030 hours suspects were then viewed leaving the apartment approximately six (6) minutes later at 0036 hours suspects involved, please refer to detective sergeant williams case report suspects if identified</t>
  </si>
  <si>
    <t>$10,000.00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$8,000.00 dollars was stolen. The bracelet was located on the top of the TV stand $8,000.00 dollars was stolen. The necklace was located in the apartment bedroom $4,000.00 dollars.   A Nintendo Switch (Gaming Console) valued at approximately  $300.00 dollars was stolen. The gaming console was located on the living room couch</t>
  </si>
  <si>
    <t>25-025926</t>
  </si>
  <si>
    <t>100 Essex Street</t>
  </si>
  <si>
    <t>100 Essex Street, Hackensack, NJ, 07601</t>
  </si>
  <si>
    <t>G2</t>
  </si>
  <si>
    <t>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"Asaad Martinez-Pollard" may be the suspect. The victim reported being assaulted by the suspect a few weeks prior and seeing him briefly today. See Case #25-010292 for further. A NJ Victim Notification form was completed and a copy was provided to the victim. Detective DeBonis was advised.</t>
  </si>
  <si>
    <t>P.O. Anthony Mattalian 83</t>
  </si>
  <si>
    <t>suspect was inside his apartment, were visible suspect suspect a few weeks prior and seeing him briefly today</t>
  </si>
  <si>
    <t>$50.00 USD inside, attached to four (4) keys and one (1) safety deposit box key. Total loss of  $200.00 USD.     The victim stated in effect that he took a shower at approximately 0500 hours today</t>
  </si>
  <si>
    <t>25-027338</t>
  </si>
  <si>
    <t>April</t>
  </si>
  <si>
    <t>Fair St, 0 Block</t>
  </si>
  <si>
    <t>75 Fair Street</t>
  </si>
  <si>
    <t>75 Fair Street, Hackensack, NJ, 07601</t>
  </si>
  <si>
    <t>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t>
  </si>
  <si>
    <t>P.O. Alexander Reyes 355</t>
  </si>
  <si>
    <t>C04W14</t>
  </si>
  <si>
    <t>25-026113</t>
  </si>
  <si>
    <t>310 Lookout Avenue</t>
  </si>
  <si>
    <t>310 Lookout Avenue, Hackensack, NJ, 07601</t>
  </si>
  <si>
    <t>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t>
  </si>
  <si>
    <t>IMKR57</t>
  </si>
  <si>
    <t>ROGUE</t>
  </si>
  <si>
    <t>P.O. Matthew Antista 135</t>
  </si>
  <si>
    <t>A4</t>
  </si>
  <si>
    <t>290 = Destruction/Damage/Vandalism of Property</t>
  </si>
  <si>
    <t>Vehicle 1: NJ-IMKR57 NISSAN, ROGUE</t>
  </si>
  <si>
    <t>25-026103</t>
  </si>
  <si>
    <t>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t>
  </si>
  <si>
    <t>UTU50W</t>
  </si>
  <si>
    <t>RGE</t>
  </si>
  <si>
    <t>Vehicle 1: NJ-UTU50W NISSAN, RGE</t>
  </si>
  <si>
    <t>25-026357</t>
  </si>
  <si>
    <t>77 Prospect Avenue</t>
  </si>
  <si>
    <t>77 Prospect Avenue, Hackensack, NJ, 07601</t>
  </si>
  <si>
    <t>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t>
  </si>
  <si>
    <t>U57SNU</t>
  </si>
  <si>
    <t>MAZDA</t>
  </si>
  <si>
    <t>C30</t>
  </si>
  <si>
    <t>Vehicle 1: NJ-U57SNU MAZDA, C30</t>
  </si>
  <si>
    <t>25-025341</t>
  </si>
  <si>
    <t>Berry St, 200 Block</t>
  </si>
  <si>
    <t>296 Berry Street</t>
  </si>
  <si>
    <t>296 Berry Street, Hackensack, NJ, 07601</t>
  </si>
  <si>
    <t>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processed.We observed the vehicle door key lock on the dirt patch adjacent to the driveway. Victim was provided with a NJ Victim Notification form.Estimated cost of the vehicle is $50,000Insurance provider: Geico 100, policy #4587415441</t>
  </si>
  <si>
    <t>T41VHN</t>
  </si>
  <si>
    <t>ACURA</t>
  </si>
  <si>
    <t>TLX</t>
  </si>
  <si>
    <t>P.O. Wanda Rivera 161</t>
  </si>
  <si>
    <t>A1</t>
  </si>
  <si>
    <t>Vehicle 1: NJ-T41VHN ACURA, TLX</t>
  </si>
  <si>
    <t>$50,000Insurance provider: Geico 100, policy #4587415441</t>
  </si>
  <si>
    <t>25-026716</t>
  </si>
  <si>
    <t>Union St, 200 Block</t>
  </si>
  <si>
    <t>260 Union Street</t>
  </si>
  <si>
    <t>Mental Health Incident, Sexual Assault, Juvenile Investigation</t>
  </si>
  <si>
    <t>Mental Health Incident</t>
  </si>
  <si>
    <t>260 Union Street, Hackensack, NJ, 07601</t>
  </si>
  <si>
    <t>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"You dumb bitch's I ain't telling yall that yall but I going my gang to shoot this place up." Janice Reid further reported that that A.M.C. kept threatening to get a gang to shoot up the Holly Center.       While on scene, A.M.C. made statements that she wanted "to go down for attempted murder"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t>
  </si>
  <si>
    <t>P.O. Christian Alvarez 364</t>
  </si>
  <si>
    <t>Month of Incident</t>
  </si>
  <si>
    <t>Day of Week</t>
  </si>
  <si>
    <t>Time of Day Incident Occurred</t>
  </si>
  <si>
    <t>Victim's Vehicle Description</t>
  </si>
  <si>
    <t>Vehicle Was Parked</t>
  </si>
  <si>
    <t>Entry Method</t>
  </si>
  <si>
    <t>Damage to Vehicle</t>
  </si>
  <si>
    <t>Suspect Description</t>
  </si>
  <si>
    <t>Suspect Vehicle Description</t>
  </si>
  <si>
    <t>Items Stolen</t>
  </si>
  <si>
    <t>Value of Stolen Property</t>
  </si>
  <si>
    <t>Keys with Vehicle</t>
  </si>
  <si>
    <t>Offense Completed</t>
  </si>
  <si>
    <t>Block Incident Occurred On</t>
  </si>
  <si>
    <t>Structure Type</t>
  </si>
  <si>
    <t>Point of Entry</t>
  </si>
  <si>
    <t>Signs of Forced Entry</t>
  </si>
  <si>
    <t>Yes</t>
  </si>
  <si>
    <t>Friday</t>
  </si>
  <si>
    <t>NJ-T41VHN ACURA, TLX</t>
  </si>
  <si>
    <t>Driveway</t>
  </si>
  <si>
    <t>No</t>
  </si>
  <si>
    <t>Location Type</t>
  </si>
  <si>
    <t>Type Weapon</t>
  </si>
  <si>
    <t>Type of Victim</t>
  </si>
  <si>
    <t>Type Injury</t>
  </si>
  <si>
    <t>Propert Stolen</t>
  </si>
  <si>
    <t>Property Value</t>
  </si>
  <si>
    <t>Offender Suspected of Using</t>
  </si>
  <si>
    <t>Relationship of Victim to Offender</t>
  </si>
  <si>
    <t>25-024100</t>
  </si>
  <si>
    <t xml:space="preserve"> H/F ≈ 50 years of age and heavy build</t>
  </si>
  <si>
    <t>White Sedan</t>
  </si>
  <si>
    <t>Personal Weapons</t>
  </si>
  <si>
    <t>Individual</t>
  </si>
  <si>
    <t>Minor Injury</t>
  </si>
  <si>
    <t>None</t>
  </si>
  <si>
    <t>Stranger</t>
  </si>
  <si>
    <t>Robbery, Theft, Medical Call</t>
  </si>
  <si>
    <t>Medical Call</t>
  </si>
  <si>
    <t>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t>
  </si>
  <si>
    <t>C73VBN</t>
  </si>
  <si>
    <t>IMP</t>
  </si>
  <si>
    <t>Vehicle 1: NJ-C73VBN SUBARU, IMP</t>
  </si>
  <si>
    <t>suspect: hispanic female approximately 50 years of age and heavy build suspect who put a gold chain around his neck and began to converse with him suspect then began to rip the victim's rolex watch off of his left wrist suspect but was unsuccessful suspect stole the watch and got into the passenger seat of a white sedan, which drove off</t>
  </si>
  <si>
    <t>$15,000.00. Hackensack University Medical Center BLS responded to the scene and evaluated the patient</t>
  </si>
  <si>
    <t>25-025304</t>
  </si>
  <si>
    <t>Parkway, 0 Block</t>
  </si>
  <si>
    <t>15 Parkway</t>
  </si>
  <si>
    <t>Suspicious Incident, Attempted Burglary</t>
  </si>
  <si>
    <t>Attempted Burglary</t>
  </si>
  <si>
    <t>15 Parkway, Hackensack, NJ, 07601</t>
  </si>
  <si>
    <t>Suspect is a tall, slim male dressed in all black. Complainant was unable to identify any further.     P.O. Anguizaca and I responded to the listed location on a report of a suspicious incident. Upon arrival, we met with the complainant who stated she was sleeping inside her residence when she heard a cracking sound outside her window. The complainant stated she looked outside her window and saw a male dressed in all black banging on the driver side door of the listed vehicle. She yelled out her window "what are you doing" to which the suspect responded "construction work" and took off running. The complainant stated he ran and got into the passenger seat of a white vehicle. The vehicle went east on Kaplan Avenue up until Polifly Road to which the complainant lost visual. The complainant was unable to provide any further information on the suspect vehicle.    The vehicles driver door handle was broken, but the vehicle was not entered due to the suspect fleeing upon observing the complainant. The approximate cost to repair the damage is $200.00.   The complainant was unable to get the vehicle owner on the phone so we were unable to get permission to process the vehicle.    A New Jersey Victim Witness Notification Form was completed and the complainant was given a copy.     Vehicle insurance: 4487-16-41-49        Insurance Code: 148</t>
  </si>
  <si>
    <t>Z85SBR</t>
  </si>
  <si>
    <t>Vehicle 1: NJ-Z85SBR ACURA, TLX</t>
  </si>
  <si>
    <t>suspect is a tall, slim male dressed in all black suspect responded "construction work" and took off running suspect vehicle suspect fleeing upon observing the complainant</t>
  </si>
  <si>
    <t>$200.00.   The complainant was unable to get the vehicle owner on the phone so we were unable to get permission to process the vehicle</t>
  </si>
  <si>
    <t>25-026077</t>
  </si>
  <si>
    <t>Second Street &amp; American Legion Drive</t>
  </si>
  <si>
    <t>Burglary - Auto, Theft, Criminal Mischief</t>
  </si>
  <si>
    <t>Criminal Mischief</t>
  </si>
  <si>
    <t>Second Street &amp; American Legion Drive, Hackensack, NJ, 07601</t>
  </si>
  <si>
    <t>I responded to the area of Second Street , between Central Avenue and American Legion Drive on report of a burglary. On arrival, I spoke with the victim who reported that on today's date around 1840 hours she left her vehicle parked facing South on the West side of Second Street. Upon the victim returning to her vehicle around 2200 hours she found her vehicle with the front passenger window shattered and interior rummaged through. I observed the front passenger window shattered and a large rock underneath the steering wheel by the pedals. Damage to the front wind shield, rear view mirror, and electrical panel was caused by this large rock that was thrown into the vehicle. The monetary value of the damage caused by the large rock is currently unknown.      Sgt. Donnerstag responded and Bergen County BCI was advised of the incident. The vehicle was not processed for evidence. The victim reported missing approximately $5.00 US in mixed coins and a Go Pro camera worth approximately $600.00 US. A victim notification form was completed and the victim received a copy.       Detectives were notified. Insurance: Progressive Policy: 992696988Code: 135</t>
  </si>
  <si>
    <t>J72JJJ</t>
  </si>
  <si>
    <t>TOYOTA</t>
  </si>
  <si>
    <t>SIENNA</t>
  </si>
  <si>
    <t>P.O. Jeffrey Rodriguez 342</t>
  </si>
  <si>
    <t>Vehicle 1: NJ-J72JJJ TOYOTA, SIENNA</t>
  </si>
  <si>
    <t>$5.00 US in mixed coins and a Go Pro camera worth approximately  $600.00 US. A victim notification form was completed and the victim received a copy</t>
  </si>
  <si>
    <t>25-028451</t>
  </si>
  <si>
    <t>Atlantic St, 100 Block</t>
  </si>
  <si>
    <t>120 Atlantic Street</t>
  </si>
  <si>
    <t>Burglary - Auto, Suspicious Person, Property - Found</t>
  </si>
  <si>
    <t>Property - Found</t>
  </si>
  <si>
    <t>120 Atlantic Street, Hackensack, NJ, 07601</t>
  </si>
  <si>
    <t>Suspect description: Slim build, black male, approximately 5'11 in height, wearing all black / dark clothing.     On 4/8/25 at approximately 00:52 hours,  I responded to the area of 120 Atlantic Street on a reported suspicious person. It was reported an unknown male suspect attempted to open a vehicle door and fled the area on foot. P.O. Papanikolaou and Sgt. Butler responded to assist.   Upon arrival I met with the complainant / witness, Sherif Abraham. The complainant reported on 4/8/25 at approximately 00:47 hours, he observed the suspect inside vehicle 1 (NJ T21VBK). Vehicle 1 was parked curbside on the north side of Atlantic Street, in front of 118 Atlantic Street. The complainant further reported the suspect fled the area on foot traveling north, last seen jumping the fence of 118 Atlantic Street. The complainant reported while the suspect fled, he dropped a black duffle bag, which was located on the west side of 118 Atlantic Street.  Upon inspecting vehicle 1, the interior did not appear disturbed. Upon further investigation, the front passenger side door to vehicle 1 was left insecure. The front passenger door to vehicle 1 was unable to be secured. Vehicle 1 also had a dash camera fixed to the front windshield. At this time it was unknown if the dash camera was recording / operable.  Upon responding to the west side of 118 Atlantic Street, I observed a medium size black in color "Jordan" duffle bag containing clothing / property. Upon further checking the area, a tied / knotted mint colored small size towel was also observed. All found property was secured in radio car 104.   A DMV check of vehicle 1 was conducted, which resulted the registered owner, Luis Moreno Colmenares, resided at 107 Atlantic Street. P.O. Papanikolaou later responded to 107 Atlantic Street in attempt to locate / speak with the owner, which resulted negative.  A Hackensack Notification Card was completed and secured on vehicle 1. Additionally a Hackensack Notification Card was completed and secured in the mail box of 107 Atlantic Street.   P.O. Estrada and P.O. Mena checked the area in an attempt to locate the suspect, which resulted negative.   At this time, I was unable to confirm vehicle 1 was burglarized or what proceeds may have been stolen from the vehicle. All evidence / found property was transported to headquarters. At headquarters all property was inventoried.   The medium size black in color "Jordan" duffle bag containing a white in color Adidas hat, a pair of white and blue colored socks, black colored shorts, white colored shirt, clear glass bottle of cologne / perfume and a pair of white and orange colored puma sneakers.  The tied / knotted mint colored small size towel contained a black plastic organizing tray inside. Inside the tray contained the following: - A black  plastic ash tray cup- Juicy J's rolling paper(s)- "OCB" slim premium rolling paper(s) with tip(s)- Three multi color plastic lighters - White in color USB car charger - A backwoods magnet - Two "UFOND" headband lights - White colored paper matches - A silver and black in color "driven" ammunition style key chain- $4.53 in assorted change- A small clear glass bottle with a silver in color metal screw cap. Attached to the screw cap was a small silver in color spoon / scooper. Within the bottle contained an unknown white powdered substance (suspected cocaine).    The mint in color towel containing multiple items was later placed in a brown paper bag. The currency was later placed in currency security bag # 0588856. The small clear glass bottle containing the suspected cocaine was later placed in evidence bag # 7824140. All evidence / found property was later secured in evidence locker 6. See evidence report for further.   The immediate area was checked for any other vehicles possibly burglarized with negative results.</t>
  </si>
  <si>
    <t>T21VBK</t>
  </si>
  <si>
    <t>530</t>
  </si>
  <si>
    <t>Butler_J</t>
  </si>
  <si>
    <t>Vehicle 1: NJ-T21VBK BMW, 530</t>
  </si>
  <si>
    <t>suspect description: slim build, black male, approximately 5'11 in height, wearing all black / dark clothing suspect attempted to open a vehicle door and fled the area on foot suspect inside vehicle 1 (nj t21vbk) suspect fled the area on foot traveling north, last seen jumping the fence of 118 atlantic street suspect fled, he dropped a black duffle bag, which was located on the west side of 118 atlantic street suspect, which resulted negative suspected cocaine) suspected cocaine was later placed in evidence bag # 7824140</t>
  </si>
  <si>
    <t>$4.53 in assorted change- A small clear glass bottle with a silver in color metal screw cap. Attached to the screw cap was a small silver in color spoon / scooper</t>
  </si>
  <si>
    <t>C04W15</t>
  </si>
  <si>
    <t>NJ-U57SNU MAZDA, C30</t>
  </si>
  <si>
    <t>Pritate Lot</t>
  </si>
  <si>
    <t>Not stated in Report</t>
  </si>
  <si>
    <t>Residential - Home</t>
  </si>
  <si>
    <t>None reported</t>
  </si>
  <si>
    <t>Electronics</t>
  </si>
  <si>
    <t>A neighbor reported the incident while the homeowner was hospitalized for an extended stay at New Bridge Medical Center.</t>
  </si>
  <si>
    <t>28-Day</t>
  </si>
  <si>
    <t>Suggested Fields:</t>
  </si>
  <si>
    <t>• Type of Assault (rape, sodomy, fondling, object penetration)</t>
  </si>
  <si>
    <t>• Victim Incapacitated? (yes/no)</t>
  </si>
  <si>
    <t>• Force or Threat Used? (yes/no)</t>
  </si>
  <si>
    <t>• Location Type</t>
  </si>
  <si>
    <t>• Known vs. Stranger Offender</t>
  </si>
  <si>
    <t>• Number of Offenders</t>
  </si>
  <si>
    <t xml:space="preserve">Type of Assault </t>
  </si>
  <si>
    <t>Victim Incapacitated</t>
  </si>
  <si>
    <t>Force or Threat Used</t>
  </si>
  <si>
    <t xml:space="preserve"> Location Type</t>
  </si>
  <si>
    <t>Known vs. Stranger Offender</t>
  </si>
  <si>
    <t>Number of Offenders</t>
  </si>
  <si>
    <t>Statutory</t>
  </si>
  <si>
    <t>Residential Mental Health Rehabilitation</t>
  </si>
  <si>
    <t>Victim declined to elaborate further</t>
  </si>
  <si>
    <t>Report_Due_Date</t>
  </si>
  <si>
    <t>7_Day_Start</t>
  </si>
  <si>
    <t>7_Day_End</t>
  </si>
  <si>
    <t>28_Day_Start</t>
  </si>
  <si>
    <t>28_Day_End</t>
  </si>
  <si>
    <t>Report_Name</t>
  </si>
  <si>
    <t>Is_Due</t>
  </si>
  <si>
    <t>C04W16</t>
  </si>
  <si>
    <t>C05W17</t>
  </si>
  <si>
    <t>C05W18</t>
  </si>
  <si>
    <t>C05W19</t>
  </si>
  <si>
    <t>C05W20</t>
  </si>
  <si>
    <t>C06W21</t>
  </si>
  <si>
    <t>C06W22</t>
  </si>
  <si>
    <t>C06W23</t>
  </si>
  <si>
    <t>C06W24</t>
  </si>
  <si>
    <t>C07W25</t>
  </si>
  <si>
    <t>C07W26</t>
  </si>
  <si>
    <t>C07W27</t>
  </si>
  <si>
    <t>C07W28</t>
  </si>
  <si>
    <t>C08W29</t>
  </si>
  <si>
    <t>C08W30</t>
  </si>
  <si>
    <t>C08W31</t>
  </si>
  <si>
    <t>C08W32</t>
  </si>
  <si>
    <t>C09W33</t>
  </si>
  <si>
    <t>C09W34</t>
  </si>
  <si>
    <t>C09W35</t>
  </si>
  <si>
    <t>C09W36</t>
  </si>
  <si>
    <t>C10W37</t>
  </si>
  <si>
    <t>C10W38</t>
  </si>
  <si>
    <t>C10W39</t>
  </si>
  <si>
    <t>C10W40</t>
  </si>
  <si>
    <t>C11W41</t>
  </si>
  <si>
    <t>C11W42</t>
  </si>
  <si>
    <t>C11W43</t>
  </si>
  <si>
    <t>C11W44</t>
  </si>
  <si>
    <t>C12W45</t>
  </si>
  <si>
    <t>C12W46</t>
  </si>
  <si>
    <t>C12W47</t>
  </si>
  <si>
    <t>C12W48</t>
  </si>
  <si>
    <t>C13W49</t>
  </si>
  <si>
    <t>C13W50</t>
  </si>
  <si>
    <t>C13W51</t>
  </si>
  <si>
    <t>C13W52</t>
  </si>
  <si>
    <t>25-029155</t>
  </si>
  <si>
    <t>Summit Ave, 200 Block</t>
  </si>
  <si>
    <t>283 Summit Avenue</t>
  </si>
  <si>
    <t>283 Summit Avenue, Hackensack, NJ, 07601</t>
  </si>
  <si>
    <t>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t>
  </si>
  <si>
    <t>Z73VFP</t>
  </si>
  <si>
    <t>SUB</t>
  </si>
  <si>
    <t>Vehicle 1: NJ-Z73VFP CHEVROLET, SUB</t>
  </si>
  <si>
    <t>suspect is observed on a black scooter riding down into the victim's driveway at 2310 hours and ride back out at 2311 hours</t>
  </si>
  <si>
    <t>$395.00 dollars. Sgt</t>
  </si>
  <si>
    <t>Robbery YTD</t>
  </si>
  <si>
    <t>Property Stolen</t>
  </si>
  <si>
    <t>Type of Offense</t>
  </si>
  <si>
    <t>Vehicle Involved</t>
  </si>
  <si>
    <t>Victim-Offender Relationship</t>
  </si>
  <si>
    <t>Method of Coercion</t>
  </si>
  <si>
    <t>Multiple Offenders vs. Single Offender</t>
  </si>
  <si>
    <t>Repeat Offender or Known Suspect</t>
  </si>
  <si>
    <t>Use of Technology</t>
  </si>
  <si>
    <t>Victim Demographics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</si>
</sst>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quot;* #,##0.00_);_(&quot;$&quot;* \(#,##0.00\);_(&quot;$&quot;* &quot;-&quot;??_);_(@_)"/>
    <numFmt numFmtId="164" formatCode="h:mm;@"/>
    <numFmt numFmtId="165" formatCode="mm/dd/yy;@"/>
    <numFmt numFmtId="166" formatCode="ddd"/>
    <numFmt numFmtId="167" formatCode="mm/dd/yy"/>
    <numFmt numFmtId="168" formatCode="hh:mm"/>
    <numFmt numFmtId="169" formatCode="00"/>
    <numFmt numFmtId="170" formatCode="000"/>
    <numFmt numFmtId="171" formatCode="mm/dd/yy\ hh:mm"/>
    <numFmt numFmtId="172" formatCode="[$-F400]h:mm:ss\ AM/PM"/>
  </numFmts>
  <fonts count="24" x14ac:knownFonts="1">
    <font>
      <sz val="11"/>
      <color theme="1"/>
      <name val="Calibri"/>
      <family val="2"/>
      <scheme val="minor"/>
    </font>
    <font>
      <sz val="12"/>
      <color theme="1"/>
      <name val="Aptos Narrow"/>
      <family val="2"/>
    </font>
    <font>
      <sz val="12"/>
      <color theme="1"/>
      <name val="Aptos Narrow"/>
      <family val="2"/>
    </font>
    <font>
      <sz val="12"/>
      <color theme="1"/>
      <name val="Aptos"/>
      <family val="2"/>
    </font>
    <font>
      <sz val="12"/>
      <color theme="1"/>
      <name val="Aptos Narrow"/>
      <family val="2"/>
    </font>
    <font>
      <sz val="14"/>
      <color theme="1"/>
      <name val="Aptos Narrow"/>
      <family val="2"/>
    </font>
    <font>
      <sz val="12"/>
      <color theme="1"/>
      <name val="Aptos Narrow"/>
      <family val="2"/>
    </font>
    <font>
      <sz val="11"/>
      <color theme="1"/>
      <name val="Aptos"/>
      <family val="2"/>
    </font>
    <font>
      <sz val="14"/>
      <color theme="1"/>
      <name val="Aptos"/>
      <family val="2"/>
    </font>
    <font>
      <sz val="12"/>
      <color theme="1"/>
      <name val="Aptos"/>
      <family val="2"/>
    </font>
    <font>
      <b/>
      <sz val="18"/>
      <color theme="1"/>
      <name val="Aptos"/>
      <family val="2"/>
    </font>
    <font>
      <b/>
      <sz val="14"/>
      <color theme="1"/>
      <name val="Aptos Narrow"/>
      <family val="2"/>
    </font>
    <font>
      <sz val="8"/>
      <name val="Calibri"/>
      <family val="2"/>
      <scheme val="minor"/>
    </font>
    <font>
      <sz val="8"/>
      <color theme="1"/>
      <name val="Calibri"/>
      <family val="2"/>
      <scheme val="minor"/>
    </font>
    <font>
      <sz val="8"/>
      <color theme="1"/>
      <name val="Aptos"/>
      <family val="2"/>
    </font>
    <font>
      <sz val="9"/>
      <color theme="1"/>
      <name val="Aptos"/>
      <family val="2"/>
    </font>
    <font>
      <sz val="9"/>
      <color theme="1"/>
      <name val="Calibri"/>
      <family val="2"/>
      <scheme val="minor"/>
    </font>
    <font>
      <sz val="11"/>
      <color theme="1"/>
      <name val="Calibri"/>
      <family val="2"/>
      <scheme val="minor"/>
    </font>
    <font>
      <sz val="12"/>
      <color rgb="FF000000"/>
      <name val="Aptos Narrow"/>
      <family val="2"/>
    </font>
    <font>
      <sz val="8"/>
      <color theme="0" tint="-0.14999847407452621"/>
      <name val="Aptos"/>
      <family val="2"/>
    </font>
    <font>
      <sz val="5"/>
      <color theme="0" tint="-0.14999847407452621"/>
      <name val="Aptos"/>
      <family val="2"/>
    </font>
    <font>
      <b/>
      <sz val="14"/>
      <color theme="1"/>
      <name val="Aptos"/>
      <family val="2"/>
    </font>
    <font>
      <sz val="12"/>
      <color theme="1"/>
      <name val="Calibri"/>
      <family val="2"/>
      <scheme val="minor"/>
    </font>
    <font>
      <b/>
      <sz val="16"/>
      <color theme="1"/>
      <name val="Aptos Narrow"/>
      <family val="2"/>
    </font>
  </fonts>
  <fills count="5">
    <fill>
      <patternFill patternType="none"/>
    </fill>
    <fill>
      <patternFill patternType="gray125"/>
    </fill>
    <fill>
      <patternFill patternType="solid">
        <fgColor theme="6" tint="0.79998168889431442"/>
        <bgColor theme="6" tint="0.79998168889431442"/>
      </patternFill>
    </fill>
    <fill>
      <patternFill patternType="solid">
        <fgColor theme="0" tint="-0.14999847407452621"/>
        <bgColor theme="0" tint="-0.14999847407452621"/>
      </patternFill>
    </fill>
    <fill>
      <patternFill patternType="solid">
        <fgColor theme="0" tint="-0.14996795556505021"/>
        <bgColor theme="6" tint="0.79992065187536243"/>
      </patternFill>
    </fill>
  </fills>
  <borders count="37">
    <border>
      <left/>
      <right/>
      <top/>
      <bottom/>
      <diagonal/>
    </border>
    <border>
      <left/>
      <right/>
      <top/>
      <bottom style="medium">
        <color rgb="FF513E80"/>
      </bottom>
      <diagonal/>
    </border>
    <border>
      <left style="medium">
        <color rgb="FF513E80"/>
      </left>
      <right style="thin">
        <color rgb="FF513E80"/>
      </right>
      <top style="thin">
        <color rgb="FF513E80"/>
      </top>
      <bottom style="thin">
        <color rgb="FF513E80"/>
      </bottom>
      <diagonal/>
    </border>
    <border>
      <left style="thin">
        <color rgb="FF513E80"/>
      </left>
      <right style="thin">
        <color rgb="FF513E80"/>
      </right>
      <top style="thin">
        <color rgb="FF513E80"/>
      </top>
      <bottom style="thin">
        <color rgb="FF513E80"/>
      </bottom>
      <diagonal/>
    </border>
    <border>
      <left style="medium">
        <color indexed="64"/>
      </left>
      <right style="medium">
        <color indexed="64"/>
      </right>
      <top style="medium">
        <color indexed="64"/>
      </top>
      <bottom style="thin">
        <color rgb="FF513E80"/>
      </bottom>
      <diagonal/>
    </border>
    <border>
      <left style="medium">
        <color indexed="64"/>
      </left>
      <right style="medium">
        <color indexed="64"/>
      </right>
      <top style="thin">
        <color rgb="FF513E80"/>
      </top>
      <bottom style="thin">
        <color rgb="FF513E80"/>
      </bottom>
      <diagonal/>
    </border>
    <border>
      <left style="medium">
        <color indexed="64"/>
      </left>
      <right style="medium">
        <color indexed="64"/>
      </right>
      <top style="thin">
        <color rgb="FF513E80"/>
      </top>
      <bottom style="medium">
        <color indexed="64"/>
      </bottom>
      <diagonal/>
    </border>
    <border>
      <left style="medium">
        <color indexed="64"/>
      </left>
      <right style="medium">
        <color indexed="64"/>
      </right>
      <top style="medium">
        <color indexed="64"/>
      </top>
      <bottom style="thin">
        <color theme="1"/>
      </bottom>
      <diagonal/>
    </border>
    <border>
      <left style="medium">
        <color indexed="64"/>
      </left>
      <right style="medium">
        <color indexed="64"/>
      </right>
      <top style="thin">
        <color theme="1"/>
      </top>
      <bottom style="thin">
        <color theme="1"/>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theme="1"/>
      </bottom>
      <diagonal/>
    </border>
    <border>
      <left/>
      <right style="medium">
        <color indexed="64"/>
      </right>
      <top style="thin">
        <color theme="1"/>
      </top>
      <bottom style="thin">
        <color theme="1"/>
      </bottom>
      <diagonal/>
    </border>
    <border>
      <left style="medium">
        <color indexed="64"/>
      </left>
      <right style="medium">
        <color indexed="64"/>
      </right>
      <top style="thin">
        <color theme="1"/>
      </top>
      <bottom style="medium">
        <color indexed="64"/>
      </bottom>
      <diagonal/>
    </border>
    <border>
      <left/>
      <right style="medium">
        <color indexed="64"/>
      </right>
      <top style="thin">
        <color theme="1"/>
      </top>
      <bottom style="medium">
        <color indexed="64"/>
      </bottom>
      <diagonal/>
    </border>
    <border>
      <left style="medium">
        <color indexed="64"/>
      </left>
      <right style="medium">
        <color indexed="64"/>
      </right>
      <top style="thin">
        <color theme="1"/>
      </top>
      <bottom style="thin">
        <color indexed="64"/>
      </bottom>
      <diagonal/>
    </border>
    <border>
      <left/>
      <right style="medium">
        <color indexed="64"/>
      </right>
      <top style="thin">
        <color theme="1"/>
      </top>
      <bottom style="thin">
        <color indexed="64"/>
      </bottom>
      <diagonal/>
    </border>
    <border>
      <left/>
      <right/>
      <top/>
      <bottom style="medium">
        <color theme="6"/>
      </bottom>
      <diagonal/>
    </border>
    <border>
      <left style="thin">
        <color theme="6"/>
      </left>
      <right style="thin">
        <color theme="6"/>
      </right>
      <top style="thin">
        <color theme="6"/>
      </top>
      <bottom style="thin">
        <color theme="6"/>
      </bottom>
      <diagonal/>
    </border>
    <border>
      <left style="medium">
        <color indexed="64"/>
      </left>
      <right style="thin">
        <color theme="6"/>
      </right>
      <top style="medium">
        <color indexed="64"/>
      </top>
      <bottom style="thin">
        <color theme="6"/>
      </bottom>
      <diagonal/>
    </border>
    <border>
      <left style="thin">
        <color theme="6"/>
      </left>
      <right style="thin">
        <color theme="6"/>
      </right>
      <top style="medium">
        <color indexed="64"/>
      </top>
      <bottom style="thin">
        <color theme="6"/>
      </bottom>
      <diagonal/>
    </border>
    <border>
      <left style="medium">
        <color indexed="64"/>
      </left>
      <right style="thin">
        <color theme="6"/>
      </right>
      <top style="thin">
        <color theme="6"/>
      </top>
      <bottom style="thin">
        <color theme="6"/>
      </bottom>
      <diagonal/>
    </border>
    <border>
      <left/>
      <right/>
      <top style="thin">
        <color theme="1"/>
      </top>
      <bottom style="thin">
        <color theme="1"/>
      </bottom>
      <diagonal/>
    </border>
    <border>
      <left/>
      <right/>
      <top/>
      <bottom style="thin">
        <color theme="1"/>
      </bottom>
      <diagonal/>
    </border>
    <border>
      <left/>
      <right/>
      <top style="thin">
        <color theme="1"/>
      </top>
      <bottom/>
      <diagonal/>
    </border>
  </borders>
  <cellStyleXfs count="2">
    <xf numFmtId="0" fontId="0" fillId="0" borderId="0"/>
    <xf numFmtId="44" fontId="17" fillId="0" borderId="0" applyFont="0" applyFill="0" applyBorder="0" applyAlignment="0" applyProtection="0"/>
  </cellStyleXfs>
  <cellXfs count="198">
    <xf numFmtId="0" fontId="0" fillId="0" borderId="0" xfId="0"/>
    <xf numFmtId="14" fontId="0" fillId="0" borderId="0" xfId="0" applyNumberFormat="1"/>
    <xf numFmtId="22" fontId="0" fillId="0" borderId="0" xfId="0" applyNumberFormat="1"/>
    <xf numFmtId="0" fontId="4" fillId="0" borderId="0" xfId="0" applyFont="1"/>
    <xf numFmtId="0" fontId="5" fillId="0" borderId="0" xfId="0" applyFont="1"/>
    <xf numFmtId="164" fontId="0" fillId="0" borderId="0" xfId="0" applyNumberFormat="1"/>
    <xf numFmtId="0" fontId="0" fillId="0" borderId="0" xfId="0" pivotButton="1"/>
    <xf numFmtId="0" fontId="7" fillId="0" borderId="0" xfId="0" applyFont="1"/>
    <xf numFmtId="0" fontId="8" fillId="0" borderId="0" xfId="0" applyFont="1" applyAlignment="1">
      <alignment horizontal="center"/>
    </xf>
    <xf numFmtId="0" fontId="9" fillId="0" borderId="0" xfId="0" applyFont="1"/>
    <xf numFmtId="166" fontId="8" fillId="0" borderId="0" xfId="0" applyNumberFormat="1" applyFont="1" applyAlignment="1">
      <alignment horizontal="center"/>
    </xf>
    <xf numFmtId="0" fontId="8" fillId="0" borderId="0" xfId="0" applyFont="1"/>
    <xf numFmtId="0" fontId="10" fillId="0" borderId="0" xfId="0" applyFont="1"/>
    <xf numFmtId="0" fontId="9" fillId="0" borderId="0" xfId="0" applyFont="1" applyAlignment="1">
      <alignment wrapText="1"/>
    </xf>
    <xf numFmtId="0" fontId="8" fillId="0" borderId="0" xfId="0" applyFont="1" applyAlignment="1">
      <alignment horizontal="center" wrapText="1"/>
    </xf>
    <xf numFmtId="0" fontId="4" fillId="0" borderId="0" xfId="0" applyFont="1" applyAlignment="1">
      <alignment horizontal="center"/>
    </xf>
    <xf numFmtId="164" fontId="4" fillId="0" borderId="0" xfId="0" applyNumberFormat="1" applyFont="1"/>
    <xf numFmtId="164" fontId="4" fillId="0" borderId="0" xfId="0"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165" fontId="5" fillId="0" borderId="0" xfId="0" applyNumberFormat="1" applyFont="1" applyAlignment="1">
      <alignment horizontal="center"/>
    </xf>
    <xf numFmtId="165" fontId="4" fillId="0" borderId="0" xfId="0" applyNumberFormat="1" applyFont="1" applyAlignment="1">
      <alignment horizontal="center"/>
    </xf>
    <xf numFmtId="168" fontId="5" fillId="0" borderId="0" xfId="0" applyNumberFormat="1" applyFont="1" applyAlignment="1">
      <alignment horizontal="center"/>
    </xf>
    <xf numFmtId="168" fontId="4" fillId="0" borderId="0" xfId="0" applyNumberFormat="1" applyFont="1"/>
    <xf numFmtId="168" fontId="4" fillId="0" borderId="0" xfId="0" applyNumberFormat="1" applyFont="1" applyAlignment="1">
      <alignment horizontal="center"/>
    </xf>
    <xf numFmtId="169" fontId="5" fillId="0" borderId="0" xfId="0" applyNumberFormat="1" applyFont="1" applyAlignment="1">
      <alignment horizontal="center"/>
    </xf>
    <xf numFmtId="169" fontId="4" fillId="0" borderId="0" xfId="0" applyNumberFormat="1" applyFont="1" applyAlignment="1">
      <alignment horizontal="center"/>
    </xf>
    <xf numFmtId="170" fontId="5" fillId="0" borderId="0" xfId="0" applyNumberFormat="1" applyFont="1" applyAlignment="1">
      <alignment horizontal="center"/>
    </xf>
    <xf numFmtId="170" fontId="4" fillId="0" borderId="0" xfId="0" applyNumberFormat="1" applyFont="1" applyAlignment="1">
      <alignment horizontal="center"/>
    </xf>
    <xf numFmtId="171" fontId="5" fillId="0" borderId="0" xfId="0" applyNumberFormat="1" applyFont="1" applyAlignment="1">
      <alignment horizontal="center"/>
    </xf>
    <xf numFmtId="171" fontId="4" fillId="0" borderId="0" xfId="0" applyNumberFormat="1" applyFont="1" applyAlignment="1">
      <alignment horizontal="center"/>
    </xf>
    <xf numFmtId="167" fontId="5" fillId="0" borderId="0" xfId="0" applyNumberFormat="1" applyFont="1" applyAlignment="1">
      <alignment horizontal="center"/>
    </xf>
    <xf numFmtId="167" fontId="4" fillId="0" borderId="0" xfId="0" applyNumberFormat="1" applyFont="1" applyAlignment="1">
      <alignment horizontal="center"/>
    </xf>
    <xf numFmtId="0" fontId="11" fillId="0" borderId="1" xfId="0" applyFont="1" applyBorder="1" applyAlignment="1">
      <alignment horizontal="center"/>
    </xf>
    <xf numFmtId="167" fontId="11" fillId="0" borderId="1" xfId="0" applyNumberFormat="1" applyFont="1" applyBorder="1" applyAlignment="1">
      <alignment horizontal="center"/>
    </xf>
    <xf numFmtId="164" fontId="11" fillId="0" borderId="1" xfId="0" applyNumberFormat="1" applyFont="1" applyBorder="1" applyAlignment="1">
      <alignment horizontal="center"/>
    </xf>
    <xf numFmtId="0" fontId="4" fillId="0" borderId="2" xfId="0" applyFont="1" applyBorder="1" applyAlignment="1">
      <alignment horizontal="center"/>
    </xf>
    <xf numFmtId="167" fontId="4" fillId="0" borderId="3" xfId="0" applyNumberFormat="1" applyFont="1" applyBorder="1" applyAlignment="1">
      <alignment horizontal="center"/>
    </xf>
    <xf numFmtId="0" fontId="4" fillId="0" borderId="3" xfId="0" applyFont="1" applyBorder="1"/>
    <xf numFmtId="164" fontId="4" fillId="0" borderId="3" xfId="0" applyNumberFormat="1" applyFont="1" applyBorder="1" applyAlignment="1">
      <alignment horizontal="center"/>
    </xf>
    <xf numFmtId="0" fontId="0" fillId="0" borderId="0" xfId="0" applyAlignment="1">
      <alignment horizontal="center"/>
    </xf>
    <xf numFmtId="172" fontId="0" fillId="0" borderId="0" xfId="0" applyNumberFormat="1"/>
    <xf numFmtId="0" fontId="0" fillId="0" borderId="0" xfId="0" applyAlignment="1">
      <alignment wrapText="1"/>
    </xf>
    <xf numFmtId="0" fontId="0" fillId="0" borderId="0" xfId="0" applyAlignment="1">
      <alignment horizontal="left"/>
    </xf>
    <xf numFmtId="0" fontId="3" fillId="0" borderId="0" xfId="0" applyFont="1"/>
    <xf numFmtId="14" fontId="0" fillId="0" borderId="0" xfId="0" applyNumberFormat="1" applyAlignment="1">
      <alignment horizontal="left"/>
    </xf>
    <xf numFmtId="0" fontId="3" fillId="0" borderId="0" xfId="0" applyFont="1" applyAlignment="1">
      <alignment horizontal="right"/>
    </xf>
    <xf numFmtId="0" fontId="13" fillId="0" borderId="0" xfId="0" applyFont="1"/>
    <xf numFmtId="0" fontId="4" fillId="0" borderId="0" xfId="0" applyFont="1" applyAlignment="1">
      <alignment wrapText="1"/>
    </xf>
    <xf numFmtId="0" fontId="5" fillId="0" borderId="0" xfId="0" applyFont="1" applyAlignment="1">
      <alignment horizontal="center" wrapText="1"/>
    </xf>
    <xf numFmtId="0" fontId="14" fillId="0" borderId="0" xfId="0" applyFont="1"/>
    <xf numFmtId="0" fontId="15" fillId="0" borderId="0" xfId="0" pivotButton="1" applyFont="1"/>
    <xf numFmtId="0" fontId="15" fillId="0" borderId="0" xfId="0" applyFont="1"/>
    <xf numFmtId="0" fontId="16" fillId="0" borderId="0" xfId="0" applyFont="1"/>
    <xf numFmtId="0" fontId="15" fillId="0" borderId="0" xfId="0" applyFont="1" applyAlignment="1">
      <alignment wrapText="1"/>
    </xf>
    <xf numFmtId="0" fontId="16" fillId="0" borderId="0" xfId="0" applyFont="1" applyAlignment="1">
      <alignment wrapText="1"/>
    </xf>
    <xf numFmtId="0" fontId="1" fillId="0" borderId="0" xfId="0" applyFont="1" applyAlignment="1">
      <alignment horizontal="center"/>
    </xf>
    <xf numFmtId="167" fontId="1" fillId="0" borderId="0" xfId="0" applyNumberFormat="1" applyFont="1" applyAlignment="1">
      <alignment horizontal="center"/>
    </xf>
    <xf numFmtId="0" fontId="1" fillId="0" borderId="0" xfId="0" applyFont="1"/>
    <xf numFmtId="168" fontId="1" fillId="0" borderId="0" xfId="0" applyNumberFormat="1" applyFont="1" applyAlignment="1">
      <alignment horizontal="center"/>
    </xf>
    <xf numFmtId="172" fontId="1" fillId="0" borderId="0" xfId="0" applyNumberFormat="1" applyFont="1" applyAlignment="1">
      <alignment horizontal="center"/>
    </xf>
    <xf numFmtId="169" fontId="1" fillId="0" borderId="0" xfId="0" applyNumberFormat="1" applyFont="1" applyAlignment="1">
      <alignment horizontal="center"/>
    </xf>
    <xf numFmtId="170" fontId="1" fillId="0" borderId="0" xfId="0" applyNumberFormat="1" applyFont="1" applyAlignment="1">
      <alignment horizontal="center"/>
    </xf>
    <xf numFmtId="171" fontId="1" fillId="0" borderId="0" xfId="0" applyNumberFormat="1" applyFont="1" applyAlignment="1">
      <alignment horizontal="center"/>
    </xf>
    <xf numFmtId="165" fontId="1" fillId="0" borderId="0" xfId="0" applyNumberFormat="1" applyFont="1" applyAlignment="1">
      <alignment horizontal="center"/>
    </xf>
    <xf numFmtId="164" fontId="1" fillId="0" borderId="0" xfId="0" applyNumberFormat="1" applyFont="1" applyAlignment="1">
      <alignment horizontal="center"/>
    </xf>
    <xf numFmtId="14" fontId="1" fillId="0" borderId="0" xfId="0" applyNumberFormat="1" applyFont="1"/>
    <xf numFmtId="22" fontId="1" fillId="0" borderId="0" xfId="0" applyNumberFormat="1" applyFont="1"/>
    <xf numFmtId="0" fontId="1" fillId="0" borderId="0" xfId="0" applyFont="1" applyAlignment="1">
      <alignment wrapText="1"/>
    </xf>
    <xf numFmtId="0" fontId="11" fillId="0" borderId="0" xfId="0" applyFont="1" applyAlignment="1">
      <alignment horizontal="center"/>
    </xf>
    <xf numFmtId="0" fontId="11" fillId="0" borderId="5" xfId="0" applyFont="1" applyBorder="1" applyAlignment="1">
      <alignment horizontal="right"/>
    </xf>
    <xf numFmtId="0" fontId="11" fillId="0" borderId="6" xfId="0" applyFont="1" applyBorder="1" applyAlignment="1">
      <alignment horizontal="right"/>
    </xf>
    <xf numFmtId="0" fontId="11" fillId="2" borderId="7" xfId="0" applyFont="1" applyFill="1" applyBorder="1" applyAlignment="1">
      <alignment horizontal="right"/>
    </xf>
    <xf numFmtId="0" fontId="18" fillId="0" borderId="0" xfId="0" applyFont="1"/>
    <xf numFmtId="0" fontId="11" fillId="0" borderId="8" xfId="0" applyFont="1" applyBorder="1" applyAlignment="1">
      <alignment horizontal="right"/>
    </xf>
    <xf numFmtId="0" fontId="11" fillId="2" borderId="8" xfId="0" applyFont="1" applyFill="1" applyBorder="1" applyAlignment="1">
      <alignment horizontal="right"/>
    </xf>
    <xf numFmtId="0" fontId="11" fillId="2" borderId="8" xfId="0" applyFont="1" applyFill="1" applyBorder="1" applyAlignment="1">
      <alignment horizontal="right" vertical="center"/>
    </xf>
    <xf numFmtId="0" fontId="11" fillId="2" borderId="9" xfId="0" applyFont="1" applyFill="1" applyBorder="1" applyAlignment="1">
      <alignment horizontal="right"/>
    </xf>
    <xf numFmtId="0" fontId="1" fillId="2" borderId="10" xfId="0" applyFont="1" applyFill="1" applyBorder="1" applyAlignment="1">
      <alignment horizontal="left"/>
    </xf>
    <xf numFmtId="0" fontId="11" fillId="0" borderId="11" xfId="0" applyFont="1" applyBorder="1" applyAlignment="1">
      <alignment horizontal="right"/>
    </xf>
    <xf numFmtId="0" fontId="1" fillId="0" borderId="12" xfId="0" applyFont="1" applyBorder="1" applyAlignment="1">
      <alignment horizontal="left"/>
    </xf>
    <xf numFmtId="0" fontId="11" fillId="2" borderId="11" xfId="0" applyFont="1" applyFill="1" applyBorder="1" applyAlignment="1">
      <alignment horizontal="right"/>
    </xf>
    <xf numFmtId="167" fontId="1" fillId="2" borderId="12" xfId="0" applyNumberFormat="1" applyFont="1" applyFill="1" applyBorder="1" applyAlignment="1">
      <alignment horizontal="left"/>
    </xf>
    <xf numFmtId="0" fontId="1" fillId="2" borderId="12" xfId="0" applyFont="1" applyFill="1" applyBorder="1" applyAlignment="1">
      <alignment horizontal="left"/>
    </xf>
    <xf numFmtId="0" fontId="11" fillId="2" borderId="11" xfId="0" applyFont="1" applyFill="1" applyBorder="1" applyAlignment="1">
      <alignment horizontal="right" vertical="center"/>
    </xf>
    <xf numFmtId="0" fontId="1" fillId="2" borderId="12" xfId="0" applyFont="1" applyFill="1" applyBorder="1" applyAlignment="1">
      <alignment horizontal="left" vertical="center"/>
    </xf>
    <xf numFmtId="44" fontId="1" fillId="0" borderId="12" xfId="1" applyFont="1" applyBorder="1" applyAlignment="1">
      <alignment horizontal="left"/>
    </xf>
    <xf numFmtId="0" fontId="11" fillId="0" borderId="13" xfId="0" applyFont="1" applyBorder="1" applyAlignment="1">
      <alignment horizontal="right"/>
    </xf>
    <xf numFmtId="0" fontId="1" fillId="0" borderId="14" xfId="0" applyFont="1" applyBorder="1" applyAlignment="1">
      <alignment horizontal="left"/>
    </xf>
    <xf numFmtId="0" fontId="0" fillId="0" borderId="16" xfId="0" applyBorder="1"/>
    <xf numFmtId="0" fontId="15" fillId="0" borderId="0" xfId="0" pivotButton="1" applyFont="1" applyAlignment="1">
      <alignment wrapText="1"/>
    </xf>
    <xf numFmtId="0" fontId="8" fillId="0" borderId="0" xfId="0" pivotButton="1" applyFont="1" applyAlignment="1">
      <alignment horizontal="center"/>
    </xf>
    <xf numFmtId="0" fontId="11" fillId="2" borderId="4" xfId="0" applyFont="1" applyFill="1" applyBorder="1" applyAlignment="1">
      <alignment horizontal="right"/>
    </xf>
    <xf numFmtId="0" fontId="1" fillId="2" borderId="4" xfId="0" applyFont="1" applyFill="1" applyBorder="1" applyAlignment="1">
      <alignment horizontal="center"/>
    </xf>
    <xf numFmtId="167" fontId="1" fillId="0" borderId="5" xfId="0" applyNumberFormat="1" applyFont="1" applyBorder="1" applyAlignment="1">
      <alignment horizontal="center"/>
    </xf>
    <xf numFmtId="0" fontId="11" fillId="2" borderId="5" xfId="0" applyFont="1" applyFill="1" applyBorder="1" applyAlignment="1">
      <alignment horizontal="right"/>
    </xf>
    <xf numFmtId="167" fontId="1" fillId="2" borderId="5" xfId="0" applyNumberFormat="1" applyFont="1" applyFill="1" applyBorder="1" applyAlignment="1">
      <alignment horizontal="center"/>
    </xf>
    <xf numFmtId="0" fontId="1" fillId="0" borderId="5" xfId="0" applyFont="1" applyBorder="1" applyAlignment="1">
      <alignment horizontal="center"/>
    </xf>
    <xf numFmtId="0" fontId="1" fillId="2" borderId="5" xfId="0" applyFont="1" applyFill="1" applyBorder="1" applyAlignment="1">
      <alignment horizontal="center"/>
    </xf>
    <xf numFmtId="0" fontId="11" fillId="2" borderId="5" xfId="0" applyFont="1" applyFill="1" applyBorder="1" applyAlignment="1">
      <alignment horizontal="right" vertical="center"/>
    </xf>
    <xf numFmtId="0" fontId="1" fillId="2" borderId="5" xfId="0" applyFont="1" applyFill="1" applyBorder="1" applyAlignment="1">
      <alignment horizontal="center" vertical="center"/>
    </xf>
    <xf numFmtId="0" fontId="11" fillId="2" borderId="25" xfId="0" applyFont="1" applyFill="1" applyBorder="1" applyAlignment="1">
      <alignment horizontal="right"/>
    </xf>
    <xf numFmtId="0" fontId="1" fillId="2" borderId="23" xfId="0" applyFont="1" applyFill="1" applyBorder="1" applyAlignment="1">
      <alignment horizontal="center"/>
    </xf>
    <xf numFmtId="0" fontId="1" fillId="0" borderId="24" xfId="0" applyFont="1" applyBorder="1" applyAlignment="1">
      <alignment horizontal="center"/>
    </xf>
    <xf numFmtId="167" fontId="1" fillId="2" borderId="24" xfId="0" applyNumberFormat="1" applyFont="1" applyFill="1" applyBorder="1" applyAlignment="1">
      <alignment horizontal="center"/>
    </xf>
    <xf numFmtId="0" fontId="1" fillId="2" borderId="24" xfId="0" applyFont="1" applyFill="1" applyBorder="1" applyAlignment="1">
      <alignment horizontal="center"/>
    </xf>
    <xf numFmtId="0" fontId="1" fillId="2" borderId="24" xfId="0" applyFont="1" applyFill="1" applyBorder="1" applyAlignment="1">
      <alignment horizontal="center" vertical="center"/>
    </xf>
    <xf numFmtId="44" fontId="1" fillId="0" borderId="24" xfId="1" applyFont="1" applyBorder="1" applyAlignment="1">
      <alignment horizontal="center"/>
    </xf>
    <xf numFmtId="0" fontId="1" fillId="2" borderId="26" xfId="0" applyFont="1" applyFill="1" applyBorder="1" applyAlignment="1">
      <alignment horizontal="center"/>
    </xf>
    <xf numFmtId="0" fontId="11" fillId="2" borderId="27" xfId="0" applyFont="1" applyFill="1" applyBorder="1" applyAlignment="1">
      <alignment horizontal="right"/>
    </xf>
    <xf numFmtId="0" fontId="1" fillId="2" borderId="28" xfId="0" applyFont="1" applyFill="1" applyBorder="1" applyAlignment="1">
      <alignment horizontal="center"/>
    </xf>
    <xf numFmtId="0" fontId="11" fillId="2" borderId="13" xfId="0" applyFont="1" applyFill="1" applyBorder="1" applyAlignment="1">
      <alignment horizontal="right"/>
    </xf>
    <xf numFmtId="0" fontId="1" fillId="2" borderId="14" xfId="0" applyFont="1" applyFill="1" applyBorder="1" applyAlignment="1">
      <alignment horizontal="center"/>
    </xf>
    <xf numFmtId="0" fontId="7" fillId="0" borderId="0" xfId="0" pivotButton="1" applyFont="1"/>
    <xf numFmtId="0" fontId="7" fillId="0" borderId="0" xfId="0" applyFont="1" applyAlignment="1">
      <alignment wrapText="1"/>
    </xf>
    <xf numFmtId="0" fontId="20" fillId="0" borderId="0" xfId="0" pivotButton="1" applyFont="1"/>
    <xf numFmtId="44" fontId="1" fillId="0" borderId="5" xfId="1" applyFont="1" applyBorder="1" applyAlignment="1">
      <alignment horizontal="center"/>
    </xf>
    <xf numFmtId="0" fontId="3" fillId="0" borderId="15" xfId="0" applyFont="1" applyBorder="1" applyAlignment="1">
      <alignment horizontal="right"/>
    </xf>
    <xf numFmtId="0" fontId="3" fillId="0" borderId="16" xfId="0" applyFont="1" applyBorder="1"/>
    <xf numFmtId="0" fontId="3" fillId="0" borderId="17" xfId="0" applyFont="1" applyBorder="1"/>
    <xf numFmtId="0" fontId="3" fillId="0" borderId="18" xfId="0" applyFont="1" applyBorder="1" applyAlignment="1">
      <alignment horizontal="right"/>
    </xf>
    <xf numFmtId="0" fontId="3" fillId="0" borderId="19" xfId="0" applyFont="1" applyBorder="1"/>
    <xf numFmtId="0" fontId="3" fillId="0" borderId="20" xfId="0" applyFont="1" applyBorder="1" applyAlignment="1">
      <alignment horizontal="right"/>
    </xf>
    <xf numFmtId="0" fontId="3" fillId="0" borderId="21" xfId="0" applyFont="1" applyBorder="1"/>
    <xf numFmtId="0" fontId="9" fillId="0" borderId="21" xfId="0" applyFont="1" applyBorder="1"/>
    <xf numFmtId="0" fontId="3" fillId="0" borderId="22" xfId="0" applyFont="1" applyBorder="1"/>
    <xf numFmtId="0" fontId="1" fillId="0" borderId="0" xfId="0" pivotButton="1" applyFont="1" applyAlignment="1">
      <alignment wrapText="1"/>
    </xf>
    <xf numFmtId="0" fontId="6" fillId="0" borderId="0" xfId="0" applyFont="1" applyAlignment="1">
      <alignment wrapText="1"/>
    </xf>
    <xf numFmtId="167" fontId="8" fillId="0" borderId="0" xfId="0" applyNumberFormat="1" applyFont="1" applyAlignment="1">
      <alignment horizontal="center"/>
    </xf>
    <xf numFmtId="167" fontId="3" fillId="0" borderId="0" xfId="0" applyNumberFormat="1" applyFont="1" applyAlignment="1">
      <alignment horizontal="center"/>
    </xf>
    <xf numFmtId="0" fontId="3" fillId="0" borderId="0" xfId="0" applyFont="1" applyAlignment="1">
      <alignment horizontal="center"/>
    </xf>
    <xf numFmtId="0" fontId="0" fillId="4" borderId="30" xfId="0" applyFill="1" applyBorder="1"/>
    <xf numFmtId="0" fontId="0" fillId="0" borderId="30" xfId="0" applyBorder="1"/>
    <xf numFmtId="0" fontId="0" fillId="0" borderId="35" xfId="0" applyBorder="1"/>
    <xf numFmtId="0" fontId="7" fillId="0" borderId="0" xfId="0" applyFont="1" applyAlignment="1">
      <alignment horizontal="center"/>
    </xf>
    <xf numFmtId="0" fontId="19" fillId="0" borderId="0" xfId="0" applyFont="1"/>
    <xf numFmtId="0" fontId="21" fillId="0" borderId="34" xfId="0" applyFont="1" applyBorder="1" applyAlignment="1">
      <alignment horizontal="center"/>
    </xf>
    <xf numFmtId="166" fontId="21" fillId="0" borderId="34" xfId="0" applyNumberFormat="1" applyFont="1" applyBorder="1" applyAlignment="1">
      <alignment horizontal="center"/>
    </xf>
    <xf numFmtId="0" fontId="3" fillId="3" borderId="0" xfId="0" applyFont="1" applyFill="1" applyAlignment="1">
      <alignment horizontal="right"/>
    </xf>
    <xf numFmtId="0" fontId="3" fillId="3" borderId="0" xfId="0" applyFont="1" applyFill="1"/>
    <xf numFmtId="0" fontId="0" fillId="3" borderId="0" xfId="0" applyFill="1"/>
    <xf numFmtId="0" fontId="3" fillId="0" borderId="35" xfId="0" applyFont="1" applyBorder="1" applyAlignment="1">
      <alignment horizontal="right"/>
    </xf>
    <xf numFmtId="0" fontId="3" fillId="0" borderId="35" xfId="0" applyFont="1" applyBorder="1"/>
    <xf numFmtId="164" fontId="0" fillId="0" borderId="0" xfId="0" applyNumberFormat="1" applyAlignment="1">
      <alignment horizontal="center"/>
    </xf>
    <xf numFmtId="0" fontId="0" fillId="0" borderId="0" xfId="0" applyAlignment="1">
      <alignment horizontal="center" wrapText="1"/>
    </xf>
    <xf numFmtId="0" fontId="2" fillId="0" borderId="0" xfId="0" applyFont="1"/>
    <xf numFmtId="0" fontId="2" fillId="0" borderId="0" xfId="0" applyFont="1" applyAlignment="1">
      <alignment horizontal="center"/>
    </xf>
    <xf numFmtId="167" fontId="2" fillId="0" borderId="0" xfId="0" applyNumberFormat="1" applyFont="1" applyAlignment="1">
      <alignment horizontal="center"/>
    </xf>
    <xf numFmtId="167" fontId="0" fillId="0" borderId="0" xfId="0" applyNumberFormat="1" applyAlignment="1">
      <alignment horizontal="center" wrapText="1"/>
    </xf>
    <xf numFmtId="167" fontId="13" fillId="0" borderId="0" xfId="0" applyNumberFormat="1" applyFont="1" applyAlignment="1">
      <alignment horizontal="center"/>
    </xf>
    <xf numFmtId="167" fontId="0" fillId="0" borderId="0" xfId="0" applyNumberFormat="1" applyAlignment="1">
      <alignment horizontal="center"/>
    </xf>
    <xf numFmtId="0" fontId="13" fillId="0" borderId="0" xfId="0" applyFont="1" applyAlignment="1">
      <alignment wrapText="1"/>
    </xf>
    <xf numFmtId="0" fontId="22" fillId="0" borderId="0" xfId="0" applyFont="1"/>
    <xf numFmtId="167" fontId="22" fillId="0" borderId="0" xfId="0" applyNumberFormat="1" applyFont="1" applyAlignment="1">
      <alignment horizontal="center"/>
    </xf>
    <xf numFmtId="0" fontId="22" fillId="0" borderId="0" xfId="0" applyFont="1" applyAlignment="1">
      <alignment horizontal="center"/>
    </xf>
    <xf numFmtId="44" fontId="1" fillId="0" borderId="6" xfId="1" applyFont="1" applyBorder="1" applyAlignment="1">
      <alignment horizontal="center"/>
    </xf>
    <xf numFmtId="0" fontId="3" fillId="3" borderId="36" xfId="0" applyFont="1" applyFill="1" applyBorder="1" applyAlignment="1">
      <alignment horizontal="right"/>
    </xf>
    <xf numFmtId="0" fontId="3" fillId="3" borderId="36" xfId="0" applyFont="1" applyFill="1" applyBorder="1"/>
    <xf numFmtId="14" fontId="3" fillId="0" borderId="0" xfId="0" applyNumberFormat="1" applyFont="1" applyAlignment="1">
      <alignment horizontal="center"/>
    </xf>
    <xf numFmtId="172" fontId="3" fillId="0" borderId="0" xfId="0" applyNumberFormat="1" applyFont="1" applyAlignment="1">
      <alignment horizontal="center"/>
    </xf>
    <xf numFmtId="22" fontId="3" fillId="0" borderId="0" xfId="0" applyNumberFormat="1" applyFont="1" applyAlignment="1">
      <alignment horizontal="center"/>
    </xf>
    <xf numFmtId="0" fontId="13" fillId="0" borderId="0" xfId="0" pivotButton="1" applyFont="1" applyAlignment="1">
      <alignment wrapText="1"/>
    </xf>
    <xf numFmtId="0" fontId="0" fillId="0" borderId="0" xfId="0" pivotButton="1" applyAlignment="1">
      <alignment horizontal="center"/>
    </xf>
    <xf numFmtId="0" fontId="21" fillId="0" borderId="29" xfId="0" applyFont="1" applyBorder="1" applyAlignment="1">
      <alignment horizontal="center"/>
    </xf>
    <xf numFmtId="166" fontId="21" fillId="0" borderId="29" xfId="0" applyNumberFormat="1" applyFont="1" applyBorder="1" applyAlignment="1">
      <alignment horizontal="center"/>
    </xf>
    <xf numFmtId="0" fontId="3" fillId="4" borderId="31" xfId="0" applyFont="1" applyFill="1" applyBorder="1" applyAlignment="1">
      <alignment horizontal="right"/>
    </xf>
    <xf numFmtId="0" fontId="3" fillId="4" borderId="32" xfId="0" applyFont="1" applyFill="1" applyBorder="1"/>
    <xf numFmtId="0" fontId="0" fillId="4" borderId="32" xfId="0" applyFill="1" applyBorder="1"/>
    <xf numFmtId="0" fontId="3" fillId="0" borderId="33" xfId="0" applyFont="1" applyBorder="1" applyAlignment="1">
      <alignment horizontal="right"/>
    </xf>
    <xf numFmtId="0" fontId="3" fillId="0" borderId="30" xfId="0" applyFont="1" applyBorder="1"/>
    <xf numFmtId="0" fontId="3" fillId="4" borderId="33" xfId="0" applyFont="1" applyFill="1" applyBorder="1" applyAlignment="1">
      <alignment horizontal="right"/>
    </xf>
    <xf numFmtId="0" fontId="3" fillId="4" borderId="30" xfId="0" applyFont="1" applyFill="1" applyBorder="1"/>
    <xf numFmtId="14" fontId="1" fillId="0" borderId="0" xfId="0" applyNumberFormat="1" applyFont="1" applyAlignment="1">
      <alignment horizontal="left" wrapText="1"/>
    </xf>
    <xf numFmtId="0" fontId="21" fillId="0" borderId="29" xfId="0" applyFont="1" applyBorder="1" applyAlignment="1">
      <alignment horizontal="center" wrapText="1"/>
    </xf>
    <xf numFmtId="166" fontId="21" fillId="0" borderId="29" xfId="0" applyNumberFormat="1" applyFont="1" applyBorder="1" applyAlignment="1">
      <alignment horizontal="center" wrapText="1"/>
    </xf>
    <xf numFmtId="0" fontId="3" fillId="4" borderId="31" xfId="0" applyFont="1" applyFill="1" applyBorder="1" applyAlignment="1">
      <alignment horizontal="right" wrapText="1"/>
    </xf>
    <xf numFmtId="0" fontId="3" fillId="4" borderId="32" xfId="0" applyFont="1" applyFill="1" applyBorder="1" applyAlignment="1">
      <alignment wrapText="1"/>
    </xf>
    <xf numFmtId="0" fontId="0" fillId="4" borderId="32" xfId="0" applyFill="1" applyBorder="1" applyAlignment="1">
      <alignment wrapText="1"/>
    </xf>
    <xf numFmtId="0" fontId="3" fillId="0" borderId="33" xfId="0" applyFont="1" applyBorder="1" applyAlignment="1">
      <alignment horizontal="right" wrapText="1"/>
    </xf>
    <xf numFmtId="0" fontId="3" fillId="0" borderId="30" xfId="0" applyFont="1" applyBorder="1" applyAlignment="1">
      <alignment wrapText="1"/>
    </xf>
    <xf numFmtId="0" fontId="0" fillId="0" borderId="30" xfId="0" applyBorder="1" applyAlignment="1">
      <alignment wrapText="1"/>
    </xf>
    <xf numFmtId="0" fontId="6" fillId="0" borderId="0" xfId="0" applyFont="1" applyAlignment="1">
      <alignment horizontal="right" wrapText="1"/>
    </xf>
    <xf numFmtId="0" fontId="11" fillId="2" borderId="9" xfId="0" applyFont="1" applyFill="1" applyBorder="1" applyAlignment="1">
      <alignment horizontal="right" wrapText="1"/>
    </xf>
    <xf numFmtId="0" fontId="1" fillId="2" borderId="10" xfId="0" applyFont="1" applyFill="1" applyBorder="1" applyAlignment="1">
      <alignment horizontal="center" wrapText="1"/>
    </xf>
    <xf numFmtId="0" fontId="11" fillId="0" borderId="11" xfId="0" applyFont="1" applyBorder="1" applyAlignment="1">
      <alignment horizontal="right" wrapText="1"/>
    </xf>
    <xf numFmtId="0" fontId="1" fillId="0" borderId="12" xfId="0" applyFont="1" applyBorder="1" applyAlignment="1">
      <alignment horizontal="center" wrapText="1"/>
    </xf>
    <xf numFmtId="0" fontId="11" fillId="2" borderId="11" xfId="0" applyFont="1" applyFill="1" applyBorder="1" applyAlignment="1">
      <alignment horizontal="right" wrapText="1"/>
    </xf>
    <xf numFmtId="167" fontId="1" fillId="2" borderId="12" xfId="0" applyNumberFormat="1" applyFont="1" applyFill="1" applyBorder="1" applyAlignment="1">
      <alignment horizontal="center" wrapText="1"/>
    </xf>
    <xf numFmtId="0" fontId="1" fillId="2" borderId="12" xfId="0" applyFont="1" applyFill="1" applyBorder="1" applyAlignment="1">
      <alignment horizontal="center" wrapText="1"/>
    </xf>
    <xf numFmtId="0" fontId="11" fillId="2" borderId="11" xfId="0" applyFont="1" applyFill="1" applyBorder="1" applyAlignment="1">
      <alignment horizontal="right" vertical="center" wrapText="1"/>
    </xf>
    <xf numFmtId="0" fontId="1" fillId="2" borderId="12" xfId="0" applyFont="1" applyFill="1" applyBorder="1" applyAlignment="1">
      <alignment horizontal="center" vertical="center" wrapText="1"/>
    </xf>
    <xf numFmtId="0" fontId="11" fillId="0" borderId="13" xfId="0" applyFont="1" applyBorder="1" applyAlignment="1">
      <alignment horizontal="right" wrapText="1"/>
    </xf>
    <xf numFmtId="0" fontId="1" fillId="0" borderId="14" xfId="0" applyFont="1" applyBorder="1" applyAlignment="1">
      <alignment horizontal="center" wrapText="1"/>
    </xf>
    <xf numFmtId="0" fontId="10" fillId="0" borderId="35" xfId="0" applyFont="1" applyBorder="1" applyAlignment="1">
      <alignment horizontal="center"/>
    </xf>
    <xf numFmtId="0" fontId="10" fillId="0" borderId="0" xfId="0" applyFont="1" applyAlignment="1">
      <alignment horizontal="center"/>
    </xf>
    <xf numFmtId="0" fontId="23" fillId="0" borderId="0" xfId="0" applyFont="1" applyAlignment="1">
      <alignment horizontal="center"/>
    </xf>
    <xf numFmtId="0" fontId="10" fillId="0" borderId="0" xfId="0" applyFont="1" applyAlignment="1">
      <alignment horizontal="center" wrapText="1"/>
    </xf>
    <xf numFmtId="0" fontId="1" fillId="0" borderId="0" xfId="0" applyFont="1" applyAlignment="1">
      <alignment horizontal="center" wrapText="1"/>
    </xf>
  </cellXfs>
  <cellStyles count="2">
    <cellStyle name="Currency" xfId="1" builtinId="4"/>
    <cellStyle name="Normal" xfId="0" builtinId="0"/>
  </cellStyles>
  <dxfs count="788">
    <dxf>
      <fill>
        <patternFill>
          <bgColor rgb="FFFFFF66"/>
        </patternFill>
      </fill>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4"/>
        <color theme="1"/>
        <name val="Aptos"/>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mm/dd/yy\ 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0" formatCode="0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alignment wrapText="1"/>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font>
        <sz val="12"/>
      </font>
    </dxf>
    <dxf>
      <font>
        <sz val="12"/>
      </font>
    </dxf>
    <dxf>
      <font>
        <sz val="12"/>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b/>
        <sz val="14"/>
        <name val="Aptos"/>
      </font>
      <alignment horizontal="center"/>
    </dxf>
    <dxf>
      <font>
        <b/>
        <sz val="14"/>
        <name val="Aptos"/>
      </font>
      <alignment horizontal="center"/>
    </dxf>
    <dxf>
      <font>
        <b/>
        <sz val="14"/>
        <name val="Aptos"/>
      </font>
      <alignment horizontal="center"/>
    </dxf>
    <dxf>
      <font>
        <b/>
        <sz val="14"/>
        <name val="Aptos"/>
      </font>
      <alignment horizontal="center"/>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font>
        <sz val="12"/>
      </font>
    </dxf>
    <dxf>
      <font>
        <sz val="12"/>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color theme="1"/>
        <name val="Aptos"/>
        <family val="2"/>
        <scheme val="none"/>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27" formatCode="m/d/yyyy\ h:mm"/>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27" formatCode="m/d/yyyy\ h:mm"/>
    </dxf>
    <dxf>
      <font>
        <strike val="0"/>
        <outline val="0"/>
        <shadow val="0"/>
        <u val="none"/>
        <vertAlign val="baseline"/>
        <sz val="12"/>
        <color theme="1"/>
        <name val="Aptos Narrow"/>
        <family val="2"/>
        <scheme val="none"/>
      </font>
      <numFmt numFmtId="19" formatCode="m/d/yyyy"/>
    </dxf>
    <dxf>
      <font>
        <strike val="0"/>
        <outline val="0"/>
        <shadow val="0"/>
        <u val="none"/>
        <vertAlign val="baseline"/>
        <sz val="12"/>
        <color theme="1"/>
        <name val="Aptos Narrow"/>
        <family val="2"/>
        <scheme val="none"/>
      </font>
      <numFmt numFmtId="27" formatCode="m/d/yyyy\ h:mm"/>
    </dxf>
    <dxf>
      <font>
        <strike val="0"/>
        <outline val="0"/>
        <shadow val="0"/>
        <u val="none"/>
        <vertAlign val="baseline"/>
        <sz val="12"/>
        <color theme="1"/>
        <name val="Aptos Narrow"/>
        <family val="2"/>
        <scheme val="none"/>
      </font>
      <numFmt numFmtId="19" formatCode="m/d/yyyy"/>
    </dxf>
    <dxf>
      <font>
        <strike val="0"/>
        <outline val="0"/>
        <shadow val="0"/>
        <u val="none"/>
        <vertAlign val="baseline"/>
        <sz val="12"/>
        <color theme="1"/>
        <name val="Aptos Narrow"/>
        <family val="2"/>
        <scheme val="none"/>
      </font>
      <numFmt numFmtId="27" formatCode="m/d/yyyy\ h:mm"/>
    </dxf>
    <dxf>
      <font>
        <strike val="0"/>
        <outline val="0"/>
        <shadow val="0"/>
        <u val="none"/>
        <vertAlign val="baseline"/>
        <sz val="12"/>
        <color theme="1"/>
        <name val="Aptos Narrow"/>
        <family val="2"/>
        <scheme val="none"/>
      </font>
      <numFmt numFmtId="19" formatCode="m/d/yyyy"/>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right"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4"/>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right"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alignment horizontal="center"/>
    </dxf>
    <dxf>
      <alignment horizontal="center"/>
    </dxf>
    <dxf>
      <alignment wrapText="1"/>
    </dxf>
    <dxf>
      <alignment wrapText="1"/>
    </dxf>
    <dxf>
      <font>
        <sz val="8"/>
      </font>
    </dxf>
    <dxf>
      <font>
        <sz val="8"/>
      </font>
    </dxf>
    <dxf>
      <alignment horizontal="center"/>
    </dxf>
    <dxf>
      <alignment horizontal="center"/>
    </dxf>
    <dxf>
      <alignment wrapText="1"/>
    </dxf>
    <dxf>
      <alignment wrapText="1"/>
    </dxf>
    <dxf>
      <font>
        <sz val="8"/>
      </font>
    </dxf>
    <dxf>
      <font>
        <sz val="8"/>
      </font>
    </dxf>
    <dxf>
      <font>
        <strike val="0"/>
        <outline val="0"/>
        <shadow val="0"/>
        <u val="none"/>
        <vertAlign val="baseline"/>
        <sz val="11"/>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ptos"/>
        <family val="2"/>
        <scheme val="none"/>
      </font>
      <numFmt numFmtId="0" formatCode="General"/>
      <alignment horizontal="center" vertical="bottom" textRotation="0" wrapText="0" indent="0" justifyLastLine="0" shrinkToFit="0" readingOrder="0"/>
    </dxf>
    <dxf>
      <numFmt numFmtId="0" formatCode="General"/>
    </dxf>
    <dxf>
      <font>
        <strike val="0"/>
        <outline val="0"/>
        <shadow val="0"/>
        <u val="none"/>
        <vertAlign val="baseline"/>
        <sz val="11"/>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ptos"/>
        <family val="2"/>
        <scheme val="none"/>
      </font>
      <numFmt numFmtId="0" formatCode="General"/>
      <alignment horizontal="center" vertical="bottom" textRotation="0" wrapText="0" indent="0" justifyLastLine="0" shrinkToFit="0" readingOrder="0"/>
    </dxf>
    <dxf>
      <numFmt numFmtId="0" formatCode="General"/>
    </dxf>
    <dxf>
      <numFmt numFmtId="19" formatCode="m/d/yyyy"/>
    </dxf>
    <dxf>
      <font>
        <strike val="0"/>
        <outline val="0"/>
        <shadow val="0"/>
        <u val="none"/>
        <vertAlign val="baseline"/>
        <sz val="11"/>
        <color theme="1"/>
        <name val="Aptos"/>
        <family val="2"/>
        <scheme val="none"/>
      </font>
      <alignment horizontal="center" vertical="bottom" textRotation="0" wrapText="0" indent="0" justifyLastLine="0" shrinkToFit="0" readingOrder="0"/>
    </dxf>
    <dxf>
      <font>
        <strike val="0"/>
        <outline val="0"/>
        <shadow val="0"/>
        <u val="none"/>
        <vertAlign val="baseline"/>
        <sz val="11"/>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27" formatCode="m/d/yyyy\ h:mm"/>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9" formatCode="m/d/yy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border diagonalUp="0" diagonalDown="0">
        <left/>
        <right style="medium">
          <color indexed="64"/>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4"/>
        <color theme="1"/>
        <name val="Aptos"/>
        <family val="2"/>
        <scheme val="none"/>
      </font>
      <numFmt numFmtId="166" formatCode="ddd"/>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border diagonalUp="0" diagonalDown="0">
        <left/>
        <right style="medium">
          <color indexed="64"/>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4"/>
        <color theme="1"/>
        <name val="Aptos"/>
        <family val="2"/>
        <scheme val="none"/>
      </font>
      <numFmt numFmtId="166" formatCode="ddd"/>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i val="0"/>
        <strike val="0"/>
        <condense val="0"/>
        <extend val="0"/>
        <outline val="0"/>
        <shadow val="0"/>
        <u val="none"/>
        <vertAlign val="baseline"/>
        <sz val="14"/>
        <color theme="1"/>
        <name val="Aptos Narrow"/>
        <family val="2"/>
        <scheme val="none"/>
      </font>
      <alignment horizontal="center" vertical="bottom" textRotation="0" wrapText="0" indent="0" justifyLastLine="0" shrinkToFit="0" readingOrder="0"/>
    </dxf>
    <dxf>
      <alignment wrapText="1"/>
    </dxf>
    <dxf>
      <font>
        <sz val="9"/>
      </font>
    </dxf>
    <dxf>
      <font>
        <sz val="9"/>
      </font>
    </dxf>
    <dxf>
      <font>
        <sz val="9"/>
      </font>
    </dxf>
    <dxf>
      <font>
        <sz val="9"/>
      </font>
    </dxf>
    <dxf>
      <font>
        <sz val="9"/>
      </font>
    </dxf>
    <dxf>
      <font>
        <sz val="9"/>
      </font>
    </dxf>
    <dxf>
      <font>
        <sz val="9"/>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alignment wrapText="1"/>
    </dxf>
    <dxf>
      <font>
        <sz val="9"/>
      </font>
    </dxf>
    <dxf>
      <font>
        <sz val="9"/>
      </font>
    </dxf>
    <dxf>
      <font>
        <sz val="9"/>
      </font>
    </dxf>
    <dxf>
      <font>
        <sz val="9"/>
      </font>
    </dxf>
    <dxf>
      <font>
        <sz val="9"/>
      </font>
    </dxf>
    <dxf>
      <font>
        <sz val="9"/>
      </font>
    </dxf>
    <dxf>
      <font>
        <sz val="9"/>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mm/dd/yy\ 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0" formatCode="0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mm/dd/yy\ 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0" formatCode="0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numFmt numFmtId="0" formatCode="General"/>
    </dxf>
    <dxf>
      <numFmt numFmtId="0" formatCode="General"/>
    </dxf>
    <dxf>
      <numFmt numFmtId="0" formatCode="General"/>
    </dxf>
    <dxf>
      <numFmt numFmtId="0" formatCode="General"/>
    </dxf>
    <dxf>
      <numFmt numFmtId="0" formatCode="General"/>
    </dxf>
    <dxf>
      <numFmt numFmtId="172" formatCode="[$-F400]h:mm:ss\ AM/PM"/>
    </dxf>
    <dxf>
      <numFmt numFmtId="172" formatCode="[$-F400]h:mm:ss\ AM/PM"/>
    </dxf>
    <dxf>
      <numFmt numFmtId="19" formatCode="m/d/yyyy"/>
    </dxf>
    <dxf>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font>
        <sz val="14"/>
      </font>
    </dxf>
    <dxf>
      <font>
        <sz val="14"/>
      </font>
    </dxf>
    <dxf>
      <font>
        <sz val="5"/>
      </font>
    </dxf>
    <dxf>
      <font>
        <sz val="5"/>
      </font>
    </dxf>
    <dxf>
      <font>
        <color theme="0" tint="-0.14999847407452621"/>
      </font>
    </dxf>
    <dxf>
      <font>
        <color theme="0" tint="-0.14999847407452621"/>
      </font>
    </dxf>
    <dxf>
      <alignment horizontal="center"/>
    </dxf>
    <dxf>
      <alignment horizontal="center"/>
    </dxf>
    <dxf>
      <alignment horizontal="center"/>
    </dxf>
    <dxf>
      <font>
        <color theme="1"/>
      </font>
    </dxf>
    <dxf>
      <font>
        <color theme="1"/>
      </font>
    </dxf>
    <dxf>
      <font>
        <sz val="11"/>
      </font>
    </dxf>
    <dxf>
      <font>
        <sz val="11"/>
      </font>
    </dxf>
    <dxf>
      <font>
        <sz val="11"/>
      </font>
    </dxf>
    <dxf>
      <font>
        <sz val="11"/>
      </font>
    </dxf>
    <dxf>
      <font>
        <sz val="11"/>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4"/>
      </font>
    </dxf>
    <dxf>
      <font>
        <sz val="14"/>
      </font>
    </dxf>
    <dxf>
      <font>
        <sz val="5"/>
      </font>
    </dxf>
    <dxf>
      <font>
        <sz val="5"/>
      </font>
    </dxf>
    <dxf>
      <font>
        <color theme="0" tint="-0.14999847407452621"/>
      </font>
    </dxf>
    <dxf>
      <font>
        <color theme="0" tint="-0.14999847407452621"/>
      </font>
    </dxf>
    <dxf>
      <alignment horizontal="center"/>
    </dxf>
    <dxf>
      <alignment horizontal="center"/>
    </dxf>
    <dxf>
      <alignment horizontal="center"/>
    </dxf>
    <dxf>
      <font>
        <color theme="1"/>
      </font>
    </dxf>
    <dxf>
      <font>
        <color theme="1"/>
      </font>
    </dxf>
    <dxf>
      <font>
        <sz val="11"/>
      </font>
    </dxf>
    <dxf>
      <font>
        <sz val="11"/>
      </font>
    </dxf>
    <dxf>
      <font>
        <sz val="11"/>
      </font>
    </dxf>
    <dxf>
      <font>
        <sz val="11"/>
      </font>
    </dxf>
    <dxf>
      <font>
        <sz val="11"/>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mm/dd/yy\ 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0" formatCode="0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1"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alignment wrapText="1"/>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8"/>
      </font>
    </dxf>
    <dxf>
      <font>
        <sz val="8"/>
      </font>
    </dxf>
    <dxf>
      <font>
        <sz val="8"/>
      </font>
    </dxf>
    <dxf>
      <font>
        <sz val="14"/>
        <name val="Aptos"/>
        <scheme val="none"/>
      </font>
      <alignment horizontal="center"/>
    </dxf>
    <dxf>
      <alignment horizontal="right"/>
    </dxf>
    <dxf>
      <font>
        <sz val="12"/>
        <name val="Aptos"/>
        <scheme val="none"/>
      </font>
      <alignment horizontal="general" vertical="bottom" textRotation="0" wrapText="0" indent="0" justifyLastLine="0" shrinkToFit="0" readingOrder="0"/>
    </dxf>
    <dxf>
      <font>
        <sz val="12"/>
      </font>
    </dxf>
    <dxf>
      <font>
        <name val="Aptos"/>
        <scheme val="none"/>
      </font>
    </dxf>
    <dxf>
      <alignment wrapText="0"/>
    </dxf>
    <dxf>
      <alignment wrapText="0"/>
    </dxf>
    <dxf>
      <alignment wrapText="0"/>
    </dxf>
    <dxf>
      <font>
        <color theme="0" tint="-0.14999847407452621"/>
      </font>
    </dxf>
    <dxf>
      <font>
        <color theme="0" tint="-0.14999847407452621"/>
      </font>
    </dxf>
    <dxf>
      <fill>
        <patternFill>
          <bgColor auto="1"/>
        </patternFill>
      </fill>
    </dxf>
    <dxf>
      <fill>
        <patternFill>
          <bgColor auto="1"/>
        </patternFill>
      </fill>
    </dxf>
    <dxf>
      <fill>
        <patternFill>
          <bgColor auto="1"/>
        </patternFill>
      </fill>
    </dxf>
    <dxf>
      <alignment horizontal="center"/>
    </dxf>
    <dxf>
      <alignment horizontal="center"/>
    </dxf>
    <dxf>
      <alignment wrapText="1"/>
    </dxf>
    <dxf>
      <alignment wrapText="1"/>
    </dxf>
    <dxf>
      <alignment wrapText="1"/>
    </dxf>
    <dxf>
      <font>
        <sz val="14"/>
      </font>
    </dxf>
    <dxf>
      <font>
        <sz val="14"/>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8"/>
      </font>
    </dxf>
    <dxf>
      <font>
        <sz val="8"/>
      </font>
    </dxf>
    <dxf>
      <font>
        <sz val="8"/>
      </font>
    </dxf>
    <dxf>
      <font>
        <sz val="14"/>
        <name val="Aptos"/>
        <scheme val="none"/>
      </font>
      <alignment horizontal="center"/>
    </dxf>
    <dxf>
      <alignment horizontal="right"/>
    </dxf>
    <dxf>
      <font>
        <sz val="12"/>
        <name val="Aptos"/>
        <scheme val="none"/>
      </font>
      <alignment horizontal="general" vertical="bottom" textRotation="0" wrapText="0" indent="0" justifyLastLine="0" shrinkToFit="0" readingOrder="0"/>
    </dxf>
    <dxf>
      <font>
        <sz val="12"/>
      </font>
    </dxf>
    <dxf>
      <font>
        <name val="Aptos"/>
        <scheme val="none"/>
      </font>
    </dxf>
    <dxf>
      <alignment wrapText="0"/>
    </dxf>
    <dxf>
      <alignment wrapText="0"/>
    </dxf>
    <dxf>
      <alignment wrapText="0"/>
    </dxf>
    <dxf>
      <font>
        <color theme="0" tint="-0.14999847407452621"/>
      </font>
    </dxf>
    <dxf>
      <font>
        <color theme="0" tint="-0.14999847407452621"/>
      </font>
    </dxf>
    <dxf>
      <fill>
        <patternFill>
          <bgColor auto="1"/>
        </patternFill>
      </fill>
    </dxf>
    <dxf>
      <fill>
        <patternFill>
          <bgColor auto="1"/>
        </patternFill>
      </fill>
    </dxf>
    <dxf>
      <fill>
        <patternFill>
          <bgColor auto="1"/>
        </patternFill>
      </fill>
    </dxf>
    <dxf>
      <alignment horizontal="center"/>
    </dxf>
    <dxf>
      <alignment horizontal="center"/>
    </dxf>
    <dxf>
      <alignment wrapText="1"/>
    </dxf>
    <dxf>
      <alignment wrapText="1"/>
    </dxf>
    <dxf>
      <alignment wrapText="1"/>
    </dxf>
    <dxf>
      <font>
        <sz val="14"/>
      </font>
    </dxf>
    <dxf>
      <font>
        <sz val="14"/>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h:mm;@"/>
    </dxf>
    <dxf>
      <numFmt numFmtId="164" formatCode="h:mm;@"/>
    </dxf>
    <dxf>
      <numFmt numFmtId="19" formatCode="m/d/yyyy"/>
    </dxf>
    <dxf>
      <numFmt numFmtId="0" formatCode="General"/>
    </dxf>
    <dxf>
      <alignment horizontal="center" vertical="bottom" textRotation="0" indent="0" justifyLastLine="0" shrinkToFit="0" readingOrder="0"/>
    </dxf>
    <dxf>
      <numFmt numFmtId="27" formatCode="m/d/yyyy\ h:mm"/>
    </dxf>
    <dxf>
      <numFmt numFmtId="172" formatCode="[$-F400]h:mm:ss\ AM/PM"/>
    </dxf>
    <dxf>
      <numFmt numFmtId="172"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72" formatCode="[$-F400]h:mm:ss\ AM/PM"/>
    </dxf>
    <dxf>
      <numFmt numFmtId="172"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theme="7" tint="0.79998168889431442"/>
          <bgColor theme="7" tint="0.79998168889431442"/>
        </patternFill>
      </fill>
    </dxf>
    <dxf>
      <fill>
        <patternFill patternType="solid">
          <fgColor theme="7" tint="0.79998168889431442"/>
          <bgColor theme="7" tint="0.79998168889431442"/>
        </patternFill>
      </fill>
    </dxf>
    <dxf>
      <font>
        <b/>
        <color theme="1"/>
      </font>
    </dxf>
    <dxf>
      <font>
        <b/>
        <color theme="1"/>
      </font>
    </dxf>
    <dxf>
      <font>
        <b/>
        <color theme="1"/>
      </font>
      <border>
        <top style="double">
          <color theme="7"/>
        </top>
      </border>
    </dxf>
    <dxf>
      <font>
        <b/>
        <i val="0"/>
        <color theme="1"/>
      </font>
      <border diagonalUp="0" diagonalDown="0">
        <left/>
        <right/>
        <top/>
        <bottom style="medium">
          <color theme="7"/>
        </bottom>
        <vertical/>
        <horizontal/>
      </border>
    </dxf>
    <dxf>
      <font>
        <color theme="1"/>
      </font>
      <border>
        <left style="medium">
          <color theme="7"/>
        </left>
        <right style="medium">
          <color theme="7"/>
        </right>
        <top style="medium">
          <color theme="7"/>
        </top>
        <bottom style="medium">
          <color theme="7"/>
        </bottom>
        <vertical style="thin">
          <color theme="7"/>
        </vertical>
        <horizontal style="thin">
          <color theme="7"/>
        </horizontal>
      </border>
    </dxf>
    <dxf>
      <fill>
        <patternFill patternType="solid">
          <fgColor theme="6" tint="0.79998168889431442"/>
          <bgColor theme="6" tint="0.79998168889431442"/>
        </patternFill>
      </fill>
    </dxf>
    <dxf>
      <fill>
        <patternFill patternType="solid">
          <fgColor theme="6" tint="0.79992065187536243"/>
          <bgColor theme="0" tint="-0.14996795556505021"/>
        </patternFill>
      </fill>
    </dxf>
    <dxf>
      <font>
        <b/>
        <color theme="1"/>
      </font>
    </dxf>
    <dxf>
      <font>
        <b/>
        <color theme="1"/>
      </font>
    </dxf>
    <dxf>
      <font>
        <b/>
        <color theme="1"/>
      </font>
      <border>
        <top style="double">
          <color theme="6"/>
        </top>
      </border>
    </dxf>
    <dxf>
      <font>
        <b/>
        <i val="0"/>
        <color theme="1"/>
      </font>
      <border diagonalUp="0" diagonalDown="1">
        <left/>
        <right/>
        <top/>
        <bottom style="medium">
          <color theme="6"/>
        </bottom>
        <diagonal style="medium">
          <color theme="6"/>
        </diagonal>
        <vertical/>
        <horizontal/>
      </border>
    </dxf>
    <dxf>
      <font>
        <color theme="1"/>
      </font>
      <border>
        <left style="medium">
          <color theme="1"/>
        </left>
        <right style="medium">
          <color theme="1"/>
        </right>
        <top style="medium">
          <color theme="1"/>
        </top>
        <bottom style="medium">
          <color theme="1"/>
        </bottom>
        <vertical style="thin">
          <color theme="6"/>
        </vertical>
        <horizontal style="thin">
          <color theme="6"/>
        </horizontal>
      </border>
    </dxf>
    <dxf>
      <fill>
        <patternFill patternType="solid">
          <fgColor theme="6" tint="0.79998168889431442"/>
          <bgColor theme="6" tint="0.79998168889431442"/>
        </patternFill>
      </fill>
    </dxf>
    <dxf>
      <fill>
        <patternFill patternType="solid">
          <fgColor theme="6" tint="0.79998168889431442"/>
          <bgColor theme="6" tint="0.79998168889431442"/>
        </patternFill>
      </fill>
    </dxf>
    <dxf>
      <font>
        <b/>
        <color theme="1"/>
      </font>
    </dxf>
    <dxf>
      <font>
        <b/>
        <color theme="1"/>
      </font>
    </dxf>
    <dxf>
      <font>
        <b/>
        <color theme="1"/>
      </font>
      <border>
        <top style="double">
          <color theme="6"/>
        </top>
      </border>
    </dxf>
    <dxf>
      <font>
        <b/>
        <i val="0"/>
        <color theme="1"/>
      </font>
      <border diagonalUp="0" diagonalDown="1">
        <left/>
        <right/>
        <top/>
        <bottom style="medium">
          <color theme="6"/>
        </bottom>
        <diagonal style="medium">
          <color theme="6"/>
        </diagonal>
        <vertical/>
        <horizontal/>
      </border>
    </dxf>
    <dxf>
      <font>
        <color theme="1"/>
      </font>
      <border>
        <left style="medium">
          <color theme="6"/>
        </left>
        <right style="medium">
          <color theme="6"/>
        </right>
        <top style="medium">
          <color theme="6"/>
        </top>
        <bottom style="medium">
          <color theme="6"/>
        </bottom>
        <vertical style="thin">
          <color theme="6"/>
        </vertical>
        <horizontal style="thin">
          <color theme="6"/>
        </horizontal>
      </border>
    </dxf>
    <dxf>
      <fill>
        <patternFill patternType="solid">
          <fgColor theme="6" tint="0.79992065187536243"/>
          <bgColor rgb="FFD3B5E9"/>
        </patternFill>
      </fill>
    </dxf>
    <dxf>
      <fill>
        <patternFill patternType="solid">
          <fgColor theme="6" tint="0.79995117038483843"/>
          <bgColor rgb="FFD3B5E9"/>
        </patternFill>
      </fill>
    </dxf>
    <dxf>
      <font>
        <b/>
        <color theme="1"/>
      </font>
    </dxf>
    <dxf>
      <font>
        <b/>
        <color theme="1"/>
      </font>
    </dxf>
    <dxf>
      <font>
        <b/>
        <color theme="1"/>
      </font>
      <border diagonalUp="0" diagonalDown="0">
        <left/>
        <right/>
        <top style="thick">
          <color rgb="FF513E80"/>
        </top>
        <bottom/>
        <vertical/>
        <horizontal/>
      </border>
    </dxf>
    <dxf>
      <font>
        <b/>
        <color theme="1"/>
      </font>
      <border diagonalUp="0" diagonalDown="0">
        <left/>
        <right/>
        <top/>
        <bottom style="medium">
          <color rgb="FF513E80"/>
        </bottom>
        <vertical/>
        <horizontal/>
      </border>
    </dxf>
    <dxf>
      <font>
        <color theme="1"/>
      </font>
      <border>
        <left style="medium">
          <color rgb="FF513E80"/>
        </left>
        <right style="medium">
          <color rgb="FF513E80"/>
        </right>
        <top style="medium">
          <color rgb="FF513E80"/>
        </top>
        <bottom style="medium">
          <color rgb="FF513E80"/>
        </bottom>
        <vertical style="thin">
          <color rgb="FF513E80"/>
        </vertical>
        <horizontal style="thin">
          <color rgb="FF513E80"/>
        </horizontal>
      </border>
    </dxf>
    <dxf>
      <fill>
        <patternFill patternType="solid">
          <fgColor theme="5" tint="0.79998168889431442"/>
          <bgColor theme="5" tint="0.79998168889431442"/>
        </patternFill>
      </fill>
    </dxf>
    <dxf>
      <fill>
        <patternFill patternType="solid">
          <fgColor theme="5" tint="0.79998168889431442"/>
          <bgColor theme="5" tint="0.79998168889431442"/>
        </patternFill>
      </fill>
    </dxf>
    <dxf>
      <font>
        <b/>
        <color theme="1"/>
      </font>
    </dxf>
    <dxf>
      <font>
        <b/>
        <color theme="1"/>
      </font>
    </dxf>
    <dxf>
      <font>
        <b/>
        <color theme="1"/>
      </font>
      <border>
        <top style="double">
          <color theme="5"/>
        </top>
      </border>
    </dxf>
    <dxf>
      <font>
        <b/>
        <i val="0"/>
        <color theme="1"/>
      </font>
      <border diagonalUp="0" diagonalDown="0">
        <left/>
        <right/>
        <top/>
        <bottom style="medium">
          <color theme="5"/>
        </bottom>
        <vertical/>
        <horizontal/>
      </border>
    </dxf>
    <dxf>
      <font>
        <color theme="1"/>
      </font>
      <border>
        <left style="medium">
          <color theme="5"/>
        </left>
        <right style="medium">
          <color theme="5"/>
        </right>
        <top style="medium">
          <color theme="5"/>
        </top>
        <bottom style="medium">
          <color theme="5"/>
        </bottom>
        <vertical style="thin">
          <color theme="5"/>
        </vertical>
        <horizontal style="thin">
          <color theme="5"/>
        </horizontal>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i val="0"/>
        <color theme="1"/>
      </font>
      <border diagonalUp="0" diagonalDown="0">
        <left/>
        <right/>
        <top/>
        <bottom style="medium">
          <color theme="4"/>
        </bottom>
        <vertical/>
        <horizontal/>
      </border>
    </dxf>
    <dxf>
      <font>
        <color theme="1"/>
      </font>
      <border>
        <left style="medium">
          <color theme="4"/>
        </left>
        <right style="medium">
          <color theme="4"/>
        </right>
        <top style="medium">
          <color theme="4"/>
        </top>
        <bottom style="medium">
          <color theme="4"/>
        </bottom>
        <vertical style="thin">
          <color theme="4"/>
        </vertical>
        <horizontal style="thin">
          <color theme="4"/>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1"/>
      </font>
    </dxf>
    <dxf>
      <font>
        <b/>
        <color theme="1"/>
      </font>
    </dxf>
    <dxf>
      <font>
        <b/>
        <color theme="1"/>
      </font>
      <border>
        <top style="double">
          <color theme="1"/>
        </top>
      </border>
    </dxf>
    <dxf>
      <font>
        <b/>
        <i val="0"/>
        <color theme="1"/>
      </font>
      <border diagonalUp="0" diagonalDown="0">
        <left/>
        <right/>
        <top/>
        <bottom style="medium">
          <color theme="1"/>
        </bottom>
        <vertical/>
        <horizontal/>
      </border>
    </dxf>
    <dxf>
      <font>
        <color theme="1"/>
      </font>
      <border>
        <left style="medium">
          <color theme="1"/>
        </left>
        <right style="medium">
          <color theme="1"/>
        </right>
        <top style="medium">
          <color theme="1"/>
        </top>
        <bottom style="medium">
          <color theme="1"/>
        </bottom>
        <vertical style="thin">
          <color theme="1"/>
        </vertical>
        <horizontal style="thin">
          <color theme="1"/>
        </horizontal>
      </border>
    </dxf>
  </dxfs>
  <tableStyles count="8" defaultTableStyle="TableStyleMedium2" defaultPivotStyle="PivotStyleLight16">
    <tableStyle name="Invisible" pivot="0" table="0" count="0" xr9:uid="{ED64E85C-CF3E-41CC-8B05-D20723E14618}"/>
    <tableStyle name="TableStyleLight15 2" pivot="0" count="7" xr9:uid="{6E068814-5BB5-4BA1-ACB0-253459FA954C}">
      <tableStyleElement type="wholeTable" dxfId="787"/>
      <tableStyleElement type="headerRow" dxfId="786"/>
      <tableStyleElement type="totalRow" dxfId="785"/>
      <tableStyleElement type="firstColumn" dxfId="784"/>
      <tableStyleElement type="lastColumn" dxfId="783"/>
      <tableStyleElement type="firstRowStripe" dxfId="782"/>
      <tableStyleElement type="firstColumnStripe" dxfId="781"/>
    </tableStyle>
    <tableStyle name="TableStyleLight16 2" pivot="0" count="7" xr9:uid="{D69CDBB7-032E-49BC-AC54-A31420CE7655}">
      <tableStyleElement type="wholeTable" dxfId="780"/>
      <tableStyleElement type="headerRow" dxfId="779"/>
      <tableStyleElement type="totalRow" dxfId="778"/>
      <tableStyleElement type="firstColumn" dxfId="777"/>
      <tableStyleElement type="lastColumn" dxfId="776"/>
      <tableStyleElement type="firstRowStripe" dxfId="775"/>
      <tableStyleElement type="firstColumnStripe" dxfId="774"/>
    </tableStyle>
    <tableStyle name="TableStyleLight17 2" pivot="0" count="7" xr9:uid="{F0E5CF34-A936-4E2B-86EA-DA714855B9FB}">
      <tableStyleElement type="wholeTable" dxfId="773"/>
      <tableStyleElement type="headerRow" dxfId="772"/>
      <tableStyleElement type="totalRow" dxfId="771"/>
      <tableStyleElement type="firstColumn" dxfId="770"/>
      <tableStyleElement type="lastColumn" dxfId="769"/>
      <tableStyleElement type="firstRowStripe" dxfId="768"/>
      <tableStyleElement type="firstColumnStripe" dxfId="767"/>
    </tableStyle>
    <tableStyle name="TableStyleLight18 2" pivot="0" count="7" xr9:uid="{FCE9A81E-B697-440C-9031-FD78FF52ED88}">
      <tableStyleElement type="wholeTable" dxfId="766"/>
      <tableStyleElement type="headerRow" dxfId="765"/>
      <tableStyleElement type="totalRow" dxfId="764"/>
      <tableStyleElement type="firstColumn" dxfId="763"/>
      <tableStyleElement type="lastColumn" dxfId="762"/>
      <tableStyleElement type="firstRowStripe" dxfId="761"/>
      <tableStyleElement type="firstColumnStripe" dxfId="760"/>
    </tableStyle>
    <tableStyle name="TableStyleLight18 3" pivot="0" count="7" xr9:uid="{AE81560E-A0A1-4B8F-8608-83C1F78B608A}">
      <tableStyleElement type="wholeTable" dxfId="759"/>
      <tableStyleElement type="headerRow" dxfId="758"/>
      <tableStyleElement type="totalRow" dxfId="757"/>
      <tableStyleElement type="firstColumn" dxfId="756"/>
      <tableStyleElement type="lastColumn" dxfId="755"/>
      <tableStyleElement type="firstRowStripe" dxfId="754"/>
      <tableStyleElement type="firstColumnStripe" dxfId="753"/>
    </tableStyle>
    <tableStyle name="TableStyleLight18 3 2" pivot="0" count="7" xr9:uid="{4C6F2DC0-9EE9-4779-9307-175D1C00B7C0}">
      <tableStyleElement type="wholeTable" dxfId="752"/>
      <tableStyleElement type="headerRow" dxfId="751"/>
      <tableStyleElement type="totalRow" dxfId="750"/>
      <tableStyleElement type="firstColumn" dxfId="749"/>
      <tableStyleElement type="lastColumn" dxfId="748"/>
      <tableStyleElement type="firstRowStripe" dxfId="747"/>
      <tableStyleElement type="firstColumnStripe" dxfId="746"/>
    </tableStyle>
    <tableStyle name="TableStyleLight19 2" pivot="0" count="7" xr9:uid="{A6B5A85E-1A32-4277-8575-40D0AE2BF488}">
      <tableStyleElement type="wholeTable" dxfId="745"/>
      <tableStyleElement type="headerRow" dxfId="744"/>
      <tableStyleElement type="totalRow" dxfId="743"/>
      <tableStyleElement type="firstColumn" dxfId="742"/>
      <tableStyleElement type="lastColumn" dxfId="741"/>
      <tableStyleElement type="firstRowStripe" dxfId="740"/>
      <tableStyleElement type="firstColumnStripe" dxfId="739"/>
    </tableStyle>
  </tableStyles>
  <colors>
    <mruColors>
      <color rgb="FFFFFF66"/>
      <color rgb="FFFF0000"/>
      <color rgb="FF513E80"/>
      <color rgb="FFD3B5E9"/>
      <color rgb="FFE0B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latin typeface="Aptos Narrow" panose="020B0004020202020204" pitchFamily="34" charset="0"/>
              </a:rPr>
              <a:t>YTD</a:t>
            </a:r>
          </a:p>
        </c:rich>
      </c:tx>
      <c:layout>
        <c:manualLayout>
          <c:xMode val="edge"/>
          <c:yMode val="edge"/>
          <c:x val="0.45241002626136423"/>
          <c:y val="1.148187626515359E-2"/>
        </c:manualLayout>
      </c:layout>
      <c:overlay val="0"/>
      <c:spPr>
        <a:noFill/>
        <a:ln w="12700">
          <a:noFill/>
        </a:ln>
        <a:effectLst/>
      </c:spPr>
    </c:title>
    <c:autoTitleDeleted val="0"/>
    <c:pivotFmts>
      <c:pivotFmt>
        <c:idx val="0"/>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403686479"/>
        <c:axId val="489988959"/>
      </c:barChart>
      <c:catAx>
        <c:axId val="403686479"/>
        <c:scaling>
          <c:orientation val="minMax"/>
        </c:scaling>
        <c:delete val="0"/>
        <c:axPos val="b"/>
        <c:numFmt formatCode="General" sourceLinked="1"/>
        <c:majorTickMark val="none"/>
        <c:minorTickMark val="none"/>
        <c:tickLblPos val="nextTo"/>
        <c:spPr>
          <a:noFill/>
          <a:ln w="12700" cap="flat" cmpd="sng" algn="ctr">
            <a:solidFill>
              <a:schemeClr val="bg2">
                <a:lumMod val="75000"/>
                <a:alpha val="91000"/>
              </a:schemeClr>
            </a:solidFill>
            <a:round/>
          </a:ln>
          <a:effectLst/>
        </c:spPr>
        <c:txPr>
          <a:bodyPr rot="-60000000" spcFirstLastPara="1" vertOverflow="ellipsis" vert="horz" wrap="square" anchor="ctr" anchorCtr="1"/>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crossAx val="489988959"/>
        <c:crosses val="autoZero"/>
        <c:auto val="1"/>
        <c:lblAlgn val="ctr"/>
        <c:lblOffset val="100"/>
        <c:noMultiLvlLbl val="0"/>
      </c:catAx>
      <c:valAx>
        <c:axId val="489988959"/>
        <c:scaling>
          <c:orientation val="minMax"/>
        </c:scaling>
        <c:delete val="1"/>
        <c:axPos val="l"/>
        <c:numFmt formatCode="General" sourceLinked="1"/>
        <c:majorTickMark val="none"/>
        <c:minorTickMark val="none"/>
        <c:tickLblPos val="nextTo"/>
        <c:crossAx val="403686479"/>
        <c:crosses val="autoZero"/>
        <c:crossBetween val="between"/>
      </c:valAx>
      <c:spPr>
        <a:noFill/>
        <a:ln>
          <a:noFill/>
        </a:ln>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38</xdr:row>
      <xdr:rowOff>0</xdr:rowOff>
    </xdr:from>
    <xdr:to>
      <xdr:col>16</xdr:col>
      <xdr:colOff>38100</xdr:colOff>
      <xdr:row>54</xdr:row>
      <xdr:rowOff>152400</xdr:rowOff>
    </xdr:to>
    <xdr:graphicFrame macro="">
      <xdr:nvGraphicFramePr>
        <xdr:cNvPr id="2" name="Chart 1">
          <a:extLst>
            <a:ext uri="{FF2B5EF4-FFF2-40B4-BE49-F238E27FC236}">
              <a16:creationId xmlns:a16="http://schemas.microsoft.com/office/drawing/2014/main" id="{A085C64A-F22A-4952-A9B8-E39A3732B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1.556442361114" createdVersion="8" refreshedVersion="8" minRefreshableVersion="3" recordCount="5" xr:uid="{0FC43992-25F7-498F-9BDC-F3BFC4307200}">
  <cacheSource type="worksheet">
    <worksheetSource name="Sexual_Offenses"/>
  </cacheSource>
  <cacheFields count="54">
    <cacheField name="Case Number" numFmtId="0">
      <sharedItems/>
    </cacheField>
    <cacheField name="INC_DATE" numFmtId="167">
      <sharedItems containsSemiMixedTypes="0" containsNonDate="0" containsDate="1" containsString="0" minDate="2025-01-07T00:00:00" maxDate="2025-04-03T00:00:00" count="5">
        <d v="2025-01-07T00:00:00"/>
        <d v="2025-01-23T00:00:00"/>
        <d v="2025-02-17T00:00:00"/>
        <d v="2025-02-20T00:00:00"/>
        <d v="2025-04-02T00:00:00"/>
      </sharedItems>
    </cacheField>
    <cacheField name="TOD" numFmtId="0">
      <sharedItems count="2">
        <s v="12:00-15:59 Afternoon"/>
        <s v="20:00-23:59 Night"/>
      </sharedItems>
    </cacheField>
    <cacheField name="Start of Hour" numFmtId="164">
      <sharedItems containsSemiMixedTypes="0" containsNonDate="0" containsDate="1" containsString="0" minDate="1899-12-30T12:00:00" maxDate="1899-12-30T21:00:00" count="5">
        <d v="1899-12-30T14:00:00"/>
        <d v="1899-12-30T15:00:00"/>
        <d v="1899-12-30T20:00:00"/>
        <d v="1899-12-30T12:00:00"/>
        <d v="1899-12-30T21:00:00"/>
      </sharedItems>
    </cacheField>
    <cacheField name="INC_TIME" numFmtId="164">
      <sharedItems containsSemiMixedTypes="0" containsNonDate="0" containsDate="1" containsString="0" minDate="1899-12-30T12:52:04" maxDate="1899-12-30T21:35:00"/>
    </cacheField>
    <cacheField name="Day Name" numFmtId="0">
      <sharedItems count="7">
        <s v="Tue"/>
        <s v="Thur"/>
        <s v="Mon"/>
        <s v="Wed"/>
        <s v="Tuesday" u="1"/>
        <s v="Thursday" u="1"/>
        <s v="Monday" u="1"/>
      </sharedItems>
    </cacheField>
    <cacheField name="Month Name" numFmtId="0">
      <sharedItems/>
    </cacheField>
    <cacheField name="BLOCK" numFmtId="0">
      <sharedItems/>
    </cacheField>
    <cacheField name="Location" numFmtId="0">
      <sharedItems/>
    </cacheField>
    <cacheField name="ALL_INCIDENTS" numFmtId="0">
      <sharedItems count="5">
        <s v="Criminal Sexual Contact, Juvenile Investigation"/>
        <s v="Sexual Assault, Juvenile Investigation"/>
        <s v="Exceptionally Cleared/Closed, Sexual Assault"/>
        <s v="Sexual Assault"/>
        <s v="Mental Health Incident, Sexual Assault, Juvenile Investigation"/>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7" maxValue="8"/>
    </cacheField>
    <cacheField name="Narrative" numFmtId="0">
      <sharedItems longText="1"/>
    </cacheField>
    <cacheField name="Total Value Stolen" numFmtId="0">
      <sharedItems containsNonDate="0" containsString="0" containsBlank="1"/>
    </cacheField>
    <cacheField name="Total Value Recover" numFmtId="0">
      <sharedItems containsNonDate="0" containsString="0" containsBlank="1"/>
    </cacheField>
    <cacheField name="Registration 1" numFmtId="0">
      <sharedItems containsNonDate="0" containsString="0" containsBlank="1"/>
    </cacheField>
    <cacheField name="Make1" numFmtId="0">
      <sharedItems containsNonDate="0" containsString="0" containsBlank="1"/>
    </cacheField>
    <cacheField name="Model1" numFmtId="0">
      <sharedItems containsNonDate="0" containsString="0" containsBlank="1"/>
    </cacheField>
    <cacheField name="Reg State 1" numFmtId="0">
      <sharedItems containsNonDate="0" containsString="0" containsBlank="1"/>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acheField>
    <cacheField name="Case_Status" numFmtId="0">
      <sharedItems/>
    </cacheField>
    <cacheField name="NIBRS Classification" numFmtId="0">
      <sharedItems containsBlank="1"/>
    </cacheField>
    <cacheField name="CASE_NUMBER_LENGTH" numFmtId="0">
      <sharedItems containsSemiMixedTypes="0" containsString="0" containsNumber="1" containsInteger="1" minValue="9" maxValue="9"/>
    </cacheField>
    <cacheField name="Incident Date" numFmtId="14">
      <sharedItems containsSemiMixedTypes="0" containsNonDate="0" containsDate="1" containsString="0" minDate="2017-06-20T00:00:00" maxDate="2025-04-03T00:00:00"/>
    </cacheField>
    <cacheField name="Incident Time" numFmtId="22">
      <sharedItems containsSemiMixedTypes="0" containsNonDate="0" containsDate="1" containsString="0" minDate="1899-12-30T12:52:04" maxDate="1899-12-30T21:35:00"/>
    </cacheField>
    <cacheField name="Incident Date_Between" numFmtId="14">
      <sharedItems containsNonDate="0" containsDate="1" containsString="0" containsBlank="1" minDate="2024-09-20T00:00:00" maxDate="2025-02-18T00:00:00"/>
    </cacheField>
    <cacheField name="Incident Time_Between" numFmtId="22">
      <sharedItems containsNonDate="0" containsDate="1" containsString="0" containsBlank="1" minDate="1899-12-30T23:45:00" maxDate="1899-12-30T23:45:00"/>
    </cacheField>
    <cacheField name="Report Date" numFmtId="14">
      <sharedItems containsSemiMixedTypes="0" containsNonDate="0" containsDate="1" containsString="0" minDate="2025-01-10T00:00:00" maxDate="2025-04-03T00:00:00"/>
    </cacheField>
    <cacheField name="Report Time" numFmtId="22">
      <sharedItems containsSemiMixedTypes="0" containsNonDate="0" containsDate="1" containsString="0" minDate="1899-12-30T12:52:04" maxDate="1899-12-30T21:40:41"/>
    </cacheField>
    <cacheField name="Year" numFmtId="0">
      <sharedItems containsSemiMixedTypes="0" containsString="0" containsNumber="1" containsInteger="1" minValue="2017" maxValue="2025"/>
    </cacheField>
    <cacheField name="Week of Year" numFmtId="0">
      <sharedItems containsSemiMixedTypes="0" containsString="0" containsNumber="1" containsInteger="1" minValue="2" maxValue="25"/>
    </cacheField>
    <cacheField name="Week of Month" numFmtId="0">
      <sharedItems containsSemiMixedTypes="0" containsString="0" containsNumber="1" containsInteger="1" minValue="1" maxValue="4"/>
    </cacheField>
    <cacheField name="Day" numFmtId="0">
      <sharedItems containsSemiMixedTypes="0" containsString="0" containsNumber="1" containsInteger="1" minValue="2" maxValue="23"/>
    </cacheField>
    <cacheField name="Day of Year" numFmtId="0">
      <sharedItems containsSemiMixedTypes="0" containsString="0" containsNumber="1" containsInteger="1" minValue="7" maxValue="171"/>
    </cacheField>
    <cacheField name="INC_DATE_AND_TIME" numFmtId="22">
      <sharedItems containsSemiMixedTypes="0" containsNonDate="0" containsDate="1" containsString="0" minDate="2017-06-20T12:52:00" maxDate="2025-04-02T21:35:00"/>
    </cacheField>
    <cacheField name="St#" numFmtId="0">
      <sharedItems containsSemiMixedTypes="0" containsString="0" containsNumber="1" containsInteger="1" minValue="135" maxValue="360"/>
    </cacheField>
    <cacheField name="Notes" numFmtId="0">
      <sharedItems longText="1"/>
    </cacheField>
    <cacheField name="VEHICLE" numFmtId="0">
      <sharedItems containsNonDate="0" containsString="0" containsBlank="1"/>
    </cacheField>
    <cacheField name="Suspect" numFmtId="0">
      <sharedItems longText="1"/>
    </cacheField>
    <cacheField name="TOTAL_STOLEN_AMOUNT" numFmtId="0">
      <sharedItems/>
    </cacheField>
    <cacheField name="REPORT_CYCLE" numFmtId="0">
      <sharedItems/>
    </cacheField>
    <cacheField name="TIME_OF_DAY" numFmtId="0">
      <sharedItems count="2">
        <s v="Afternoon (12:00-15:59)"/>
        <s v="Night (20:00-23:59)"/>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1.55644270833" createdVersion="8" refreshedVersion="8" minRefreshableVersion="3" recordCount="14" xr:uid="{4BE8C8D1-8039-4776-833C-6B78CED6F772}">
  <cacheSource type="worksheet">
    <worksheetSource name="MV_Theft"/>
  </cacheSource>
  <cacheFields count="54">
    <cacheField name="Case Number" numFmtId="0">
      <sharedItems/>
    </cacheField>
    <cacheField name="INC_DATE" numFmtId="165">
      <sharedItems containsSemiMixedTypes="0" containsNonDate="0" containsDate="1" containsString="0" minDate="2025-01-03T00:00:00" maxDate="2025-03-29T00:00:00" count="13">
        <d v="2025-01-03T00:00:00"/>
        <d v="2025-01-15T00:00:00"/>
        <d v="2025-01-21T00:00:00"/>
        <d v="2025-01-22T00:00:00"/>
        <d v="2025-01-28T00:00:00"/>
        <d v="2025-01-31T00:00:00"/>
        <d v="2025-02-01T00:00:00"/>
        <d v="2025-02-03T00:00:00"/>
        <d v="2025-02-07T00:00:00"/>
        <d v="2025-02-17T00:00:00"/>
        <d v="2025-02-25T00:00:00"/>
        <d v="2025-03-21T00:00:00"/>
        <d v="2025-03-28T00:00:00"/>
      </sharedItems>
    </cacheField>
    <cacheField name="TOD" numFmtId="0">
      <sharedItems count="6">
        <s v="20:00-23:59 Night"/>
        <s v="12:00-15:59 Afternoon"/>
        <s v="16:00-19:59 Evening Peak"/>
        <s v="08:00-11:59 Morning Peak"/>
        <s v="00:00-03:59 Early Morning"/>
        <s v="04:00-07:59 Morning"/>
      </sharedItems>
    </cacheField>
    <cacheField name="Start of Hour" numFmtId="164">
      <sharedItems containsSemiMixedTypes="0" containsNonDate="0" containsDate="1" containsString="0" minDate="1899-12-30T01:00:00" maxDate="1899-12-30T21:00:00"/>
    </cacheField>
    <cacheField name="INC_TIME" numFmtId="164">
      <sharedItems containsSemiMixedTypes="0" containsNonDate="0" containsDate="1" containsString="0" minDate="1899-12-30T01:00:00" maxDate="1899-12-30T21:30:00"/>
    </cacheField>
    <cacheField name="Day Name" numFmtId="0">
      <sharedItems count="10">
        <s v="Fri"/>
        <s v="Wed"/>
        <s v="Tue"/>
        <s v="Sat"/>
        <s v="Mon"/>
        <s v="Friday" u="1"/>
        <s v="Wednesday" u="1"/>
        <s v="Tuesday" u="1"/>
        <s v="Saturday" u="1"/>
        <s v="Monday" u="1"/>
      </sharedItems>
    </cacheField>
    <cacheField name="Month Name" numFmtId="0">
      <sharedItems/>
    </cacheField>
    <cacheField name="BLOCK" numFmtId="0">
      <sharedItems/>
    </cacheField>
    <cacheField name="Location" numFmtId="0">
      <sharedItems/>
    </cacheField>
    <cacheField name="ALL_INCIDENTS" numFmtId="0">
      <sharedItems count="3">
        <s v="Motor Vehicle Theft"/>
        <s v="Motor Vehicle Theft, Theft"/>
        <s v="Motor Vehicle Theft, Recovered Stolen Vehicle"/>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5" maxValue="9"/>
    </cacheField>
    <cacheField name="Narrative" numFmtId="0">
      <sharedItems longText="1"/>
    </cacheField>
    <cacheField name="Total Value Stolen" numFmtId="0">
      <sharedItems containsNonDate="0" containsString="0" containsBlank="1"/>
    </cacheField>
    <cacheField name="Total Value Recover" numFmtId="0">
      <sharedItems containsNonDate="0" containsString="0" containsBlank="1"/>
    </cacheField>
    <cacheField name="Registration 1" numFmtId="0">
      <sharedItems/>
    </cacheField>
    <cacheField name="Make1" numFmtId="0">
      <sharedItems containsBlank="1"/>
    </cacheField>
    <cacheField name="Model1" numFmtId="0">
      <sharedItems containsBlank="1"/>
    </cacheField>
    <cacheField name="Reg State 1" numFmtId="0">
      <sharedItems/>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ontainsBlank="1"/>
    </cacheField>
    <cacheField name="Case_Status" numFmtId="0">
      <sharedItems containsBlank="1"/>
    </cacheField>
    <cacheField name="NIBRS Classification" numFmtId="0">
      <sharedItems containsBlank="1"/>
    </cacheField>
    <cacheField name="CASE_NUMBER_LENGTH" numFmtId="0">
      <sharedItems containsSemiMixedTypes="0" containsString="0" containsNumber="1" containsInteger="1" minValue="9" maxValue="9"/>
    </cacheField>
    <cacheField name="Incident Date" numFmtId="165">
      <sharedItems containsSemiMixedTypes="0" containsNonDate="0" containsDate="1" containsString="0" minDate="2025-01-03T00:00:00" maxDate="2025-03-29T00:00:00"/>
    </cacheField>
    <cacheField name="Incident Time" numFmtId="168">
      <sharedItems containsSemiMixedTypes="0" containsNonDate="0" containsDate="1" containsString="0" minDate="1899-12-30T01:00:00" maxDate="1899-12-30T21:30:00"/>
    </cacheField>
    <cacheField name="Incident Date_Between" numFmtId="165">
      <sharedItems containsNonDate="0" containsDate="1" containsString="0" containsBlank="1" minDate="2025-01-04T00:00:00" maxDate="2025-03-30T00:00:00"/>
    </cacheField>
    <cacheField name="Incident Time_Between" numFmtId="168">
      <sharedItems containsNonDate="0" containsDate="1" containsString="0" containsBlank="1" minDate="1899-12-30T02:30:00" maxDate="1899-12-30T23:00:00"/>
    </cacheField>
    <cacheField name="Report Date" numFmtId="165">
      <sharedItems containsSemiMixedTypes="0" containsNonDate="0" containsDate="1" containsString="0" minDate="2025-01-04T00:00:00" maxDate="2025-03-30T00:00:00"/>
    </cacheField>
    <cacheField name="Report Time" numFmtId="168">
      <sharedItems containsSemiMixedTypes="0" containsNonDate="0" containsDate="1" containsString="0" minDate="1899-12-30T02:52:33" maxDate="1899-12-30T23:47:34"/>
    </cacheField>
    <cacheField name="Year" numFmtId="0">
      <sharedItems containsSemiMixedTypes="0" containsString="0" containsNumber="1" containsInteger="1" minValue="2025" maxValue="2025"/>
    </cacheField>
    <cacheField name="Week of Year" numFmtId="169">
      <sharedItems containsSemiMixedTypes="0" containsString="0" containsNumber="1" containsInteger="1" minValue="1" maxValue="13"/>
    </cacheField>
    <cacheField name="Week of Month" numFmtId="169">
      <sharedItems containsSemiMixedTypes="0" containsString="0" containsNumber="1" containsInteger="1" minValue="1" maxValue="5"/>
    </cacheField>
    <cacheField name="Day" numFmtId="169">
      <sharedItems containsSemiMixedTypes="0" containsString="0" containsNumber="1" containsInteger="1" minValue="1" maxValue="31"/>
    </cacheField>
    <cacheField name="Day of Year" numFmtId="170">
      <sharedItems containsSemiMixedTypes="0" containsString="0" containsNumber="1" containsInteger="1" minValue="3" maxValue="87"/>
    </cacheField>
    <cacheField name="INC_DATE_AND_TIME" numFmtId="171">
      <sharedItems containsSemiMixedTypes="0" containsNonDate="0" containsDate="1" containsString="0" minDate="2025-01-03T21:30:00" maxDate="2025-03-28T20:30:00"/>
    </cacheField>
    <cacheField name="St#" numFmtId="0">
      <sharedItems containsSemiMixedTypes="0" containsString="0" containsNumber="1" containsInteger="1" minValue="30" maxValue="535"/>
    </cacheField>
    <cacheField name="Notes" numFmtId="0">
      <sharedItems longText="1"/>
    </cacheField>
    <cacheField name="VEHICLE" numFmtId="0">
      <sharedItems/>
    </cacheField>
    <cacheField name="Suspect" numFmtId="0">
      <sharedItems/>
    </cacheField>
    <cacheField name="TOTAL_STOLEN_AMOUNT" numFmtId="0">
      <sharedItems/>
    </cacheField>
    <cacheField name="REPORT_CYCLE" numFmtId="0">
      <sharedItems/>
    </cacheField>
    <cacheField name="TIME_OF_DAY" numFmtId="0">
      <sharedItems count="6">
        <s v="Night (20:00-23:59)"/>
        <s v="Afternoon (12:00-15:59)"/>
        <s v="Evening Peak (16:00-19:59)"/>
        <s v="Morning Peak (08:00-11:59)"/>
        <s v="Early Morning (00:00-03:59)"/>
        <s v="Morning (04:00-07:59)"/>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1.556442939815" createdVersion="8" refreshedVersion="8" minRefreshableVersion="3" recordCount="121" xr:uid="{6C01DEB0-BC56-480A-B46A-337ED657C799}">
  <cacheSource type="worksheet">
    <worksheetSource name="Bur_Auto"/>
  </cacheSource>
  <cacheFields count="54">
    <cacheField name="Case Number" numFmtId="0">
      <sharedItems/>
    </cacheField>
    <cacheField name="INC_DATE" numFmtId="14">
      <sharedItems containsSemiMixedTypes="0" containsNonDate="0" containsDate="1" containsString="0" minDate="2025-01-06T00:00:00" maxDate="2025-04-10T00:00:00" count="11">
        <d v="2025-01-06T00:00:00"/>
        <d v="2025-01-25T00:00:00"/>
        <d v="2025-01-26T00:00:00"/>
        <d v="2025-02-13T00:00:00"/>
        <d v="2025-03-06T00:00:00"/>
        <d v="2025-03-09T00:00:00"/>
        <d v="2025-03-11T00:00:00"/>
        <d v="2025-03-23T00:00:00"/>
        <d v="2025-03-31T00:00:00"/>
        <d v="2025-04-01T00:00:00"/>
        <d v="2025-04-09T00:00:00"/>
      </sharedItems>
    </cacheField>
    <cacheField name="TOD" numFmtId="0">
      <sharedItems count="4">
        <s v="12:00-15:59 Afternoon"/>
        <s v="16:00-19:59 Evening Peak"/>
        <s v="20:00-23:59 Night"/>
        <s v="04:00-07:59 Morning"/>
      </sharedItems>
    </cacheField>
    <cacheField name="Start of Hour" numFmtId="164">
      <sharedItems containsSemiMixedTypes="0" containsNonDate="0" containsDate="1" containsString="0" minDate="1899-12-30T04:00:00" maxDate="1899-12-30T23:00:00"/>
    </cacheField>
    <cacheField name="INC_TIME" numFmtId="164">
      <sharedItems containsSemiMixedTypes="0" containsNonDate="0" containsDate="1" containsString="0" minDate="1899-12-30T04:10:00" maxDate="1899-12-30T23:10:00"/>
    </cacheField>
    <cacheField name="Day Name" numFmtId="0">
      <sharedItems count="11">
        <s v="Mon"/>
        <s v="Sat"/>
        <s v="Sun"/>
        <s v="Thur"/>
        <s v="Tue"/>
        <s v="Wed"/>
        <s v="Monday" u="1"/>
        <s v="Saturday" u="1"/>
        <s v="Sunday" u="1"/>
        <s v="Thursday" u="1"/>
        <s v="Tuesday" u="1"/>
      </sharedItems>
    </cacheField>
    <cacheField name="Month Name" numFmtId="0">
      <sharedItems/>
    </cacheField>
    <cacheField name="BLOCK" numFmtId="0">
      <sharedItems/>
    </cacheField>
    <cacheField name="Location" numFmtId="0">
      <sharedItems/>
    </cacheField>
    <cacheField name="ALL_INCIDENTS" numFmtId="0">
      <sharedItems count="3">
        <s v="Burglary - Auto"/>
        <s v="Burglary - Auto, Theft"/>
        <s v="Burglary - Auto, Criminal Mischief - Vehicle"/>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ontainsBlank="1"/>
    </cacheField>
    <cacheField name="Zone" numFmtId="0">
      <sharedItems containsString="0" containsBlank="1" containsNumber="1" containsInteger="1" minValue="5" maxValue="9"/>
    </cacheField>
    <cacheField name="Narrative" numFmtId="0">
      <sharedItems longText="1"/>
    </cacheField>
    <cacheField name="Total Value Stolen" numFmtId="0">
      <sharedItems containsString="0" containsBlank="1" containsNumber="1" containsInteger="1" minValue="2" maxValue="5"/>
    </cacheField>
    <cacheField name="Total Value Recover" numFmtId="0">
      <sharedItems containsString="0" containsBlank="1" containsNumber="1" containsInteger="1" minValue="0" maxValue="0"/>
    </cacheField>
    <cacheField name="Registration 1" numFmtId="0">
      <sharedItems/>
    </cacheField>
    <cacheField name="Make1" numFmtId="0">
      <sharedItems/>
    </cacheField>
    <cacheField name="Model1" numFmtId="0">
      <sharedItems/>
    </cacheField>
    <cacheField name="Reg State 1" numFmtId="0">
      <sharedItems/>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ontainsBlank="1"/>
    </cacheField>
    <cacheField name="Case_Status" numFmtId="0">
      <sharedItems containsBlank="1"/>
    </cacheField>
    <cacheField name="NIBRS Classification" numFmtId="0">
      <sharedItems containsBlank="1"/>
    </cacheField>
    <cacheField name="CASE_NUMBER_LENGTH" numFmtId="0">
      <sharedItems containsSemiMixedTypes="0" containsString="0" containsNumber="1" containsInteger="1" minValue="9" maxValue="9"/>
    </cacheField>
    <cacheField name="Incident Date" numFmtId="14">
      <sharedItems containsSemiMixedTypes="0" containsNonDate="0" containsDate="1" containsString="0" minDate="2025-01-06T00:00:00" maxDate="2025-04-10T00:00:00"/>
    </cacheField>
    <cacheField name="Incident Time" numFmtId="172">
      <sharedItems containsSemiMixedTypes="0" containsNonDate="0" containsDate="1" containsString="0" minDate="1899-12-30T04:10:00" maxDate="1899-12-30T23:10:00"/>
    </cacheField>
    <cacheField name="Incident Date_Between" numFmtId="14">
      <sharedItems containsNonDate="0" containsDate="1" containsString="0" containsBlank="1" minDate="2025-01-10T00:00:00" maxDate="2025-04-10T00:00:00"/>
    </cacheField>
    <cacheField name="Incident Time_Between" numFmtId="172">
      <sharedItems containsNonDate="0" containsDate="1" containsString="0" containsBlank="1" minDate="1899-12-30T04:20:00" maxDate="1899-12-30T23:11:00"/>
    </cacheField>
    <cacheField name="Report Date" numFmtId="14">
      <sharedItems containsSemiMixedTypes="0" containsNonDate="0" containsDate="1" containsString="0" minDate="2025-01-10T00:00:00" maxDate="2025-04-11T00:00:00"/>
    </cacheField>
    <cacheField name="Report Time" numFmtId="172">
      <sharedItems containsSemiMixedTypes="0" containsNonDate="0" containsDate="1" containsString="0" minDate="1899-12-30T00:53:05" maxDate="1899-12-30T23:58:33"/>
    </cacheField>
    <cacheField name="Year" numFmtId="0">
      <sharedItems containsSemiMixedTypes="0" containsString="0" containsNumber="1" containsInteger="1" minValue="2025" maxValue="2025"/>
    </cacheField>
    <cacheField name="Week of Year" numFmtId="0">
      <sharedItems containsSemiMixedTypes="0" containsString="0" containsNumber="1" containsInteger="1" minValue="2" maxValue="15"/>
    </cacheField>
    <cacheField name="Week of Month" numFmtId="0">
      <sharedItems containsSemiMixedTypes="0" containsString="0" containsNumber="1" containsInteger="1" minValue="1" maxValue="6"/>
    </cacheField>
    <cacheField name="Day" numFmtId="0">
      <sharedItems containsSemiMixedTypes="0" containsString="0" containsNumber="1" containsInteger="1" minValue="1" maxValue="31"/>
    </cacheField>
    <cacheField name="Day of Year" numFmtId="0">
      <sharedItems containsSemiMixedTypes="0" containsString="0" containsNumber="1" containsInteger="1" minValue="6" maxValue="99"/>
    </cacheField>
    <cacheField name="INC_DATE_AND_TIME" numFmtId="22">
      <sharedItems containsSemiMixedTypes="0" containsNonDate="0" containsDate="1" containsString="0" minDate="2025-01-06T15:30:00" maxDate="2025-04-09T23:10:00"/>
    </cacheField>
    <cacheField name="St#" numFmtId="0">
      <sharedItems containsString="0" containsBlank="1" containsNumber="1" containsInteger="1" minValue="5" maxValue="310"/>
    </cacheField>
    <cacheField name="Notes" numFmtId="0">
      <sharedItems longText="1"/>
    </cacheField>
    <cacheField name="VEHICLE" numFmtId="0">
      <sharedItems/>
    </cacheField>
    <cacheField name="Suspect" numFmtId="0">
      <sharedItems longText="1"/>
    </cacheField>
    <cacheField name="TOTAL_STOLEN_AMOUNT" numFmtId="0">
      <sharedItems longText="1"/>
    </cacheField>
    <cacheField name="REPORT_CYCLE" numFmtId="0">
      <sharedItems/>
    </cacheField>
    <cacheField name="TIME_OF_DAY" numFmtId="0">
      <sharedItems count="4">
        <s v="Afternoon (12:00-15:59)"/>
        <s v="Evening Peak (16:00-19:59)"/>
        <s v="Night (20:00-23:59)"/>
        <s v="Morning (04:00-07:59)"/>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1.981034259261" createdVersion="8" refreshedVersion="8" minRefreshableVersion="3" recordCount="10" xr:uid="{05B18EBB-7F97-446B-AFED-A4B1032FFB74}">
  <cacheSource type="worksheet">
    <worksheetSource name="Bur_C_R"/>
  </cacheSource>
  <cacheFields count="54">
    <cacheField name="Case Number" numFmtId="0">
      <sharedItems/>
    </cacheField>
    <cacheField name="INC_DATE" numFmtId="167">
      <sharedItems containsSemiMixedTypes="0" containsNonDate="0" containsDate="1" containsString="0" minDate="2025-01-14T00:00:00" maxDate="2025-04-02T00:00:00" count="11">
        <d v="2025-01-16T00:00:00"/>
        <d v="2025-01-25T00:00:00"/>
        <d v="2025-01-31T00:00:00"/>
        <d v="2025-02-05T00:00:00"/>
        <d v="2025-02-17T00:00:00"/>
        <d v="2025-03-10T00:00:00"/>
        <d v="2025-03-27T00:00:00"/>
        <d v="2025-03-31T00:00:00"/>
        <d v="2025-04-01T00:00:00"/>
        <d v="2025-01-14T00:00:00" u="1"/>
        <d v="2025-03-18T00:00:00" u="1"/>
      </sharedItems>
    </cacheField>
    <cacheField name="TOD" numFmtId="0">
      <sharedItems count="5">
        <s v="12:00-15:59 Afternoon"/>
        <s v="08:00-11:59 Morning Peak"/>
        <s v="00:00-03:59 Early Morning"/>
        <s v="20:00-23:59 Night"/>
        <s v="04:00-07:59 Morning" u="1"/>
      </sharedItems>
    </cacheField>
    <cacheField name="Start of Hour" numFmtId="168">
      <sharedItems containsSemiMixedTypes="0" containsNonDate="0" containsDate="1" containsString="0" minDate="1899-12-30T01:00:00" maxDate="1899-12-30T23:00:00"/>
    </cacheField>
    <cacheField name="INC_TIME" numFmtId="168">
      <sharedItems containsSemiMixedTypes="0" containsNonDate="0" containsDate="1" containsString="0" minDate="1899-12-30T01:07:00" maxDate="1899-12-30T23:30:00"/>
    </cacheField>
    <cacheField name="Day Name" numFmtId="0">
      <sharedItems count="12">
        <s v="Thur"/>
        <s v="Sat"/>
        <s v="Fri"/>
        <s v="Wed"/>
        <s v="Mon"/>
        <s v="Tue"/>
        <s v="Thursday" u="1"/>
        <s v="Saturday" u="1"/>
        <s v="Friday" u="1"/>
        <s v="Wednesday" u="1"/>
        <s v="Monday" u="1"/>
        <s v="Tuesday" u="1"/>
      </sharedItems>
    </cacheField>
    <cacheField name="Month Name" numFmtId="0">
      <sharedItems/>
    </cacheField>
    <cacheField name="BLOCK" numFmtId="0">
      <sharedItems/>
    </cacheField>
    <cacheField name="Location" numFmtId="0">
      <sharedItems/>
    </cacheField>
    <cacheField name="ALL_INCIDENTS" numFmtId="0">
      <sharedItems count="7">
        <s v="Burglary - Residence"/>
        <s v="Burglary - Commercial, Alarm - Burglar"/>
        <s v="Burglary - Commercial, Suspicious Incident"/>
        <s v="Burglary - Commercial, Hindering Apprehension, Resisting Arrest/Eluding"/>
        <s v="Burglary - Residence, Harassment, Domestic Violence" u="1"/>
        <s v="Violation of Court Order, Burglary - Residence, Harassment" u="1"/>
        <s v="Assist Other Agency, Burglary - Residence" u="1"/>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5" maxValue="9"/>
    </cacheField>
    <cacheField name="Narrative" numFmtId="0">
      <sharedItems longText="1"/>
    </cacheField>
    <cacheField name="Total Value Stolen" numFmtId="0">
      <sharedItems containsString="0" containsBlank="1" containsNumber="1" containsInteger="1" minValue="50300" maxValue="50300"/>
    </cacheField>
    <cacheField name="Total Value Recover" numFmtId="0">
      <sharedItems containsNonDate="0" containsString="0" containsBlank="1"/>
    </cacheField>
    <cacheField name="Registration 1" numFmtId="0">
      <sharedItems containsNonDate="0" containsString="0" containsBlank="1"/>
    </cacheField>
    <cacheField name="Make1" numFmtId="0">
      <sharedItems containsNonDate="0" containsString="0" containsBlank="1"/>
    </cacheField>
    <cacheField name="Model1" numFmtId="0">
      <sharedItems containsNonDate="0" containsString="0" containsBlank="1"/>
    </cacheField>
    <cacheField name="Reg State 1" numFmtId="0">
      <sharedItems containsNonDate="0" containsString="0" containsBlank="1"/>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ontainsBlank="1"/>
    </cacheField>
    <cacheField name="Case_Status" numFmtId="0">
      <sharedItems containsBlank="1"/>
    </cacheField>
    <cacheField name="NIBRS Classification" numFmtId="0">
      <sharedItems containsBlank="1"/>
    </cacheField>
    <cacheField name="CASE_NUMBER_LENGTH" numFmtId="0">
      <sharedItems containsSemiMixedTypes="0" containsString="0" containsNumber="1" containsInteger="1" minValue="9" maxValue="9"/>
    </cacheField>
    <cacheField name="Incident Date" numFmtId="167">
      <sharedItems containsSemiMixedTypes="0" containsNonDate="0" containsDate="1" containsString="0" minDate="2025-01-16T00:00:00" maxDate="2025-04-02T00:00:00"/>
    </cacheField>
    <cacheField name="Incident Time" numFmtId="172">
      <sharedItems containsSemiMixedTypes="0" containsNonDate="0" containsDate="1" containsString="0" minDate="1899-12-30T01:07:00" maxDate="1899-12-30T23:30:00"/>
    </cacheField>
    <cacheField name="Incident Date_Between" numFmtId="167">
      <sharedItems containsNonDate="0" containsDate="1" containsString="0" containsBlank="1" minDate="2025-01-16T00:00:00" maxDate="2025-04-05T00:00:00"/>
    </cacheField>
    <cacheField name="Incident Time_Between" numFmtId="172">
      <sharedItems containsNonDate="0" containsDate="1" containsString="0" containsBlank="1" minDate="1899-12-30T00:36:00" maxDate="1899-12-30T18:00:00"/>
    </cacheField>
    <cacheField name="Report Date" numFmtId="167">
      <sharedItems containsSemiMixedTypes="0" containsNonDate="0" containsDate="1" containsString="0" minDate="2025-01-16T00:00:00" maxDate="2025-04-05T00:00:00"/>
    </cacheField>
    <cacheField name="Report Time" numFmtId="172">
      <sharedItems containsSemiMixedTypes="0" containsNonDate="0" containsDate="1" containsString="0" minDate="1899-12-30T02:57:41" maxDate="1899-12-30T22:43:12"/>
    </cacheField>
    <cacheField name="Year" numFmtId="0">
      <sharedItems containsSemiMixedTypes="0" containsString="0" containsNumber="1" containsInteger="1" minValue="2025" maxValue="2025"/>
    </cacheField>
    <cacheField name="Week of Year" numFmtId="169">
      <sharedItems containsSemiMixedTypes="0" containsString="0" containsNumber="1" containsInteger="1" minValue="3" maxValue="14"/>
    </cacheField>
    <cacheField name="Week of Month" numFmtId="169">
      <sharedItems containsSemiMixedTypes="0" containsString="0" containsNumber="1" containsInteger="1" minValue="1" maxValue="6"/>
    </cacheField>
    <cacheField name="Day" numFmtId="169">
      <sharedItems containsSemiMixedTypes="0" containsString="0" containsNumber="1" containsInteger="1" minValue="1" maxValue="31"/>
    </cacheField>
    <cacheField name="Day of Year" numFmtId="170">
      <sharedItems containsSemiMixedTypes="0" containsString="0" containsNumber="1" containsInteger="1" minValue="16" maxValue="91"/>
    </cacheField>
    <cacheField name="INC_DATE_AND_TIME" numFmtId="171">
      <sharedItems containsSemiMixedTypes="0" containsNonDate="0" containsDate="1" containsString="0" minDate="2025-01-16T12:00:00" maxDate="2025-04-01T12:00:00"/>
    </cacheField>
    <cacheField name="St#" numFmtId="0">
      <sharedItems containsSemiMixedTypes="0" containsString="0" containsNumber="1" containsInteger="1" minValue="1" maxValue="441"/>
    </cacheField>
    <cacheField name="Notes" numFmtId="0">
      <sharedItems longText="1"/>
    </cacheField>
    <cacheField name="VEHICLE" numFmtId="0">
      <sharedItems containsNonDate="0" containsString="0" containsBlank="1"/>
    </cacheField>
    <cacheField name="Suspect" numFmtId="0">
      <sharedItems longText="1"/>
    </cacheField>
    <cacheField name="TOTAL_STOLEN_AMOUNT" numFmtId="0">
      <sharedItems longText="1"/>
    </cacheField>
    <cacheField name="REPORT_CYCLE" numFmtId="0">
      <sharedItems/>
    </cacheField>
    <cacheField name="TIME_OF_DAY" numFmtId="0">
      <sharedItems count="4">
        <s v="Afternoon (12:00-15:59)"/>
        <s v="Morning Peak (08:00-11:59)"/>
        <s v="Early Morning (00:00-03:59)"/>
        <s v="Night (20:00-23:59)"/>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2.017648842593" createdVersion="8" refreshedVersion="8" minRefreshableVersion="3" recordCount="9" xr:uid="{96E75BDE-3230-42EB-B217-2DEC5E125C21}">
  <cacheSource type="worksheet">
    <worksheetSource name="Robbery__2"/>
  </cacheSource>
  <cacheFields count="46">
    <cacheField name="Case Number" numFmtId="0">
      <sharedItems/>
    </cacheField>
    <cacheField name="INC_DATE" numFmtId="14">
      <sharedItems containsSemiMixedTypes="0" containsNonDate="0" containsDate="1" containsString="0" minDate="2025-01-13T00:00:00" maxDate="2025-03-26T00:00:00" count="8">
        <d v="2025-01-13T00:00:00"/>
        <d v="2025-01-14T00:00:00"/>
        <d v="2025-01-16T00:00:00"/>
        <d v="2025-02-02T00:00:00"/>
        <d v="2025-02-03T00:00:00"/>
        <d v="2025-02-13T00:00:00"/>
        <d v="2025-03-04T00:00:00"/>
        <d v="2025-03-25T00:00:00"/>
      </sharedItems>
    </cacheField>
    <cacheField name="TIME_OF_DAY" numFmtId="0">
      <sharedItems count="5">
        <s v="Afternoon (12:00-15:59)"/>
        <s v="Night (20:00-23:59)"/>
        <s v="Evening Peak (16:00-19:59)"/>
        <s v="Early Morning (00:00-03:59)"/>
        <s v="Morning Peak (08:00-11:59)"/>
      </sharedItems>
    </cacheField>
    <cacheField name="Start of Hour" numFmtId="172">
      <sharedItems containsSemiMixedTypes="0" containsNonDate="0" containsDate="1" containsString="0" minDate="1899-12-30T02:00:00" maxDate="1899-12-30T21:00:00"/>
    </cacheField>
    <cacheField name="INC_TIME" numFmtId="172">
      <sharedItems containsSemiMixedTypes="0" containsNonDate="0" containsDate="1" containsString="0" minDate="1899-12-30T02:00:00" maxDate="1899-12-30T21:03:00"/>
    </cacheField>
    <cacheField name="Day Name" numFmtId="0">
      <sharedItems count="4">
        <s v="Mon"/>
        <s v="Tue"/>
        <s v="Thur"/>
        <s v="Sun"/>
      </sharedItems>
    </cacheField>
    <cacheField name="Month Name" numFmtId="0">
      <sharedItems/>
    </cacheField>
    <cacheField name="BLOCK" numFmtId="0">
      <sharedItems/>
    </cacheField>
    <cacheField name="Location" numFmtId="0">
      <sharedItems/>
    </cacheField>
    <cacheField name="ALL_INCIDENTS" numFmtId="0">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5" maxValue="9"/>
    </cacheField>
    <cacheField name="Narrative" numFmtId="0">
      <sharedItems longText="1"/>
    </cacheField>
    <cacheField name="Total Value Stolen" numFmtId="0">
      <sharedItems containsNonDate="0" containsString="0" containsBlank="1"/>
    </cacheField>
    <cacheField name="Total Value Recover" numFmtId="0">
      <sharedItems containsNonDate="0" containsString="0" containsBlank="1"/>
    </cacheField>
    <cacheField name="Registration 1" numFmtId="0">
      <sharedItems containsBlank="1"/>
    </cacheField>
    <cacheField name="Make1" numFmtId="0">
      <sharedItems containsBlank="1"/>
    </cacheField>
    <cacheField name="Model1" numFmtId="0">
      <sharedItems containsBlank="1"/>
    </cacheField>
    <cacheField name="Reg State 1" numFmtId="0">
      <sharedItems containsBlank="1"/>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acheField>
    <cacheField name="Case_Status" numFmtId="0">
      <sharedItems/>
    </cacheField>
    <cacheField name="NIBRS Classification" numFmtId="0">
      <sharedItems containsBlank="1"/>
    </cacheField>
    <cacheField name="Year" numFmtId="0">
      <sharedItems containsSemiMixedTypes="0" containsString="0" containsNumber="1" containsInteger="1" minValue="2025" maxValue="2025"/>
    </cacheField>
    <cacheField name="Week of Year" numFmtId="0">
      <sharedItems containsSemiMixedTypes="0" containsString="0" containsNumber="1" containsInteger="1" minValue="3" maxValue="13"/>
    </cacheField>
    <cacheField name="Week of Month" numFmtId="0">
      <sharedItems containsSemiMixedTypes="0" containsString="0" containsNumber="1" containsInteger="1" minValue="2" maxValue="5"/>
    </cacheField>
    <cacheField name="Day" numFmtId="0">
      <sharedItems containsSemiMixedTypes="0" containsString="0" containsNumber="1" containsInteger="1" minValue="2" maxValue="25"/>
    </cacheField>
    <cacheField name="Day of Year" numFmtId="0">
      <sharedItems containsSemiMixedTypes="0" containsString="0" containsNumber="1" containsInteger="1" minValue="13" maxValue="84"/>
    </cacheField>
    <cacheField name="INC_DATE_AND_TIME" numFmtId="22">
      <sharedItems containsSemiMixedTypes="0" containsNonDate="0" containsDate="1" containsString="0" minDate="2025-01-13T12:05:00" maxDate="2025-03-25T11:37:00"/>
    </cacheField>
    <cacheField name="St#" numFmtId="0">
      <sharedItems containsSemiMixedTypes="0" containsString="0" containsNumber="1" containsInteger="1" minValue="128" maxValue="630"/>
    </cacheField>
    <cacheField name="Notes" numFmtId="0">
      <sharedItems longText="1"/>
    </cacheField>
    <cacheField name="VEHICLE" numFmtId="0">
      <sharedItems containsBlank="1"/>
    </cacheField>
    <cacheField name="Suspect" numFmtId="0">
      <sharedItems longText="1"/>
    </cacheField>
    <cacheField name="TOTAL_STOLEN_AMOUNT" numFmtId="0">
      <sharedItems longText="1"/>
    </cacheField>
    <cacheField name="REPORT_CYCL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25-002564"/>
    <x v="0"/>
    <x v="0"/>
    <x v="0"/>
    <d v="1899-12-30T14:00:00"/>
    <x v="0"/>
    <s v="January"/>
    <s v="First St, 100 Block"/>
    <s v="135 First Street"/>
    <x v="0"/>
    <s v="Criminal Sexual Contact"/>
    <s v="Juvenile Investigation"/>
    <s v=""/>
    <s v="135 First Street, Hackensack, NJ, 07601"/>
    <s v="G3"/>
    <n v="7"/>
    <s v="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
    <m/>
    <m/>
    <m/>
    <m/>
    <m/>
    <m/>
    <m/>
    <m/>
    <m/>
    <m/>
    <s v="Dominguez_L"/>
    <s v="Complete"/>
    <s v="Det. Cristobal Lara-Nunez 341"/>
    <s v="STA"/>
    <s v="Det. Evelyn Reyes 336"/>
    <s v="Active/Administratively Closed"/>
    <s v="11D = Fondling"/>
    <n v="9"/>
    <d v="2025-01-07T00:00:00"/>
    <d v="1899-12-30T14:00:00"/>
    <m/>
    <m/>
    <d v="2025-01-10T00:00:00"/>
    <d v="1899-12-30T14:20:51"/>
    <n v="2025"/>
    <n v="2"/>
    <n v="2"/>
    <n v="7"/>
    <n v="7"/>
    <d v="2025-01-07T14:00:00"/>
    <n v="135"/>
    <s v="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
    <m/>
    <s v="suspect who is also student suspect was identified as manuel martinez perez suspect and his cousin esmeralda perez martinez who is a potential witness suspect gave her a hug suspect suspect suspect suspect touch the victim because she was busy doing her class work suspect suspect"/>
    <s v=""/>
    <s v="C01W02"/>
    <x v="0"/>
  </r>
  <r>
    <s v="25-006324"/>
    <x v="1"/>
    <x v="0"/>
    <x v="1"/>
    <d v="1899-12-30T15:00:00"/>
    <x v="1"/>
    <s v="January"/>
    <s v=" Berdan Pl, 100 Block"/>
    <s v="176  Berdan Place"/>
    <x v="1"/>
    <s v="Sexual Assault"/>
    <s v="Juvenile Investigation"/>
    <s v=""/>
    <s v="176  Berdan Place, Hackensack, NJ, 07601"/>
    <s v="H3"/>
    <n v="8"/>
    <s v="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
    <m/>
    <m/>
    <m/>
    <m/>
    <m/>
    <m/>
    <m/>
    <m/>
    <m/>
    <m/>
    <s v="Bay_F"/>
    <s v="Complete"/>
    <s v="Det. Frankie Garrett 323"/>
    <s v="DET"/>
    <s v="Det. Evelyn Reyes 336"/>
    <s v="TOT DCP&amp;P"/>
    <m/>
    <n v="9"/>
    <d v="2025-01-23T00:00:00"/>
    <d v="1899-12-30T15:00:00"/>
    <m/>
    <m/>
    <d v="2025-01-23T00:00:00"/>
    <d v="1899-12-30T15:58:15"/>
    <n v="2025"/>
    <n v="4"/>
    <n v="4"/>
    <n v="23"/>
    <n v="23"/>
    <d v="2025-01-23T15:00:00"/>
    <n v="176"/>
    <s v="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
    <m/>
    <s v="suspect"/>
    <s v=""/>
    <s v="C01W04"/>
    <x v="0"/>
  </r>
  <r>
    <s v="25-013527"/>
    <x v="2"/>
    <x v="1"/>
    <x v="2"/>
    <d v="1899-12-30T20:00:00"/>
    <x v="2"/>
    <s v="February"/>
    <s v=" Prospect Ave, 200 Block"/>
    <s v="240  Prospect Avenue"/>
    <x v="2"/>
    <s v="Exceptionally Cleared/Closed"/>
    <s v="Sexual Assault"/>
    <s v=""/>
    <s v="240  Prospect Avenue, Hackensack, NJ, 07601"/>
    <s v="H4"/>
    <n v="8"/>
    <s v="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
    <m/>
    <m/>
    <m/>
    <m/>
    <m/>
    <m/>
    <m/>
    <m/>
    <m/>
    <m/>
    <s v="Bay_F"/>
    <s v="Complete"/>
    <s v="Det. Matthew Dogali 338"/>
    <s v="DET"/>
    <s v="Det. Matthew Dogali 338"/>
    <s v="Ex-Cleared / Closed"/>
    <m/>
    <n v="9"/>
    <d v="2025-02-17T00:00:00"/>
    <d v="1899-12-30T20:00:00"/>
    <d v="2025-02-17T00:00:00"/>
    <d v="1899-12-30T23:45:00"/>
    <d v="2025-02-18T00:00:00"/>
    <d v="1899-12-30T17:39:20"/>
    <n v="2025"/>
    <n v="8"/>
    <n v="4"/>
    <n v="17"/>
    <n v="48"/>
    <d v="2025-02-17T20:00:00"/>
    <n v="240"/>
    <s v="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
    <m/>
    <s v="suspect akashpreet riar on february 17, 2025 suspect is a teacher's assistant at the new york college of podiatric medicine, where she attends suspect because she was looking for a tutor and he offered to help her suspect picked up the victim in a blue honda (unknown registration) from her residence in new york city at approximately 1930 hours suspect arrived at the  suspect's apartment (240 prospect avenue, unknown apartment) suspect were studying for approximately 1 hours, before both parties started to have a few drinks of alcohol suspect started to approach her and speak in a sexual manner suspect started to grope her breasts, buttocks and thighs while trying to kiss her neck suspect suspect forced his way into the bathroom suspect forced her to pull down her pants and shoved his hand down the front of her pants suspect began to digitally penetrate the victim's vagina suspect to stop but felt like she had no control over the situation suspect inserted his penis into her vagina against her will suspect ejaculated next to the victim suspect called an uber for her and she took the ride share back to nyc"/>
    <s v=""/>
    <s v="C02W07"/>
    <x v="1"/>
  </r>
  <r>
    <s v="25-014007"/>
    <x v="3"/>
    <x v="0"/>
    <x v="3"/>
    <d v="1899-12-30T12:52:04"/>
    <x v="0"/>
    <s v="February"/>
    <s v="Union St, 300 Block"/>
    <s v="360 Union Street"/>
    <x v="3"/>
    <s v="Sexual Assault"/>
    <s v=""/>
    <s v=""/>
    <s v="360 Union Street, Hackensack, NJ, 07601"/>
    <s v="H2"/>
    <n v="8"/>
    <s v="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Det. Reyes was advised all investigation turned over to Dete"/>
    <m/>
    <m/>
    <m/>
    <m/>
    <m/>
    <m/>
    <m/>
    <m/>
    <m/>
    <m/>
    <s v="Deleon_A"/>
    <s v="Complete"/>
    <s v="P.O. Angie Tabares 363"/>
    <s v="A3"/>
    <s v="Det. Frankie Garrett 323"/>
    <s v="Cleared - Arrest"/>
    <s v="36A = Incest"/>
    <n v="9"/>
    <d v="2017-06-20T00:00:00"/>
    <d v="1899-12-30T12:52:04"/>
    <d v="2024-09-20T00:00:00"/>
    <m/>
    <d v="2025-02-20T00:00:00"/>
    <d v="1899-12-30T12:52:04"/>
    <n v="2017"/>
    <n v="25"/>
    <n v="4"/>
    <n v="20"/>
    <n v="171"/>
    <d v="2017-06-20T12:52:00"/>
    <n v="360"/>
    <s v="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Det. Reyes was advised all investigation turned over to Dete"/>
    <m/>
    <s v=""/>
    <s v=""/>
    <s v="C02W08"/>
    <x v="0"/>
  </r>
  <r>
    <s v="25-026716"/>
    <x v="4"/>
    <x v="1"/>
    <x v="4"/>
    <d v="1899-12-30T21:35:00"/>
    <x v="3"/>
    <s v="April"/>
    <s v="Union St, 200 Block"/>
    <s v="260 Union Street"/>
    <x v="4"/>
    <s v="Mental Health Incident"/>
    <s v="Sexual Assault"/>
    <s v="Juvenile Investigation"/>
    <s v="260 Union Street, Hackensack, NJ, 07601"/>
    <s v="H2"/>
    <n v="8"/>
    <s v="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quot;You dumb bitch's I ain't telling yall that yall but I going my gang to shoot this place up.&quot; Janice Reid further reported that that A.M.C. kept threatening to get a gang to shoot up the Holly Center.       While on scene, A.M.C. made statements that she wanted &quot;to go down for attempted murder&quot;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
    <m/>
    <m/>
    <m/>
    <m/>
    <m/>
    <m/>
    <m/>
    <m/>
    <m/>
    <m/>
    <s v="Klosk_J"/>
    <s v="Complete"/>
    <s v="P.O. Christian Alvarez 364"/>
    <s v="B1"/>
    <s v="Det. Frankie Garrett 323"/>
    <s v="TOT DCP&amp;P"/>
    <m/>
    <n v="9"/>
    <d v="2025-04-02T00:00:00"/>
    <d v="1899-12-30T21:35:00"/>
    <m/>
    <m/>
    <d v="2025-04-02T00:00:00"/>
    <d v="1899-12-30T21:40:41"/>
    <n v="2025"/>
    <n v="14"/>
    <n v="1"/>
    <n v="2"/>
    <n v="92"/>
    <d v="2025-04-02T21:35:00"/>
    <n v="260"/>
    <s v="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quot;You dumb bitch's I ain't telling yall that yall but I going my gang to shoot this place up.&quot; Janice Reid further reported that that A.M.C. kept threatening to get a gang to shoot up the Holly Center.       While on scene, A.M.C. made statements that she wanted &quot;to go down for attempted murder&quot;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
    <m/>
    <s v=""/>
    <s v=""/>
    <s v="C04W14"/>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25-000813"/>
    <x v="0"/>
    <x v="0"/>
    <d v="1899-12-30T21:00:00"/>
    <d v="1899-12-30T21:30:00"/>
    <x v="0"/>
    <s v="January"/>
    <s v="Lookout Ave, 300 Block"/>
    <s v="309 Lookout Avenue"/>
    <x v="0"/>
    <s v="Motor Vehicle Theft"/>
    <s v=""/>
    <s v=""/>
    <s v="309 Lookout Avenue, Hackensack, NJ, 07601"/>
    <s v="I2"/>
    <n v="9"/>
    <s v="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
    <m/>
    <m/>
    <s v="W46ULY"/>
    <s v="HONDA"/>
    <s v="ACC"/>
    <s v="NJ"/>
    <m/>
    <m/>
    <m/>
    <m/>
    <s v="Klosk_J"/>
    <s v="Complete"/>
    <s v="P.O. Nicholas Mazzaccaro 377"/>
    <s v="B4"/>
    <s v="Det. Robert Ghirardi 150"/>
    <s v="Active/Administratively Closed"/>
    <s v="240 = Theft of Motor Vehicle"/>
    <n v="9"/>
    <d v="2025-01-03T00:00:00"/>
    <d v="1899-12-30T21:30:00"/>
    <d v="2025-01-04T00:00:00"/>
    <d v="1899-12-30T06:25:00"/>
    <d v="2025-01-04T00:00:00"/>
    <d v="1899-12-30T10:59:09"/>
    <n v="2025"/>
    <n v="1"/>
    <n v="1"/>
    <n v="3"/>
    <n v="3"/>
    <d v="2025-01-03T21:30:00"/>
    <n v="309"/>
    <s v="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
    <s v="Vehicle 1: NJ-W46ULY HONDA, ACC"/>
    <s v="suspect(s) are identified"/>
    <s v=""/>
    <s v="C01W01"/>
    <x v="0"/>
  </r>
  <r>
    <s v="25-004097"/>
    <x v="1"/>
    <x v="1"/>
    <d v="1899-12-30T12:00:00"/>
    <d v="1899-12-30T12:57:26"/>
    <x v="1"/>
    <s v="January"/>
    <s v="First St, 200 Block"/>
    <s v="244 First Street"/>
    <x v="0"/>
    <s v="Motor Vehicle Theft"/>
    <s v=""/>
    <s v=""/>
    <s v="244 First Street, Hackensack, NJ, 07601"/>
    <s v="H3"/>
    <n v="8"/>
    <s v="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240 First Street has cameras in the general direction of where the vehicle was parked. It is unknown at this time if they captured the incident occur.Insurance Information: Company: Geico (369)Policy Number: 6183163036The driver was provided with a completed New Jersey Victim Notification Form.The driver wished to have the vehicle processed if located and a Hackensack Police Consent to Search from was completed.The vehicle was entered into NCIC as stolen by Communications.The vehicle was entered into ATTF as stolen."/>
    <m/>
    <m/>
    <s v="U38ULG"/>
    <s v="HONDA"/>
    <s v="CIV"/>
    <s v="NJ"/>
    <m/>
    <m/>
    <m/>
    <m/>
    <s v="Swetits_M"/>
    <s v="Complete"/>
    <s v="P.O. Frank Lorenzo 371"/>
    <s v="b1"/>
    <s v="Det. Matthew DeBonis 325"/>
    <s v="Active/Administratively Closed"/>
    <s v="240 = Theft of Motor Vehicle"/>
    <n v="9"/>
    <d v="2025-01-15T00:00:00"/>
    <d v="1899-12-30T12:57:26"/>
    <m/>
    <m/>
    <d v="2025-01-15T00:00:00"/>
    <d v="1899-12-30T12:57:26"/>
    <n v="2025"/>
    <n v="3"/>
    <n v="3"/>
    <n v="15"/>
    <n v="15"/>
    <d v="2025-01-15T12:57:00"/>
    <n v="244"/>
    <s v="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240 First Street has cameras in the general direction of where the vehicle was parked. It is unknown at this time if they captured the incident occur.Insurance Information: Company: Geico (369)Policy Number: 6183163036The driver was provided with a completed New Jersey Victim Notification Form.The driver wished to have the vehicle processed if located and a Hackensack Police Consent to Search from was completed.The vehicle was entered into NCIC as stolen by Communications.The vehicle was entered into ATTF as stolen."/>
    <s v="Vehicle 1: NJ-U38ULG HONDA, CIV"/>
    <s v="suspected to be from his rear passenger side window"/>
    <s v="$50,000.00 as the vehicle was fairly new. He further reported he attempted to track the vehicle as it contains tracking equipment but was unsuccessful as it was not connecting"/>
    <s v="C01W03"/>
    <x v="1"/>
  </r>
  <r>
    <s v="25-005871"/>
    <x v="2"/>
    <x v="2"/>
    <d v="1899-12-30T19:00:00"/>
    <d v="1899-12-30T19:00:00"/>
    <x v="2"/>
    <s v="January"/>
    <s v="Ross Ave, 0 Block"/>
    <s v="33 Ross Avenue"/>
    <x v="0"/>
    <s v="Motor Vehicle Theft"/>
    <s v=""/>
    <s v=""/>
    <s v="33 Ross Avenue, Hackensack, NJ, 07601"/>
    <s v="I1"/>
    <n v="9"/>
    <s v="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
    <m/>
    <m/>
    <s v="U22RSV"/>
    <s v="HONDA"/>
    <s v="PAS"/>
    <s v="NJ"/>
    <m/>
    <m/>
    <m/>
    <m/>
    <s v="Tovbin_S"/>
    <s v="Complete"/>
    <s v="P.O. Roselys Salas 369"/>
    <s v="B4"/>
    <s v="Det. John Tanucilli 335"/>
    <s v="Active/Administratively Closed"/>
    <s v="240 = Theft of Motor Vehicle"/>
    <n v="9"/>
    <d v="2025-01-21T00:00:00"/>
    <d v="1899-12-30T19:00:00"/>
    <d v="2025-01-22T00:00:00"/>
    <d v="1899-12-30T03:09:00"/>
    <d v="2025-01-22T00:00:00"/>
    <d v="1899-12-30T03:10:53"/>
    <n v="2025"/>
    <n v="4"/>
    <n v="4"/>
    <n v="21"/>
    <n v="21"/>
    <d v="2025-01-21T19:00:00"/>
    <n v="33"/>
    <s v="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
    <s v="Vehicle 1: NJ-U22RSV HONDA, PAS"/>
    <s v=""/>
    <s v=""/>
    <s v="C01W04"/>
    <x v="2"/>
  </r>
  <r>
    <s v="25-006083"/>
    <x v="3"/>
    <x v="3"/>
    <d v="1899-12-30T08:00:00"/>
    <d v="1899-12-30T08:00:00"/>
    <x v="1"/>
    <s v="January"/>
    <s v="Hudson St, 400 Block"/>
    <s v="443 Hudson Street"/>
    <x v="0"/>
    <s v="Motor Vehicle Theft"/>
    <s v=""/>
    <s v=""/>
    <s v="443 Hudson Street, Hackensack, NJ, 07601"/>
    <s v="E3"/>
    <n v="5"/>
    <s v="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quot;the vehicle was towed off the property early morning and he got some money for it.&quo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
    <m/>
    <m/>
    <s v="Y62SRJ"/>
    <s v="NISSAN"/>
    <s v="PTH"/>
    <s v="NJ"/>
    <m/>
    <m/>
    <m/>
    <m/>
    <s v="Swetits_M"/>
    <s v="Complete"/>
    <s v="P.O. Roselys Salas 369"/>
    <s v="B4"/>
    <s v="Det. Demetrius Carroll 133"/>
    <s v="Active/Administratively Closed"/>
    <s v="240 = Theft of Motor Vehicle"/>
    <n v="9"/>
    <d v="2025-01-22T00:00:00"/>
    <d v="1899-12-30T08:00:00"/>
    <d v="2025-01-22T00:00:00"/>
    <d v="1899-12-30T19:13:00"/>
    <d v="2025-01-22T00:00:00"/>
    <d v="1899-12-30T19:14:56"/>
    <n v="2025"/>
    <n v="4"/>
    <n v="4"/>
    <n v="22"/>
    <n v="22"/>
    <d v="2025-01-22T08:00:00"/>
    <n v="443"/>
    <s v="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quot;the vehicle was towed off the property early morning and he got some money for it.&quo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
    <s v="Vehicle 1: NJ-Y62SRJ NISSAN, PTH"/>
    <s v=""/>
    <s v=""/>
    <s v="C01W04"/>
    <x v="3"/>
  </r>
  <r>
    <s v="25-008075"/>
    <x v="4"/>
    <x v="1"/>
    <d v="1899-12-30T15:00:00"/>
    <d v="1899-12-30T15:00:00"/>
    <x v="2"/>
    <s v="January"/>
    <s v="Essex St, 100 Block"/>
    <s v="119 Essex Street"/>
    <x v="1"/>
    <s v="Motor Vehicle Theft"/>
    <s v="Theft"/>
    <s v=""/>
    <s v="119 Essex Street, Hackensack, NJ, 07601"/>
    <s v="F1"/>
    <n v="6"/>
    <s v="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
    <m/>
    <m/>
    <s v="K84CXU"/>
    <s v="LEXUS"/>
    <s v="ES"/>
    <s v="NJ"/>
    <m/>
    <m/>
    <m/>
    <m/>
    <s v="Swetits_M"/>
    <s v="Complete"/>
    <s v="P.O. Roselys Salas 369"/>
    <s v="B4"/>
    <s v="Det. Matthew DeBonis 325"/>
    <s v="Ex-Cleared / Closed"/>
    <s v="240 = Theft of Motor Vehicle"/>
    <n v="9"/>
    <d v="2025-01-28T00:00:00"/>
    <d v="1899-12-30T15:00:00"/>
    <d v="2025-01-29T00:00:00"/>
    <d v="1899-12-30T22:01:00"/>
    <d v="2025-01-29T00:00:00"/>
    <d v="1899-12-30T22:02:24"/>
    <n v="2025"/>
    <n v="5"/>
    <n v="5"/>
    <n v="28"/>
    <n v="28"/>
    <d v="2025-01-28T15:00:00"/>
    <n v="119"/>
    <s v="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
    <s v="Vehicle 1: NJ-K84CXU LEXUS, ES"/>
    <s v=""/>
    <s v="$800.00 USD."/>
    <s v="C02W05"/>
    <x v="1"/>
  </r>
  <r>
    <s v="25-010788"/>
    <x v="5"/>
    <x v="1"/>
    <d v="1899-12-30T12:00:00"/>
    <d v="1899-12-30T12:00:00"/>
    <x v="0"/>
    <s v="January"/>
    <s v="Hudson St, 500 Block"/>
    <s v="535 Hudson Street"/>
    <x v="0"/>
    <s v="Motor Vehicle Theft"/>
    <s v=""/>
    <s v=""/>
    <s v="535 Hudson Street, Hackensack, NJ, 07601"/>
    <s v="E3"/>
    <n v="5"/>
    <s v="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
    <m/>
    <m/>
    <s v="S70MPZ"/>
    <m/>
    <s v="CIV"/>
    <s v="NJ"/>
    <m/>
    <m/>
    <m/>
    <m/>
    <s v="Swetits_M"/>
    <s v="Complete"/>
    <s v="P.O. Daniel Francavilla 329"/>
    <s v="B4"/>
    <s v="Det. Matthew Dogali 338"/>
    <s v="Active/Administratively Closed"/>
    <s v="240 = Theft of Motor Vehicle"/>
    <n v="9"/>
    <d v="2025-01-31T00:00:00"/>
    <d v="1899-12-30T12:00:00"/>
    <d v="2025-02-07T00:00:00"/>
    <d v="1899-12-30T13:00:00"/>
    <d v="2025-02-08T00:00:00"/>
    <d v="1899-12-30T09:22:04"/>
    <n v="2025"/>
    <n v="5"/>
    <n v="5"/>
    <n v="31"/>
    <n v="31"/>
    <d v="2025-01-31T12:00:00"/>
    <n v="535"/>
    <s v="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
    <s v="Vehicle 1: NJ-S70MPZ"/>
    <s v=""/>
    <s v="$6,000.00.  A victim notification form was completed, and the vehicle was entered into N"/>
    <s v="C02W05"/>
    <x v="1"/>
  </r>
  <r>
    <s v="25-008777"/>
    <x v="6"/>
    <x v="4"/>
    <d v="1899-12-30T01:00:00"/>
    <d v="1899-12-30T01:00:00"/>
    <x v="3"/>
    <s v="February"/>
    <s v="Sutton Ave, 400 Block"/>
    <s v="453 Sutton Avenue"/>
    <x v="0"/>
    <s v="Motor Vehicle Theft"/>
    <s v=""/>
    <s v=""/>
    <s v="453 Sutton Avenue, Hackensack, NJ, 07601"/>
    <s v="F2"/>
    <n v="6"/>
    <s v="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
    <m/>
    <m/>
    <s v="P77UZJ"/>
    <s v="FORD"/>
    <s v="CRO"/>
    <s v="NJ"/>
    <m/>
    <m/>
    <m/>
    <m/>
    <s v="Swetits_M"/>
    <s v="Complete"/>
    <s v="P.O. Roselys Salas 369"/>
    <s v="B4"/>
    <s v="Det. Demetrius Carroll 133"/>
    <s v="Active/Administratively Closed"/>
    <s v="240 = Theft of Motor Vehicle"/>
    <n v="9"/>
    <d v="2025-02-01T00:00:00"/>
    <d v="1899-12-30T01:00:00"/>
    <m/>
    <d v="1899-12-30T02:30:00"/>
    <d v="2025-02-01T00:00:00"/>
    <d v="1899-12-30T02:52:33"/>
    <n v="2025"/>
    <n v="5"/>
    <n v="1"/>
    <n v="1"/>
    <n v="32"/>
    <d v="2025-02-01T01:00:00"/>
    <n v="453"/>
    <s v="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
    <s v="Vehicle 1: NJ-P77UZJ FORD, CRO"/>
    <s v=""/>
    <s v="$30.00 USD."/>
    <s v="C02W05"/>
    <x v="4"/>
  </r>
  <r>
    <s v="25-009657"/>
    <x v="7"/>
    <x v="2"/>
    <d v="1899-12-30T18:00:00"/>
    <d v="1899-12-30T18:30:00"/>
    <x v="4"/>
    <s v="February"/>
    <s v="Midtown Bridge Approach, 0 Block"/>
    <s v="55 Midtown Bridge Approach"/>
    <x v="0"/>
    <s v="Motor Vehicle Theft"/>
    <s v=""/>
    <s v=""/>
    <s v="55 Midtown Bridge Approach, Hackensack, NJ, 07601"/>
    <s v="H1"/>
    <n v="8"/>
    <s v="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Insurance Info: Self-InsuredCertificate #:S012Exp: 06/30/2025"/>
    <m/>
    <m/>
    <s v="AM82732"/>
    <s v="RAM"/>
    <s v="PROMASTER"/>
    <s v="AZ"/>
    <m/>
    <m/>
    <m/>
    <m/>
    <s v="Deleon_A"/>
    <s v="Complete"/>
    <s v="P.O. Micah Gibson 365"/>
    <s v="A3"/>
    <s v="Det. Matthew DeBonis 325"/>
    <s v="Complaint Signed"/>
    <s v="240 = Theft of Motor Vehicle"/>
    <n v="9"/>
    <d v="2025-02-03T00:00:00"/>
    <d v="1899-12-30T18:30:00"/>
    <d v="2025-02-04T00:00:00"/>
    <d v="1899-12-30T19:00:00"/>
    <d v="2025-02-04T00:00:00"/>
    <d v="1899-12-30T12:43:32"/>
    <n v="2025"/>
    <n v="6"/>
    <n v="2"/>
    <n v="3"/>
    <n v="34"/>
    <d v="2025-02-03T18:30:00"/>
    <n v="55"/>
    <s v="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Insurance Info: Self-InsuredCertificate #:S012Exp: 06/30/2025"/>
    <s v="Vehicle 1: AZ-AM82732 RAM, PROMASTER"/>
    <s v="suspect, where a brief verbal exchange is had suspect is then seen retrieving keys from a lock box, before entering the van and fleeing the area suspect, who acted as an employee of the business suspect and secured the keys in the lock box himself"/>
    <s v="$45,000.00.            The complainant has video footage of the incident, available upon request"/>
    <s v="C02W05"/>
    <x v="2"/>
  </r>
  <r>
    <s v="25-010474"/>
    <x v="8"/>
    <x v="5"/>
    <d v="1899-12-30T06:00:00"/>
    <d v="1899-12-30T06:35:00"/>
    <x v="0"/>
    <s v="February"/>
    <s v="Hudson St, 100 Block"/>
    <s v="170 Hudson Street"/>
    <x v="0"/>
    <s v="Motor Vehicle Theft"/>
    <s v=""/>
    <s v=""/>
    <s v="170 Hudson Street, Hackensack, NJ, 07601"/>
    <s v="E2"/>
    <n v="5"/>
    <s v="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A victim notification form was completed and a copy was given to the victim. The victim requested to have the vehicle process if located. The estimated value of the stolen auto is $2,000.00 Dollars."/>
    <m/>
    <m/>
    <s v="T12SSE"/>
    <s v="DODGE"/>
    <s v="CAR"/>
    <s v="NJ"/>
    <m/>
    <m/>
    <m/>
    <m/>
    <s v="Swetits_M"/>
    <s v="Complete"/>
    <s v="P.O. Matthew Tedesco 316"/>
    <s v="B3"/>
    <s v="Sgt. Francesco Tripodi 134"/>
    <s v="No Investigation"/>
    <s v="240 = Theft of Motor Vehicle"/>
    <n v="9"/>
    <d v="2025-02-07T00:00:00"/>
    <d v="1899-12-30T06:35:00"/>
    <d v="2025-02-07T00:00:00"/>
    <d v="1899-12-30T06:50:00"/>
    <d v="2025-02-07T00:00:00"/>
    <d v="1899-12-30T07:22:38"/>
    <n v="2025"/>
    <n v="6"/>
    <n v="2"/>
    <n v="7"/>
    <n v="38"/>
    <d v="2025-02-07T06:35:00"/>
    <n v="170"/>
    <s v="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A victim notification form was completed and a copy was given to the victim. The victim requested to have the vehicle process if located. The estimated value of the stolen auto is $2,000.00 Dollars."/>
    <s v="Vehicle 1: NJ-T12SSE DODGE, CAR"/>
    <s v=""/>
    <s v="$2,000.00 Dollars."/>
    <s v="C02W06"/>
    <x v="5"/>
  </r>
  <r>
    <s v="25-013091"/>
    <x v="9"/>
    <x v="3"/>
    <d v="1899-12-30T08:00:00"/>
    <d v="1899-12-30T08:22:14"/>
    <x v="4"/>
    <s v="February"/>
    <s v="Second St, 100 Block"/>
    <s v="100 Second Street"/>
    <x v="2"/>
    <s v="Motor Vehicle Theft"/>
    <s v="Recovered Stolen Vehicle"/>
    <s v=""/>
    <s v="100 Second Street, Hackensack, NJ, 07601"/>
    <s v="G3"/>
    <n v="7"/>
    <s v="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The vehicle registration was given to dispatch and was entered into NCIC. A stolen vehicle entry was made into the Auto Theft Task Force website.The vehicle's estimated value is approximately $22,000 USD.  See Rochelle Park Case #2025-002492."/>
    <m/>
    <m/>
    <s v="L17PUM"/>
    <s v="HONDA"/>
    <s v="ACC"/>
    <s v="NJ"/>
    <m/>
    <m/>
    <m/>
    <m/>
    <s v="Deleon_A"/>
    <s v="Complete"/>
    <s v="P.O. Ruben Almonte 359"/>
    <s v="A3"/>
    <s v="Det. Demetrius Carroll 133"/>
    <s v="Active Investigation"/>
    <s v="240 = Theft of Motor Vehicle"/>
    <n v="9"/>
    <d v="2025-02-17T00:00:00"/>
    <d v="1899-12-30T08:22:14"/>
    <m/>
    <m/>
    <d v="2025-02-17T00:00:00"/>
    <d v="1899-12-30T08:22:14"/>
    <n v="2025"/>
    <n v="8"/>
    <n v="4"/>
    <n v="17"/>
    <n v="48"/>
    <d v="2025-02-17T08:22:00"/>
    <n v="100"/>
    <s v="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The vehicle registration was given to dispatch and was entered into NCIC. A stolen vehicle entry was made into the Auto Theft Task Force website.The vehicle's estimated value is approximately $22,000 USD.  See Rochelle Park Case #2025-002492."/>
    <s v="Vehicle 1: NJ-L17PUM HONDA, ACC"/>
    <s v="suspect(s): unknown     the victim, kimberly trujillo, responded to police headquarters on a report of a motor vehicle theft"/>
    <s v="$22,000 USD.  See Rochelle Park Case #2025-002492."/>
    <s v="C02W07"/>
    <x v="3"/>
  </r>
  <r>
    <s v="25-013106"/>
    <x v="9"/>
    <x v="3"/>
    <d v="1899-12-30T09:00:00"/>
    <d v="1899-12-30T09:31:55"/>
    <x v="4"/>
    <s v="February"/>
    <s v="Prospect Ave, 0 Block"/>
    <s v="30 Prospect Avenue"/>
    <x v="0"/>
    <s v="Motor Vehicle Theft"/>
    <s v=""/>
    <s v=""/>
    <s v="30 Prospect Avenue, Hackensack, NJ, 07601"/>
    <s v="G4"/>
    <n v="7"/>
    <s v="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
    <m/>
    <m/>
    <s v="Z53RVG"/>
    <s v="HONDA"/>
    <s v="ACC"/>
    <s v="NJ"/>
    <m/>
    <m/>
    <m/>
    <m/>
    <s v="Deleon_A"/>
    <s v="Complete"/>
    <s v="P.O. Anzour Marza 356"/>
    <s v="A3"/>
    <s v="Det. Demetrius Carroll 133"/>
    <s v="Active/Administratively Closed"/>
    <s v="240 = Theft of Motor Vehicle"/>
    <n v="9"/>
    <d v="2025-02-17T00:00:00"/>
    <d v="1899-12-30T09:31:55"/>
    <m/>
    <m/>
    <d v="2025-02-17T00:00:00"/>
    <d v="1899-12-30T09:31:55"/>
    <n v="2025"/>
    <n v="8"/>
    <n v="4"/>
    <n v="17"/>
    <n v="48"/>
    <d v="2025-02-17T09:31:00"/>
    <n v="30"/>
    <s v="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
    <s v="Vehicle 1: NJ-Z53RVG HONDA, ACC"/>
    <s v=""/>
    <s v=""/>
    <s v="C02W07"/>
    <x v="3"/>
  </r>
  <r>
    <s v="25-015290"/>
    <x v="10"/>
    <x v="3"/>
    <d v="1899-12-30T10:00:00"/>
    <d v="1899-12-30T10:00:00"/>
    <x v="2"/>
    <s v="February"/>
    <s v="Washington Ave, 400 Block"/>
    <s v="430 Washington Avenue"/>
    <x v="0"/>
    <s v="Motor Vehicle Theft"/>
    <s v=""/>
    <s v=""/>
    <s v="430 Washington Avenue, Hackensack, NJ, 07601"/>
    <s v="E3"/>
    <n v="5"/>
    <s v="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
    <m/>
    <m/>
    <s v="8FL4661"/>
    <s v="HONDA"/>
    <s v="PILOT"/>
    <s v="MD"/>
    <m/>
    <m/>
    <m/>
    <m/>
    <s v="Klosk_J"/>
    <s v="Complete"/>
    <s v="P.O. Denisse Caero 367"/>
    <s v="B2"/>
    <m/>
    <m/>
    <m/>
    <n v="9"/>
    <d v="2025-02-25T00:00:00"/>
    <d v="1899-12-30T10:00:00"/>
    <d v="2025-02-25T00:00:00"/>
    <d v="1899-12-30T23:00:00"/>
    <d v="2025-02-24T00:00:00"/>
    <d v="1899-12-30T23:47:34"/>
    <n v="2025"/>
    <n v="9"/>
    <n v="5"/>
    <n v="25"/>
    <n v="56"/>
    <d v="2025-02-25T10:00:00"/>
    <n v="430"/>
    <s v="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
    <s v="Vehicle 1: MD-8FL4661 HONDA, PILOT"/>
    <s v=""/>
    <s v=""/>
    <s v="C03W09"/>
    <x v="3"/>
  </r>
  <r>
    <s v="25-022902"/>
    <x v="11"/>
    <x v="5"/>
    <d v="1899-12-30T07:00:00"/>
    <d v="1899-12-30T07:48:00"/>
    <x v="0"/>
    <s v="March"/>
    <s v="Kenneth St, 100 Block"/>
    <s v="171 Kenneth Street"/>
    <x v="0"/>
    <s v="Motor Vehicle Theft"/>
    <s v=""/>
    <s v=""/>
    <s v="171 Kenneth Street, Hackensack, NJ, 07601"/>
    <s v="F1"/>
    <n v="6"/>
    <s v="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
    <m/>
    <m/>
    <s v="JWG42F"/>
    <s v="CHEVROLET"/>
    <m/>
    <s v="NJ"/>
    <m/>
    <m/>
    <m/>
    <m/>
    <s v="Farhi_B"/>
    <s v="Complete"/>
    <s v="P.O. Andres Lopez 375"/>
    <s v="A2"/>
    <s v="Sgt. Francesco Tripodi 134"/>
    <s v="Under Supervisor Review"/>
    <m/>
    <n v="9"/>
    <d v="2025-03-21T00:00:00"/>
    <d v="1899-12-30T07:48:00"/>
    <m/>
    <m/>
    <d v="2025-03-21T00:00:00"/>
    <d v="1899-12-30T14:19:53"/>
    <n v="2025"/>
    <n v="12"/>
    <n v="4"/>
    <n v="21"/>
    <n v="80"/>
    <d v="2025-03-21T07:48:00"/>
    <n v="171"/>
    <s v="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
    <s v="Vehicle 1: NJ-JWG42F"/>
    <s v="suspect enters the van suspect proceeds to sit in the van for a couple of minutes before starting the vehicle south on kenneth st"/>
    <s v="$4,000.00."/>
    <s v="C03W12"/>
    <x v="5"/>
  </r>
  <r>
    <s v="25-025341"/>
    <x v="12"/>
    <x v="0"/>
    <d v="1899-12-30T20:00:00"/>
    <d v="1899-12-30T20:30:00"/>
    <x v="0"/>
    <s v="March"/>
    <s v="Berry St, 200 Block"/>
    <s v="296 Berry Street"/>
    <x v="0"/>
    <s v="Motor Vehicle Theft"/>
    <s v=""/>
    <s v=""/>
    <s v="296 Berry Street, Hackensack, NJ, 07601"/>
    <s v="H4"/>
    <n v="8"/>
    <s v="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We observed the vehicle door key lock on the dirt patch adjacent to the driveway. Victim was provided with a NJ Victim Notification form.Estimated cost of the vehicle is $50,000Insurance provider: Geico 100, policy #4587415441"/>
    <m/>
    <m/>
    <s v="T41VHN"/>
    <s v="ACURA"/>
    <s v="TLX"/>
    <s v="NJ"/>
    <m/>
    <m/>
    <m/>
    <m/>
    <s v="Competiello_Fa"/>
    <s v="Complete"/>
    <s v="P.O. Wanda Rivera 161"/>
    <s v="A1"/>
    <m/>
    <m/>
    <m/>
    <n v="9"/>
    <d v="2025-03-28T00:00:00"/>
    <d v="1899-12-30T20:30:00"/>
    <d v="2025-03-29T00:00:00"/>
    <d v="1899-12-30T10:00:00"/>
    <d v="2025-03-29T00:00:00"/>
    <d v="1899-12-30T10:19:00"/>
    <n v="2025"/>
    <n v="13"/>
    <n v="5"/>
    <n v="28"/>
    <n v="87"/>
    <d v="2025-03-28T20:30:00"/>
    <n v="296"/>
    <s v="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We observed the vehicle door key lock on the dirt patch adjacent to the driveway. Victim was provided with a NJ Victim Notification form.Estimated cost of the vehicle is $50,000Insurance provider: Geico 100, policy #4587415441"/>
    <s v="Vehicle 1: NJ-T41VHN ACURA, TLX"/>
    <s v=""/>
    <s v="$50,000Insurance provider: Geico 100, policy #4587415441"/>
    <s v="C04W13"/>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Complete"/>
    <s v="P.O. Ruben Almonte 359"/>
    <s v="A3"/>
    <s v="Det. Matthew DeBonis 325"/>
    <s v="Active/Administratively Closed"/>
    <s v="23F = Theft From Motor Vehicle"/>
    <n v="9"/>
    <d v="2025-01-06T00:00:00"/>
    <d v="1899-12-30T15:30:00"/>
    <d v="2025-01-10T00:00:00"/>
    <m/>
    <d v="2025-01-10T00:00:00"/>
    <d v="1899-12-30T19:49:52"/>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x v="0"/>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Complete"/>
    <s v="P.O. Massimo Gallorini 379"/>
    <s v="A2"/>
    <s v="Sgt. Franklin Bay 162"/>
    <s v="No Investigation"/>
    <s v="23F = Theft From Motor Vehicle"/>
    <n v="9"/>
    <d v="2025-01-25T00:00:00"/>
    <d v="1899-12-30T18:27:00"/>
    <m/>
    <m/>
    <d v="2025-01-26T00:00:00"/>
    <d v="1899-12-30T10:34:25"/>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x v="1"/>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Complete"/>
    <s v="P.O. Micah Gibson 365"/>
    <s v="A3"/>
    <s v="Det. Matthew Dogali 338"/>
    <s v="Active/Administratively Closed"/>
    <s v="23F = Theft From Motor Vehicle"/>
    <n v="9"/>
    <d v="2025-01-26T00:00:00"/>
    <d v="1899-12-30T20:10:00"/>
    <d v="2025-01-26T00:00:00"/>
    <d v="1899-12-30T20:19:00"/>
    <d v="2025-01-26T00:00:00"/>
    <d v="1899-12-30T20:24:08"/>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x v="2"/>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Complete"/>
    <s v="P.O. Angelo Vicale 370"/>
    <s v="B3"/>
    <s v="Det. Demetrius Carroll 133"/>
    <s v="Active Investigation"/>
    <s v="23F = Theft From Motor Vehicle"/>
    <n v="9"/>
    <d v="2025-02-13T00:00:00"/>
    <d v="1899-12-30T16:00:00"/>
    <m/>
    <m/>
    <d v="2025-02-14T00:00:00"/>
    <d v="1899-12-30T07:10:39"/>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x v="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Complete"/>
    <s v="P.O. Ruben Almonte 359"/>
    <s v="A3"/>
    <s v="Det. Matthew DeBonis 325"/>
    <s v="Active/Administratively Closed"/>
    <s v="23F = Theft From Motor Vehicle"/>
    <n v="9"/>
    <d v="2025-01-06T00:00:00"/>
    <d v="1899-12-30T15:30:00"/>
    <d v="2025-01-10T00:00:00"/>
    <m/>
    <d v="2025-01-10T00:00:00"/>
    <d v="1899-12-30T19:49:52"/>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x v="0"/>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Complete"/>
    <s v="P.O. Massimo Gallorini 379"/>
    <s v="A2"/>
    <s v="Sgt. Franklin Bay 162"/>
    <s v="No Investigation"/>
    <s v="23F = Theft From Motor Vehicle"/>
    <n v="9"/>
    <d v="2025-01-25T00:00:00"/>
    <d v="1899-12-30T18:27:00"/>
    <m/>
    <m/>
    <d v="2025-01-26T00:00:00"/>
    <d v="1899-12-30T10:34:25"/>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x v="1"/>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Complete"/>
    <s v="P.O. Micah Gibson 365"/>
    <s v="A3"/>
    <s v="Det. Matthew Dogali 338"/>
    <s v="Active/Administratively Closed"/>
    <s v="23F = Theft From Motor Vehicle"/>
    <n v="9"/>
    <d v="2025-01-26T00:00:00"/>
    <d v="1899-12-30T20:10:00"/>
    <d v="2025-01-26T00:00:00"/>
    <d v="1899-12-30T20:19:00"/>
    <d v="2025-01-26T00:00:00"/>
    <d v="1899-12-30T20:24:08"/>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x v="2"/>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Complete"/>
    <s v="P.O. Angelo Vicale 370"/>
    <s v="B3"/>
    <s v="Det. Demetrius Carroll 133"/>
    <s v="Active Investigation"/>
    <s v="23F = Theft From Motor Vehicle"/>
    <n v="9"/>
    <d v="2025-02-13T00:00:00"/>
    <d v="1899-12-30T16:00:00"/>
    <m/>
    <m/>
    <d v="2025-02-14T00:00:00"/>
    <d v="1899-12-30T07:10:39"/>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x v="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Complete"/>
    <s v="P.O. Ruben Almonte 359"/>
    <s v="A3"/>
    <s v="Det. Matthew DeBonis 325"/>
    <s v="Active/Administratively Closed"/>
    <s v="23F = Theft From Motor Vehicle"/>
    <n v="9"/>
    <d v="2025-01-06T00:00:00"/>
    <d v="1899-12-30T15:30:00"/>
    <d v="2025-01-10T00:00:00"/>
    <m/>
    <d v="2025-01-10T00:00:00"/>
    <d v="1899-12-30T19:49:52"/>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x v="0"/>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Complete"/>
    <s v="P.O. Massimo Gallorini 379"/>
    <s v="A2"/>
    <s v="Sgt. Franklin Bay 162"/>
    <s v="No Investigation"/>
    <s v="23F = Theft From Motor Vehicle"/>
    <n v="9"/>
    <d v="2025-01-25T00:00:00"/>
    <d v="1899-12-30T18:27:00"/>
    <m/>
    <m/>
    <d v="2025-01-26T00:00:00"/>
    <d v="1899-12-30T10:34:25"/>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x v="1"/>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Complete"/>
    <s v="P.O. Micah Gibson 365"/>
    <s v="A3"/>
    <s v="Det. Matthew Dogali 338"/>
    <s v="Active/Administratively Closed"/>
    <s v="23F = Theft From Motor Vehicle"/>
    <n v="9"/>
    <d v="2025-01-26T00:00:00"/>
    <d v="1899-12-30T20:10:00"/>
    <d v="2025-01-26T00:00:00"/>
    <d v="1899-12-30T20:19:00"/>
    <d v="2025-01-26T00:00:00"/>
    <d v="1899-12-30T20:24:08"/>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x v="2"/>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Complete"/>
    <s v="P.O. Angelo Vicale 370"/>
    <s v="B3"/>
    <s v="Det. Demetrius Carroll 133"/>
    <s v="Active Investigation"/>
    <s v="23F = Theft From Motor Vehicle"/>
    <n v="9"/>
    <d v="2025-02-13T00:00:00"/>
    <d v="1899-12-30T16:00:00"/>
    <m/>
    <m/>
    <d v="2025-02-14T00:00:00"/>
    <d v="1899-12-30T07:10:39"/>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x v="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Complete"/>
    <s v="P.O. Ruben Almonte 359"/>
    <s v="A3"/>
    <s v="Det. Matthew DeBonis 325"/>
    <s v="Active/Administratively Closed"/>
    <s v="23F = Theft From Motor Vehicle"/>
    <n v="9"/>
    <d v="2025-01-06T00:00:00"/>
    <d v="1899-12-30T15:30:00"/>
    <d v="2025-01-10T00:00:00"/>
    <m/>
    <d v="2025-01-10T00:00:00"/>
    <d v="1899-12-30T19:49:52"/>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x v="0"/>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Complete"/>
    <s v="P.O. Massimo Gallorini 379"/>
    <s v="A2"/>
    <s v="Sgt. Franklin Bay 162"/>
    <s v="No Investigation"/>
    <s v="23F = Theft From Motor Vehicle"/>
    <n v="9"/>
    <d v="2025-01-25T00:00:00"/>
    <d v="1899-12-30T18:27:00"/>
    <m/>
    <m/>
    <d v="2025-01-26T00:00:00"/>
    <d v="1899-12-30T10:34:25"/>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x v="1"/>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Complete"/>
    <s v="P.O. Micah Gibson 365"/>
    <s v="A3"/>
    <s v="Det. Matthew Dogali 338"/>
    <s v="Active/Administratively Closed"/>
    <s v="23F = Theft From Motor Vehicle"/>
    <n v="9"/>
    <d v="2025-01-26T00:00:00"/>
    <d v="1899-12-30T20:10:00"/>
    <d v="2025-01-26T00:00:00"/>
    <d v="1899-12-30T20:19:00"/>
    <d v="2025-01-26T00:00:00"/>
    <d v="1899-12-30T20:24:08"/>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x v="2"/>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Complete"/>
    <s v="P.O. Angelo Vicale 370"/>
    <s v="B3"/>
    <s v="Det. Demetrius Carroll 133"/>
    <s v="Active/Administratively Closed"/>
    <s v="23F = Theft From Motor Vehicle"/>
    <n v="9"/>
    <d v="2025-02-13T00:00:00"/>
    <d v="1899-12-30T16:00:00"/>
    <m/>
    <m/>
    <d v="2025-02-14T00:00:00"/>
    <d v="1899-12-30T07:10:39"/>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x v="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Complete"/>
    <s v="P.O. Ruben Almonte 359"/>
    <s v="A3"/>
    <s v="Det. Matthew DeBonis 325"/>
    <s v="Active/Administratively Closed"/>
    <s v="23F = Theft From Motor Vehicle"/>
    <n v="9"/>
    <d v="2025-01-06T00:00:00"/>
    <d v="1899-12-30T15:30:00"/>
    <d v="2025-01-10T00:00:00"/>
    <m/>
    <d v="2025-01-10T00:00:00"/>
    <d v="1899-12-30T19:49:52"/>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x v="0"/>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Complete"/>
    <s v="P.O. Massimo Gallorini 379"/>
    <s v="A2"/>
    <s v="Sgt. Franklin Bay 162"/>
    <s v="No Investigation"/>
    <s v="23F = Theft From Motor Vehicle"/>
    <n v="9"/>
    <d v="2025-01-25T00:00:00"/>
    <d v="1899-12-30T18:27:00"/>
    <m/>
    <m/>
    <d v="2025-01-26T00:00:00"/>
    <d v="1899-12-30T10:34:25"/>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x v="1"/>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Complete"/>
    <s v="P.O. Micah Gibson 365"/>
    <s v="A3"/>
    <s v="Det. Matthew Dogali 338"/>
    <s v="Active/Administratively Closed"/>
    <s v="23F = Theft From Motor Vehicle"/>
    <n v="9"/>
    <d v="2025-01-26T00:00:00"/>
    <d v="1899-12-30T20:10:00"/>
    <d v="2025-01-26T00:00:00"/>
    <d v="1899-12-30T20:19:00"/>
    <d v="2025-01-26T00:00:00"/>
    <d v="1899-12-30T20:24:08"/>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x v="2"/>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Complete"/>
    <s v="P.O. Angelo Vicale 370"/>
    <s v="B3"/>
    <s v="Det. Demetrius Carroll 133"/>
    <s v="Active/Administratively Closed"/>
    <s v="23F = Theft From Motor Vehicle"/>
    <n v="9"/>
    <d v="2025-02-13T00:00:00"/>
    <d v="1899-12-30T16:00:00"/>
    <m/>
    <m/>
    <d v="2025-02-14T00:00:00"/>
    <d v="1899-12-30T07:10:39"/>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x v="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Complete"/>
    <s v="P.O. Ruben Almonte 359"/>
    <s v="A3"/>
    <s v="Det. Matthew DeBonis 325"/>
    <s v="Active/Administratively Closed"/>
    <s v="23F = Theft From Motor Vehicle"/>
    <n v="9"/>
    <d v="2025-01-06T00:00:00"/>
    <d v="1899-12-30T15:30:00"/>
    <d v="2025-01-10T00:00:00"/>
    <m/>
    <d v="2025-01-10T00:00:00"/>
    <d v="1899-12-30T19:49:52"/>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x v="0"/>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Complete"/>
    <s v="P.O. Massimo Gallorini 379"/>
    <s v="A2"/>
    <s v="Sgt. Franklin Bay 162"/>
    <s v="No Investigation"/>
    <s v="23F = Theft From Motor Vehicle"/>
    <n v="9"/>
    <d v="2025-01-25T00:00:00"/>
    <d v="1899-12-30T18:27:00"/>
    <m/>
    <m/>
    <d v="2025-01-26T00:00:00"/>
    <d v="1899-12-30T10:34:25"/>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x v="1"/>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Complete"/>
    <s v="P.O. Micah Gibson 365"/>
    <s v="A3"/>
    <s v="Det. Matthew Dogali 338"/>
    <s v="Active/Administratively Closed"/>
    <s v="23F = Theft From Motor Vehicle"/>
    <n v="9"/>
    <d v="2025-01-26T00:00:00"/>
    <d v="1899-12-30T20:10:00"/>
    <d v="2025-01-26T00:00:00"/>
    <d v="1899-12-30T20:19:00"/>
    <d v="2025-01-26T00:00:00"/>
    <d v="1899-12-30T20:24:08"/>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x v="2"/>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Complete"/>
    <s v="P.O. Angelo Vicale 370"/>
    <s v="B3"/>
    <s v="Det. Demetrius Carroll 133"/>
    <s v="Active/Administratively Closed"/>
    <s v="23F = Theft From Motor Vehicle"/>
    <n v="9"/>
    <d v="2025-02-13T00:00:00"/>
    <d v="1899-12-30T16:00:00"/>
    <m/>
    <m/>
    <d v="2025-02-14T00:00:00"/>
    <d v="1899-12-30T07:10:39"/>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x v="1"/>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Complete"/>
    <s v="P.O. Ruben Almonte 359"/>
    <s v="A3"/>
    <s v="Det. John Tanucilli 335"/>
    <s v="Active Investigation"/>
    <m/>
    <n v="9"/>
    <d v="2025-03-06T00:00:00"/>
    <d v="1899-12-30T22:35:45"/>
    <m/>
    <m/>
    <d v="2025-03-06T00:00:00"/>
    <d v="1899-12-30T22:35:45"/>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x v="2"/>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Complete"/>
    <s v="P.O. Peter Voorhis 380"/>
    <s v="B1"/>
    <m/>
    <m/>
    <m/>
    <n v="9"/>
    <d v="2025-03-09T00:00:00"/>
    <d v="1899-12-30T19:30:00"/>
    <d v="2025-03-10T00:00:00"/>
    <d v="1899-12-30T08:30:00"/>
    <d v="2025-03-10T00:00:00"/>
    <d v="1899-12-30T08:53:28"/>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x v="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Complete"/>
    <s v="P.O. Ruben Almonte 359"/>
    <s v="A3"/>
    <s v="Det. Matthew DeBonis 325"/>
    <s v="Active/Administratively Closed"/>
    <s v="23F = Theft From Motor Vehicle"/>
    <n v="9"/>
    <d v="2025-01-06T00:00:00"/>
    <d v="1899-12-30T15:30:00"/>
    <d v="2025-01-10T00:00:00"/>
    <m/>
    <d v="2025-01-10T00:00:00"/>
    <d v="1899-12-30T19:49:52"/>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x v="0"/>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Complete"/>
    <s v="P.O. Massimo Gallorini 379"/>
    <s v="A2"/>
    <s v="Sgt. Franklin Bay 162"/>
    <s v="No Investigation"/>
    <s v="23F = Theft From Motor Vehicle"/>
    <n v="9"/>
    <d v="2025-01-25T00:00:00"/>
    <d v="1899-12-30T18:27:00"/>
    <m/>
    <m/>
    <d v="2025-01-26T00:00:00"/>
    <d v="1899-12-30T10:34:25"/>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x v="1"/>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Complete"/>
    <s v="P.O. Micah Gibson 365"/>
    <s v="A3"/>
    <s v="Det. Matthew Dogali 338"/>
    <s v="Active/Administratively Closed"/>
    <s v="23F = Theft From Motor Vehicle"/>
    <n v="9"/>
    <d v="2025-01-26T00:00:00"/>
    <d v="1899-12-30T20:10:00"/>
    <d v="2025-01-26T00:00:00"/>
    <d v="1899-12-30T20:19:00"/>
    <d v="2025-01-26T00:00:00"/>
    <d v="1899-12-30T20:24:08"/>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x v="2"/>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Complete"/>
    <s v="P.O. Angelo Vicale 370"/>
    <s v="B3"/>
    <s v="Det. Demetrius Carroll 133"/>
    <s v="Active/Administratively Closed"/>
    <s v="23F = Theft From Motor Vehicle"/>
    <n v="9"/>
    <d v="2025-02-13T00:00:00"/>
    <d v="1899-12-30T16:00:00"/>
    <m/>
    <m/>
    <d v="2025-02-14T00:00:00"/>
    <d v="1899-12-30T07:10:39"/>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x v="1"/>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Complete"/>
    <s v="P.O. Ruben Almonte 359"/>
    <s v="A3"/>
    <s v="Det. John Tanucilli 335"/>
    <s v="Active Investigation"/>
    <m/>
    <n v="9"/>
    <d v="2025-03-06T00:00:00"/>
    <d v="1899-12-30T22:35:45"/>
    <m/>
    <m/>
    <d v="2025-03-06T00:00:00"/>
    <d v="1899-12-30T22:35:45"/>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x v="2"/>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Complete"/>
    <s v="P.O. Peter Voorhis 380"/>
    <s v="B1"/>
    <s v="Det. Demetrius Carroll 133"/>
    <s v="Active Investigation"/>
    <m/>
    <n v="9"/>
    <d v="2025-03-09T00:00:00"/>
    <d v="1899-12-30T19:30:00"/>
    <d v="2025-03-10T00:00:00"/>
    <d v="1899-12-30T08:30:00"/>
    <d v="2025-03-10T00:00:00"/>
    <d v="1899-12-30T08:53:28"/>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x v="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Complete"/>
    <s v="P.O. Ruben Almonte 359"/>
    <s v="A3"/>
    <s v="Det. Matthew DeBonis 325"/>
    <s v="Active/Administratively Closed"/>
    <s v="23F = Theft From Motor Vehicle"/>
    <n v="9"/>
    <d v="2025-01-06T00:00:00"/>
    <d v="1899-12-30T15:30:00"/>
    <d v="2025-01-10T00:00:00"/>
    <m/>
    <d v="2025-01-10T00:00:00"/>
    <d v="1899-12-30T19:49:52"/>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x v="0"/>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Complete"/>
    <s v="P.O. Massimo Gallorini 379"/>
    <s v="A2"/>
    <s v="Sgt. Franklin Bay 162"/>
    <s v="No Investigation"/>
    <s v="23F = Theft From Motor Vehicle"/>
    <n v="9"/>
    <d v="2025-01-25T00:00:00"/>
    <d v="1899-12-30T18:27:00"/>
    <m/>
    <m/>
    <d v="2025-01-26T00:00:00"/>
    <d v="1899-12-30T10:34:25"/>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x v="1"/>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Complete"/>
    <s v="P.O. Micah Gibson 365"/>
    <s v="A3"/>
    <s v="Det. Matthew Dogali 338"/>
    <s v="Active/Administratively Closed"/>
    <s v="23F = Theft From Motor Vehicle"/>
    <n v="9"/>
    <d v="2025-01-26T00:00:00"/>
    <d v="1899-12-30T20:10:00"/>
    <d v="2025-01-26T00:00:00"/>
    <d v="1899-12-30T20:19:00"/>
    <d v="2025-01-26T00:00:00"/>
    <d v="1899-12-30T20:24:08"/>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x v="2"/>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Complete"/>
    <s v="P.O. Angelo Vicale 370"/>
    <s v="B3"/>
    <s v="Det. Demetrius Carroll 133"/>
    <s v="Active/Administratively Closed"/>
    <s v="23F = Theft From Motor Vehicle"/>
    <n v="9"/>
    <d v="2025-02-13T00:00:00"/>
    <d v="1899-12-30T16:00:00"/>
    <m/>
    <m/>
    <d v="2025-02-14T00:00:00"/>
    <d v="1899-12-30T07:10:39"/>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x v="1"/>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Complete"/>
    <s v="P.O. Ruben Almonte 359"/>
    <s v="A3"/>
    <s v="Det. John Tanucilli 335"/>
    <s v="Active Investigation"/>
    <s v="23F = Theft From Motor Vehicle"/>
    <n v="9"/>
    <d v="2025-03-06T00:00:00"/>
    <d v="1899-12-30T22:35:45"/>
    <m/>
    <m/>
    <d v="2025-03-06T00:00:00"/>
    <d v="1899-12-30T22:35:45"/>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x v="2"/>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Complete"/>
    <s v="P.O. Peter Voorhis 380"/>
    <s v="B1"/>
    <s v="Det. Demetrius Carroll 133"/>
    <s v="Active/Administratively Closed"/>
    <s v="23F = Theft From Motor Vehicle"/>
    <n v="9"/>
    <d v="2025-03-09T00:00:00"/>
    <d v="1899-12-30T19:30:00"/>
    <d v="2025-03-10T00:00:00"/>
    <d v="1899-12-30T08:30:00"/>
    <d v="2025-03-10T00:00:00"/>
    <d v="1899-12-30T08:53:28"/>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x v="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Complete"/>
    <s v="P.O. Denisse Caero 367"/>
    <s v="B2"/>
    <s v="Det. Gunther Lara-Nunez 351"/>
    <s v="Active Investigation"/>
    <s v="23F = Theft From Motor Vehicle"/>
    <n v="9"/>
    <d v="2025-03-11T00:00:00"/>
    <d v="1899-12-30T14:30:00"/>
    <m/>
    <m/>
    <d v="2025-03-11T00:00:00"/>
    <d v="1899-12-30T16:34:10"/>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x v="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Complete"/>
    <s v="P.O. Ruben Almonte 359"/>
    <s v="A3"/>
    <s v="Det. John Tanucilli 335"/>
    <s v="Active Investigation"/>
    <s v="23F = Theft From Motor Vehicle"/>
    <n v="9"/>
    <d v="2025-03-06T00:00:00"/>
    <d v="1899-12-30T22:35:45"/>
    <m/>
    <m/>
    <d v="2025-03-06T00:00:00"/>
    <d v="1899-12-30T22:35:45"/>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x v="2"/>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Complete"/>
    <s v="P.O. Peter Voorhis 380"/>
    <s v="B1"/>
    <s v="Det. Demetrius Carroll 133"/>
    <s v="Active/Administratively Closed"/>
    <s v="23F = Theft From Motor Vehicle"/>
    <n v="9"/>
    <d v="2025-03-09T00:00:00"/>
    <d v="1899-12-30T19:30:00"/>
    <d v="2025-03-10T00:00:00"/>
    <d v="1899-12-30T08:30:00"/>
    <d v="2025-03-10T00:00:00"/>
    <d v="1899-12-30T08:53:28"/>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x v="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Complete"/>
    <s v="P.O. Denisse Caero 367"/>
    <s v="B2"/>
    <s v="Det. Gunther Lara-Nunez 351"/>
    <s v="Active Investigation"/>
    <s v="23F = Theft From Motor Vehicle"/>
    <n v="9"/>
    <d v="2025-03-11T00:00:00"/>
    <d v="1899-12-30T14:30:00"/>
    <m/>
    <m/>
    <d v="2025-03-11T00:00:00"/>
    <d v="1899-12-30T16:34:10"/>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x v="0"/>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Complete"/>
    <s v="P.O. Ruben Almonte 359"/>
    <s v="A3"/>
    <s v="Det. Matthew DeBonis 325"/>
    <s v="Active/Administratively Closed"/>
    <s v="23F = Theft From Motor Vehicle"/>
    <n v="9"/>
    <d v="2025-01-06T00:00:00"/>
    <d v="1899-12-30T15:30:00"/>
    <d v="2025-01-10T00:00:00"/>
    <m/>
    <d v="2025-01-10T00:00:00"/>
    <d v="1899-12-30T19:49:52"/>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x v="0"/>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Complete"/>
    <s v="P.O. Massimo Gallorini 379"/>
    <s v="A2"/>
    <s v="Sgt. Franklin Bay 162"/>
    <s v="No Investigation"/>
    <s v="23F = Theft From Motor Vehicle"/>
    <n v="9"/>
    <d v="2025-01-25T00:00:00"/>
    <d v="1899-12-30T18:27:00"/>
    <m/>
    <m/>
    <d v="2025-01-26T00:00:00"/>
    <d v="1899-12-30T10:34:25"/>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x v="1"/>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Complete"/>
    <s v="P.O. Micah Gibson 365"/>
    <s v="A3"/>
    <s v="Det. Matthew Dogali 338"/>
    <s v="Active/Administratively Closed"/>
    <s v="23F = Theft From Motor Vehicle"/>
    <n v="9"/>
    <d v="2025-01-26T00:00:00"/>
    <d v="1899-12-30T20:10:00"/>
    <d v="2025-01-26T00:00:00"/>
    <d v="1899-12-30T20:19:00"/>
    <d v="2025-01-26T00:00:00"/>
    <d v="1899-12-30T20:24:08"/>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x v="2"/>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Complete"/>
    <s v="P.O. Angelo Vicale 370"/>
    <s v="B3"/>
    <s v="Det. Demetrius Carroll 133"/>
    <s v="Active/Administratively Closed"/>
    <s v="23F = Theft From Motor Vehicle"/>
    <n v="9"/>
    <d v="2025-02-13T00:00:00"/>
    <d v="1899-12-30T16:00:00"/>
    <m/>
    <m/>
    <d v="2025-02-14T00:00:00"/>
    <d v="1899-12-30T07:10:39"/>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x v="1"/>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Complete"/>
    <s v="P.O. Ruben Almonte 359"/>
    <s v="A3"/>
    <s v="Det. John Tanucilli 335"/>
    <s v="Active Investigation"/>
    <s v="23F = Theft From Motor Vehicle"/>
    <n v="9"/>
    <d v="2025-03-06T00:00:00"/>
    <d v="1899-12-30T22:35:45"/>
    <m/>
    <m/>
    <d v="2025-03-06T00:00:00"/>
    <d v="1899-12-30T22:35:45"/>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x v="2"/>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Complete"/>
    <s v="P.O. Peter Voorhis 380"/>
    <s v="B1"/>
    <s v="Det. Demetrius Carroll 133"/>
    <s v="Active/Administratively Closed"/>
    <s v="23F = Theft From Motor Vehicle"/>
    <n v="9"/>
    <d v="2025-03-09T00:00:00"/>
    <d v="1899-12-30T19:30:00"/>
    <d v="2025-03-10T00:00:00"/>
    <d v="1899-12-30T08:30:00"/>
    <d v="2025-03-10T00:00:00"/>
    <d v="1899-12-30T08:53:28"/>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x v="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Complete"/>
    <s v="P.O. Denisse Caero 367"/>
    <s v="B2"/>
    <s v="Det. Gunther Lara-Nunez 351"/>
    <s v="Active/Administratively Closed"/>
    <s v="23F = Theft From Motor Vehicle"/>
    <n v="9"/>
    <d v="2025-03-11T00:00:00"/>
    <d v="1899-12-30T14:30:00"/>
    <m/>
    <m/>
    <d v="2025-03-11T00:00:00"/>
    <d v="1899-12-30T16:34:10"/>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x v="0"/>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Complete"/>
    <s v="P.O. Micah Gibson 365"/>
    <s v="A3"/>
    <s v="Det. Demetrius Carroll 133"/>
    <s v="Active Investigation"/>
    <m/>
    <n v="9"/>
    <d v="2025-03-23T00:00:00"/>
    <d v="1899-12-30T04:10:00"/>
    <d v="2025-03-23T00:00:00"/>
    <d v="1899-12-30T04:20:00"/>
    <d v="2025-03-23T00:00:00"/>
    <d v="1899-12-30T04:55:22"/>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x v="3"/>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Complete"/>
    <s v="P.O. Ruben Almonte 359"/>
    <s v="A3"/>
    <s v="Det. Matthew DeBonis 325"/>
    <s v="Active Investigation"/>
    <s v="23F = Theft From Motor Vehicle"/>
    <n v="9"/>
    <d v="2025-01-06T00:00:00"/>
    <d v="1899-12-30T15:30:00"/>
    <d v="2025-01-10T00:00:00"/>
    <m/>
    <d v="2025-01-10T00:00:00"/>
    <d v="1899-12-30T19:49:52"/>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x v="0"/>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Complete"/>
    <s v="P.O. Massimo Gallorini 379"/>
    <s v="A2"/>
    <s v="Sgt. Franklin Bay 162"/>
    <s v="No Investigation"/>
    <s v="23F = Theft From Motor Vehicle"/>
    <n v="9"/>
    <d v="2025-01-25T00:00:00"/>
    <d v="1899-12-30T18:27:00"/>
    <m/>
    <m/>
    <d v="2025-01-26T00:00:00"/>
    <d v="1899-12-30T10:34:25"/>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x v="1"/>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Complete"/>
    <s v="P.O. Micah Gibson 365"/>
    <s v="A3"/>
    <s v="Det. Matthew Dogali 338"/>
    <s v="Active/Administratively Closed"/>
    <s v="23F = Theft From Motor Vehicle"/>
    <n v="9"/>
    <d v="2025-01-26T00:00:00"/>
    <d v="1899-12-30T20:10:00"/>
    <d v="2025-01-26T00:00:00"/>
    <d v="1899-12-30T20:19:00"/>
    <d v="2025-01-26T00:00:00"/>
    <d v="1899-12-30T20:24:08"/>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x v="2"/>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Complete"/>
    <s v="P.O. Angelo Vicale 370"/>
    <s v="B3"/>
    <s v="Det. Demetrius Carroll 133"/>
    <s v="Active/Administratively Closed"/>
    <s v="23F = Theft From Motor Vehicle"/>
    <n v="9"/>
    <d v="2025-02-13T00:00:00"/>
    <d v="1899-12-30T16:00:00"/>
    <m/>
    <m/>
    <d v="2025-02-14T00:00:00"/>
    <d v="1899-12-30T07:10:39"/>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x v="1"/>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Complete"/>
    <s v="P.O. Ruben Almonte 359"/>
    <s v="A3"/>
    <s v="Det. John Tanucilli 335"/>
    <s v="Active Investigation"/>
    <s v="23F = Theft From Motor Vehicle"/>
    <n v="9"/>
    <d v="2025-03-06T00:00:00"/>
    <d v="1899-12-30T22:35:45"/>
    <m/>
    <m/>
    <d v="2025-03-06T00:00:00"/>
    <d v="1899-12-30T22:35:45"/>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x v="2"/>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Complete"/>
    <s v="P.O. Peter Voorhis 380"/>
    <s v="B1"/>
    <s v="Det. Demetrius Carroll 133"/>
    <s v="Active/Administratively Closed"/>
    <s v="23F = Theft From Motor Vehicle"/>
    <n v="9"/>
    <d v="2025-03-09T00:00:00"/>
    <d v="1899-12-30T19:30:00"/>
    <d v="2025-03-10T00:00:00"/>
    <d v="1899-12-30T08:30:00"/>
    <d v="2025-03-10T00:00:00"/>
    <d v="1899-12-30T08:53:28"/>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x v="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Complete"/>
    <s v="P.O. Denisse Caero 367"/>
    <s v="B2"/>
    <s v="Det. Gunther Lara-Nunez 351"/>
    <s v="Active/Administratively Closed"/>
    <s v="23F = Theft From Motor Vehicle"/>
    <n v="9"/>
    <d v="2025-03-11T00:00:00"/>
    <d v="1899-12-30T14:30:00"/>
    <m/>
    <m/>
    <d v="2025-03-11T00:00:00"/>
    <d v="1899-12-30T16:34:10"/>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x v="0"/>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Complete"/>
    <s v="P.O. Micah Gibson 365"/>
    <s v="A3"/>
    <s v="Det. Demetrius Carroll 133"/>
    <s v="Active/Administratively Closed"/>
    <s v="23F = Theft From Motor Vehicle"/>
    <n v="9"/>
    <d v="2025-03-23T00:00:00"/>
    <d v="1899-12-30T04:10:00"/>
    <d v="2025-03-23T00:00:00"/>
    <d v="1899-12-30T04:20:00"/>
    <d v="2025-03-23T00:00:00"/>
    <d v="1899-12-30T04:55:22"/>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x v="3"/>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Complete"/>
    <s v="P.O. Ruben Almonte 359"/>
    <s v="A3"/>
    <s v="Det. Matthew DeBonis 325"/>
    <s v="Active Investigation"/>
    <s v="23F = Theft From Motor Vehicle"/>
    <n v="9"/>
    <d v="2025-01-06T00:00:00"/>
    <d v="1899-12-30T15:30:00"/>
    <d v="2025-01-10T00:00:00"/>
    <m/>
    <d v="2025-01-10T00:00:00"/>
    <d v="1899-12-30T19:49:52"/>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x v="0"/>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Complete"/>
    <s v="P.O. Massimo Gallorini 379"/>
    <s v="A2"/>
    <s v="Sgt. Franklin Bay 162"/>
    <s v="No Investigation"/>
    <s v="23F = Theft From Motor Vehicle"/>
    <n v="9"/>
    <d v="2025-01-25T00:00:00"/>
    <d v="1899-12-30T18:27:00"/>
    <m/>
    <m/>
    <d v="2025-01-26T00:00:00"/>
    <d v="1899-12-30T10:34:25"/>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x v="1"/>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Complete"/>
    <s v="P.O. Micah Gibson 365"/>
    <s v="A3"/>
    <s v="Det. Matthew Dogali 338"/>
    <s v="Active/Administratively Closed"/>
    <s v="23F = Theft From Motor Vehicle"/>
    <n v="9"/>
    <d v="2025-01-26T00:00:00"/>
    <d v="1899-12-30T20:10:00"/>
    <d v="2025-01-26T00:00:00"/>
    <d v="1899-12-30T20:19:00"/>
    <d v="2025-01-26T00:00:00"/>
    <d v="1899-12-30T20:24:08"/>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x v="2"/>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Complete"/>
    <s v="P.O. Angelo Vicale 370"/>
    <s v="B3"/>
    <s v="Det. Demetrius Carroll 133"/>
    <s v="Active/Administratively Closed"/>
    <s v="23F = Theft From Motor Vehicle"/>
    <n v="9"/>
    <d v="2025-02-13T00:00:00"/>
    <d v="1899-12-30T16:00:00"/>
    <m/>
    <m/>
    <d v="2025-02-14T00:00:00"/>
    <d v="1899-12-30T07:10:39"/>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x v="1"/>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Complete"/>
    <s v="P.O. Ruben Almonte 359"/>
    <s v="A3"/>
    <s v="Det. John Tanucilli 335"/>
    <s v="Active Investigation"/>
    <s v="23F = Theft From Motor Vehicle"/>
    <n v="9"/>
    <d v="2025-03-06T00:00:00"/>
    <d v="1899-12-30T22:35:45"/>
    <m/>
    <m/>
    <d v="2025-03-06T00:00:00"/>
    <d v="1899-12-30T22:35:45"/>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x v="2"/>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Complete"/>
    <s v="P.O. Peter Voorhis 380"/>
    <s v="B1"/>
    <s v="Det. Demetrius Carroll 133"/>
    <s v="Active/Administratively Closed"/>
    <s v="23F = Theft From Motor Vehicle"/>
    <n v="9"/>
    <d v="2025-03-09T00:00:00"/>
    <d v="1899-12-30T19:30:00"/>
    <d v="2025-03-10T00:00:00"/>
    <d v="1899-12-30T08:30:00"/>
    <d v="2025-03-10T00:00:00"/>
    <d v="1899-12-30T08:53:28"/>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x v="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Complete"/>
    <s v="P.O. Denisse Caero 367"/>
    <s v="B2"/>
    <s v="Det. Gunther Lara-Nunez 351"/>
    <s v="Active/Administratively Closed"/>
    <s v="23F = Theft From Motor Vehicle"/>
    <n v="9"/>
    <d v="2025-03-11T00:00:00"/>
    <d v="1899-12-30T14:30:00"/>
    <m/>
    <m/>
    <d v="2025-03-11T00:00:00"/>
    <d v="1899-12-30T16:34:10"/>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x v="0"/>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Complete"/>
    <s v="P.O. Micah Gibson 365"/>
    <s v="A3"/>
    <s v="Det. Demetrius Carroll 133"/>
    <s v="Active/Administratively Closed"/>
    <s v="23F = Theft From Motor Vehicle"/>
    <n v="9"/>
    <d v="2025-03-23T00:00:00"/>
    <d v="1899-12-30T04:10:00"/>
    <d v="2025-03-23T00:00:00"/>
    <d v="1899-12-30T04:20:00"/>
    <d v="2025-03-23T00:00:00"/>
    <d v="1899-12-30T04:55:22"/>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x v="3"/>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Complete"/>
    <s v="P.O. Ruben Almonte 359"/>
    <s v="A3"/>
    <s v="Det. John Tanucilli 335"/>
    <s v="Active Investigation"/>
    <s v="23F = Theft From Motor Vehicle"/>
    <n v="9"/>
    <d v="2025-03-06T00:00:00"/>
    <d v="1899-12-30T22:35:45"/>
    <m/>
    <m/>
    <d v="2025-03-06T00:00:00"/>
    <d v="1899-12-30T22:35:45"/>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x v="2"/>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Complete"/>
    <s v="P.O. Peter Voorhis 380"/>
    <s v="B1"/>
    <s v="Det. Demetrius Carroll 133"/>
    <s v="Active/Administratively Closed"/>
    <s v="23F = Theft From Motor Vehicle"/>
    <n v="9"/>
    <d v="2025-03-09T00:00:00"/>
    <d v="1899-12-30T19:30:00"/>
    <d v="2025-03-10T00:00:00"/>
    <d v="1899-12-30T08:30:00"/>
    <d v="2025-03-10T00:00:00"/>
    <d v="1899-12-30T08:53:28"/>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x v="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Complete"/>
    <s v="P.O. Denisse Caero 367"/>
    <s v="B2"/>
    <s v="Det. Gunther Lara-Nunez 351"/>
    <s v="Active/Administratively Closed"/>
    <s v="23F = Theft From Motor Vehicle"/>
    <n v="9"/>
    <d v="2025-03-11T00:00:00"/>
    <d v="1899-12-30T14:30:00"/>
    <m/>
    <m/>
    <d v="2025-03-11T00:00:00"/>
    <d v="1899-12-30T16:34:10"/>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x v="0"/>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Complete"/>
    <s v="P.O. Micah Gibson 365"/>
    <s v="A3"/>
    <s v="Det. Demetrius Carroll 133"/>
    <s v="Active/Administratively Closed"/>
    <s v="23F = Theft From Motor Vehicle"/>
    <n v="9"/>
    <d v="2025-03-23T00:00:00"/>
    <d v="1899-12-30T04:10:00"/>
    <d v="2025-03-23T00:00:00"/>
    <d v="1899-12-30T04:20:00"/>
    <d v="2025-03-23T00:00:00"/>
    <d v="1899-12-30T04:55:22"/>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x v="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Complete"/>
    <s v="P.O. Matthew Antista 135"/>
    <s v="A4"/>
    <s v="Det. John Tanucilli 335"/>
    <s v="Active Investigation"/>
    <s v="290 = Destruction/Damage/Vandalism of Property"/>
    <n v="9"/>
    <d v="2025-03-31T00:00:00"/>
    <d v="1899-12-30T18:00:00"/>
    <m/>
    <m/>
    <d v="2025-04-01T00:00:00"/>
    <d v="1899-12-30T00:53:05"/>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x v="1"/>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Complete"/>
    <s v="P.O. Matthew Antista 135"/>
    <s v="A4"/>
    <s v="Det. John Tanucilli 335"/>
    <s v="Active Investigation"/>
    <s v="290 = Destruction/Damage/Vandalism of Property"/>
    <n v="9"/>
    <d v="2025-03-31T00:00:00"/>
    <d v="1899-12-30T20:00:00"/>
    <m/>
    <m/>
    <d v="2025-03-31T00:00:00"/>
    <d v="1899-12-30T23:58:33"/>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x v="2"/>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Complete"/>
    <s v="P.O. Anzour Marza 356"/>
    <s v="A3"/>
    <s v="Det. John Tanucilli 335"/>
    <s v="Active/Administratively Closed"/>
    <m/>
    <n v="9"/>
    <d v="2025-04-01T00:00:00"/>
    <d v="1899-12-30T20:28:40"/>
    <m/>
    <m/>
    <d v="2025-04-01T00:00:00"/>
    <d v="1899-12-30T20:28:40"/>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x v="2"/>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Complete"/>
    <s v="P.O. Ruben Almonte 359"/>
    <s v="A3"/>
    <s v="Det. John Tanucilli 335"/>
    <s v="Active Investigation"/>
    <s v="23F = Theft From Motor Vehicle"/>
    <n v="9"/>
    <d v="2025-03-06T00:00:00"/>
    <d v="1899-12-30T22:35:45"/>
    <m/>
    <m/>
    <d v="2025-03-06T00:00:00"/>
    <d v="1899-12-30T22:35:45"/>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x v="2"/>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Complete"/>
    <s v="P.O. Peter Voorhis 380"/>
    <s v="B1"/>
    <s v="Det. Demetrius Carroll 133"/>
    <s v="Active/Administratively Closed"/>
    <s v="23F = Theft From Motor Vehicle"/>
    <n v="9"/>
    <d v="2025-03-09T00:00:00"/>
    <d v="1899-12-30T19:30:00"/>
    <d v="2025-03-10T00:00:00"/>
    <d v="1899-12-30T08:30:00"/>
    <d v="2025-03-10T00:00:00"/>
    <d v="1899-12-30T08:53:28"/>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x v="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Complete"/>
    <s v="P.O. Denisse Caero 367"/>
    <s v="B2"/>
    <s v="Det. Gunther Lara-Nunez 351"/>
    <s v="Active/Administratively Closed"/>
    <s v="23F = Theft From Motor Vehicle"/>
    <n v="9"/>
    <d v="2025-03-11T00:00:00"/>
    <d v="1899-12-30T14:30:00"/>
    <m/>
    <m/>
    <d v="2025-03-11T00:00:00"/>
    <d v="1899-12-30T16:34:10"/>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x v="0"/>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Complete"/>
    <s v="P.O. Micah Gibson 365"/>
    <s v="A3"/>
    <s v="Det. Demetrius Carroll 133"/>
    <s v="Active/Administratively Closed"/>
    <s v="23F = Theft From Motor Vehicle"/>
    <n v="9"/>
    <d v="2025-03-23T00:00:00"/>
    <d v="1899-12-30T04:10:00"/>
    <d v="2025-03-23T00:00:00"/>
    <d v="1899-12-30T04:20:00"/>
    <d v="2025-03-23T00:00:00"/>
    <d v="1899-12-30T04:55:22"/>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x v="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Complete"/>
    <s v="P.O. Matthew Antista 135"/>
    <s v="A4"/>
    <s v="Det. John Tanucilli 335"/>
    <s v="Active Investigation"/>
    <s v="290 = Destruction/Damage/Vandalism of Property"/>
    <n v="9"/>
    <d v="2025-03-31T00:00:00"/>
    <d v="1899-12-30T18:00:00"/>
    <m/>
    <m/>
    <d v="2025-04-01T00:00:00"/>
    <d v="1899-12-30T00:53:05"/>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x v="1"/>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Complete"/>
    <s v="P.O. Matthew Antista 135"/>
    <s v="A4"/>
    <s v="Det. John Tanucilli 335"/>
    <s v="Active Investigation"/>
    <s v="290 = Destruction/Damage/Vandalism of Property"/>
    <n v="9"/>
    <d v="2025-03-31T00:00:00"/>
    <d v="1899-12-30T20:00:00"/>
    <m/>
    <m/>
    <d v="2025-03-31T00:00:00"/>
    <d v="1899-12-30T23:58:33"/>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x v="2"/>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Complete"/>
    <s v="P.O. Anzour Marza 356"/>
    <s v="A3"/>
    <s v="Det. John Tanucilli 335"/>
    <s v="Active/Administratively Closed"/>
    <m/>
    <n v="9"/>
    <d v="2025-04-01T00:00:00"/>
    <d v="1899-12-30T20:28:40"/>
    <m/>
    <m/>
    <d v="2025-04-01T00:00:00"/>
    <d v="1899-12-30T20:28:40"/>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x v="2"/>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Complete"/>
    <s v="P.O. Ruben Almonte 359"/>
    <s v="A3"/>
    <s v="Det. Matthew DeBonis 325"/>
    <s v="Active Investigation"/>
    <s v="23F = Theft From Motor Vehicle"/>
    <n v="9"/>
    <d v="2025-01-06T00:00:00"/>
    <d v="1899-12-30T15:30:00"/>
    <d v="2025-01-10T00:00:00"/>
    <m/>
    <d v="2025-01-10T00:00:00"/>
    <d v="1899-12-30T19:49:52"/>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x v="0"/>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Complete"/>
    <s v="P.O. Massimo Gallorini 379"/>
    <s v="A2"/>
    <s v="Sgt. Franklin Bay 162"/>
    <s v="No Investigation"/>
    <s v="23F = Theft From Motor Vehicle"/>
    <n v="9"/>
    <d v="2025-01-25T00:00:00"/>
    <d v="1899-12-30T18:27:00"/>
    <m/>
    <m/>
    <d v="2025-01-26T00:00:00"/>
    <d v="1899-12-30T10:34:25"/>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x v="1"/>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Complete"/>
    <s v="P.O. Micah Gibson 365"/>
    <s v="A3"/>
    <s v="Det. Matthew Dogali 338"/>
    <s v="Active/Administratively Closed"/>
    <s v="23F = Theft From Motor Vehicle"/>
    <n v="9"/>
    <d v="2025-01-26T00:00:00"/>
    <d v="1899-12-30T20:10:00"/>
    <d v="2025-01-26T00:00:00"/>
    <d v="1899-12-30T20:19:00"/>
    <d v="2025-01-26T00:00:00"/>
    <d v="1899-12-30T20:24:08"/>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x v="2"/>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Complete"/>
    <s v="P.O. Angelo Vicale 370"/>
    <s v="B3"/>
    <s v="Det. Demetrius Carroll 133"/>
    <s v="Active/Administratively Closed"/>
    <s v="23F = Theft From Motor Vehicle"/>
    <n v="9"/>
    <d v="2025-02-13T00:00:00"/>
    <d v="1899-12-30T16:00:00"/>
    <m/>
    <m/>
    <d v="2025-02-14T00:00:00"/>
    <d v="1899-12-30T07:10:39"/>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x v="1"/>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Complete"/>
    <s v="P.O. Ruben Almonte 359"/>
    <s v="A3"/>
    <s v="Det. John Tanucilli 335"/>
    <s v="Active Investigation"/>
    <s v="23F = Theft From Motor Vehicle"/>
    <n v="9"/>
    <d v="2025-03-06T00:00:00"/>
    <d v="1899-12-30T22:35:45"/>
    <m/>
    <m/>
    <d v="2025-03-06T00:00:00"/>
    <d v="1899-12-30T22:35:45"/>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x v="2"/>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Complete"/>
    <s v="P.O. Peter Voorhis 380"/>
    <s v="B1"/>
    <s v="Det. Demetrius Carroll 133"/>
    <s v="Active/Administratively Closed"/>
    <s v="23F = Theft From Motor Vehicle"/>
    <n v="9"/>
    <d v="2025-03-09T00:00:00"/>
    <d v="1899-12-30T19:30:00"/>
    <d v="2025-03-10T00:00:00"/>
    <d v="1899-12-30T08:30:00"/>
    <d v="2025-03-10T00:00:00"/>
    <d v="1899-12-30T08:53:28"/>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x v="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Complete"/>
    <s v="P.O. Denisse Caero 367"/>
    <s v="B2"/>
    <s v="Det. Gunther Lara-Nunez 351"/>
    <s v="Active/Administratively Closed"/>
    <s v="23F = Theft From Motor Vehicle"/>
    <n v="9"/>
    <d v="2025-03-11T00:00:00"/>
    <d v="1899-12-30T14:30:00"/>
    <m/>
    <m/>
    <d v="2025-03-11T00:00:00"/>
    <d v="1899-12-30T16:34:10"/>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x v="0"/>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Complete"/>
    <s v="P.O. Micah Gibson 365"/>
    <s v="A3"/>
    <s v="Det. Demetrius Carroll 133"/>
    <s v="Active/Administratively Closed"/>
    <s v="23F = Theft From Motor Vehicle"/>
    <n v="9"/>
    <d v="2025-03-23T00:00:00"/>
    <d v="1899-12-30T04:10:00"/>
    <d v="2025-03-23T00:00:00"/>
    <d v="1899-12-30T04:20:00"/>
    <d v="2025-03-23T00:00:00"/>
    <d v="1899-12-30T04:55:22"/>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x v="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Complete"/>
    <s v="P.O. Matthew Antista 135"/>
    <s v="A4"/>
    <s v="Det. John Tanucilli 335"/>
    <s v="Complaint Signed"/>
    <s v="290 = Destruction/Damage/Vandalism of Property"/>
    <n v="9"/>
    <d v="2025-03-31T00:00:00"/>
    <d v="1899-12-30T18:00:00"/>
    <m/>
    <m/>
    <d v="2025-04-01T00:00:00"/>
    <d v="1899-12-30T00:53:05"/>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x v="1"/>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Complete"/>
    <s v="P.O. Matthew Antista 135"/>
    <s v="A4"/>
    <s v="Det. John Tanucilli 335"/>
    <s v="Complaint Signed"/>
    <s v="290 = Destruction/Damage/Vandalism of Property"/>
    <n v="9"/>
    <d v="2025-03-31T00:00:00"/>
    <d v="1899-12-30T20:00:00"/>
    <m/>
    <m/>
    <d v="2025-03-31T00:00:00"/>
    <d v="1899-12-30T23:58:33"/>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x v="2"/>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Complete"/>
    <s v="P.O. Anzour Marza 356"/>
    <s v="A3"/>
    <s v="Det. John Tanucilli 335"/>
    <s v="Active/Administratively Closed"/>
    <s v="23F = Theft From Motor Vehicle"/>
    <n v="9"/>
    <d v="2025-04-01T00:00:00"/>
    <d v="1899-12-30T20:28:40"/>
    <m/>
    <m/>
    <d v="2025-04-01T00:00:00"/>
    <d v="1899-12-30T20:28:40"/>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x v="2"/>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Complete"/>
    <s v="P.O. Ruben Almonte 359"/>
    <s v="A3"/>
    <s v="Det. Matthew DeBonis 325"/>
    <s v="Active Investigation"/>
    <s v="23F = Theft From Motor Vehicle"/>
    <n v="9"/>
    <d v="2025-01-06T00:00:00"/>
    <d v="1899-12-30T15:30:00"/>
    <d v="2025-01-10T00:00:00"/>
    <m/>
    <d v="2025-01-10T00:00:00"/>
    <d v="1899-12-30T19:49:52"/>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x v="0"/>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Complete"/>
    <s v="P.O. Massimo Gallorini 379"/>
    <s v="A2"/>
    <s v="Sgt. Franklin Bay 162"/>
    <s v="No Investigation"/>
    <s v="23F = Theft From Motor Vehicle"/>
    <n v="9"/>
    <d v="2025-01-25T00:00:00"/>
    <d v="1899-12-30T18:27:00"/>
    <m/>
    <m/>
    <d v="2025-01-26T00:00:00"/>
    <d v="1899-12-30T10:34:25"/>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x v="1"/>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Complete"/>
    <s v="P.O. Micah Gibson 365"/>
    <s v="A3"/>
    <s v="Det. Matthew Dogali 338"/>
    <s v="Active/Administratively Closed"/>
    <s v="23F = Theft From Motor Vehicle"/>
    <n v="9"/>
    <d v="2025-01-26T00:00:00"/>
    <d v="1899-12-30T20:10:00"/>
    <d v="2025-01-26T00:00:00"/>
    <d v="1899-12-30T20:19:00"/>
    <d v="2025-01-26T00:00:00"/>
    <d v="1899-12-30T20:24:08"/>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x v="2"/>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Complete"/>
    <s v="P.O. Angelo Vicale 370"/>
    <s v="B3"/>
    <s v="Det. Demetrius Carroll 133"/>
    <s v="Active/Administratively Closed"/>
    <s v="23F = Theft From Motor Vehicle"/>
    <n v="9"/>
    <d v="2025-02-13T00:00:00"/>
    <d v="1899-12-30T16:00:00"/>
    <m/>
    <m/>
    <d v="2025-02-14T00:00:00"/>
    <d v="1899-12-30T07:10:39"/>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x v="1"/>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Complete"/>
    <s v="P.O. Ruben Almonte 359"/>
    <s v="A3"/>
    <s v="Det. John Tanucilli 335"/>
    <s v="Active Investigation"/>
    <s v="23F = Theft From Motor Vehicle"/>
    <n v="9"/>
    <d v="2025-03-06T00:00:00"/>
    <d v="1899-12-30T22:35:45"/>
    <m/>
    <m/>
    <d v="2025-03-06T00:00:00"/>
    <d v="1899-12-30T22:35:45"/>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x v="2"/>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Complete"/>
    <s v="P.O. Peter Voorhis 380"/>
    <s v="B1"/>
    <s v="Det. Demetrius Carroll 133"/>
    <s v="Active/Administratively Closed"/>
    <s v="23F = Theft From Motor Vehicle"/>
    <n v="9"/>
    <d v="2025-03-09T00:00:00"/>
    <d v="1899-12-30T19:30:00"/>
    <d v="2025-03-10T00:00:00"/>
    <d v="1899-12-30T08:30:00"/>
    <d v="2025-03-10T00:00:00"/>
    <d v="1899-12-30T08:53:28"/>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x v="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Complete"/>
    <s v="P.O. Denisse Caero 367"/>
    <s v="B2"/>
    <s v="Det. Gunther Lara-Nunez 351"/>
    <s v="Active/Administratively Closed"/>
    <s v="23F = Theft From Motor Vehicle"/>
    <n v="9"/>
    <d v="2025-03-11T00:00:00"/>
    <d v="1899-12-30T14:30:00"/>
    <m/>
    <m/>
    <d v="2025-03-11T00:00:00"/>
    <d v="1899-12-30T16:34:10"/>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x v="0"/>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Complete"/>
    <s v="P.O. Micah Gibson 365"/>
    <s v="A3"/>
    <s v="Det. Demetrius Carroll 133"/>
    <s v="Active/Administratively Closed"/>
    <s v="23F = Theft From Motor Vehicle"/>
    <n v="9"/>
    <d v="2025-03-23T00:00:00"/>
    <d v="1899-12-30T04:10:00"/>
    <d v="2025-03-23T00:00:00"/>
    <d v="1899-12-30T04:20:00"/>
    <d v="2025-03-23T00:00:00"/>
    <d v="1899-12-30T04:55:22"/>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x v="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Complete"/>
    <s v="P.O. Matthew Antista 135"/>
    <s v="A4"/>
    <s v="Det. John Tanucilli 335"/>
    <s v="Complaint Signed"/>
    <s v="290 = Destruction/Damage/Vandalism of Property"/>
    <n v="9"/>
    <d v="2025-03-31T00:00:00"/>
    <d v="1899-12-30T18:00:00"/>
    <m/>
    <m/>
    <d v="2025-04-01T00:00:00"/>
    <d v="1899-12-30T00:53:05"/>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x v="1"/>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Complete"/>
    <s v="P.O. Matthew Antista 135"/>
    <s v="A4"/>
    <s v="Det. John Tanucilli 335"/>
    <s v="Complaint Signed"/>
    <s v="290 = Destruction/Damage/Vandalism of Property"/>
    <n v="9"/>
    <d v="2025-03-31T00:00:00"/>
    <d v="1899-12-30T20:00:00"/>
    <m/>
    <m/>
    <d v="2025-03-31T00:00:00"/>
    <d v="1899-12-30T23:58:33"/>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x v="2"/>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Complete"/>
    <s v="P.O. Anzour Marza 356"/>
    <s v="A3"/>
    <s v="Det. John Tanucilli 335"/>
    <s v="Active/Administratively Closed"/>
    <s v="23F = Theft From Motor Vehicle"/>
    <n v="9"/>
    <d v="2025-04-01T00:00:00"/>
    <d v="1899-12-30T20:28:40"/>
    <m/>
    <m/>
    <d v="2025-04-01T00:00:00"/>
    <d v="1899-12-30T20:28:40"/>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x v="2"/>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Complete"/>
    <s v="P.O. Ruben Almonte 359"/>
    <s v="A3"/>
    <s v="Det. Matthew DeBonis 325"/>
    <s v="Active Investigation"/>
    <s v="23F = Theft From Motor Vehicle"/>
    <n v="9"/>
    <d v="2025-01-06T00:00:00"/>
    <d v="1899-12-30T15:30:00"/>
    <d v="2025-01-10T00:00:00"/>
    <m/>
    <d v="2025-01-10T00:00:00"/>
    <d v="1899-12-30T19:49:52"/>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x v="0"/>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Complete"/>
    <s v="P.O. Massimo Gallorini 379"/>
    <s v="A2"/>
    <s v="Sgt. Franklin Bay 162"/>
    <s v="No Investigation"/>
    <s v="23F = Theft From Motor Vehicle"/>
    <n v="9"/>
    <d v="2025-01-25T00:00:00"/>
    <d v="1899-12-30T18:27:00"/>
    <m/>
    <m/>
    <d v="2025-01-26T00:00:00"/>
    <d v="1899-12-30T10:34:25"/>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x v="1"/>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Complete"/>
    <s v="P.O. Micah Gibson 365"/>
    <s v="A3"/>
    <s v="Det. Matthew Dogali 338"/>
    <s v="Active/Administratively Closed"/>
    <s v="23F = Theft From Motor Vehicle"/>
    <n v="9"/>
    <d v="2025-01-26T00:00:00"/>
    <d v="1899-12-30T20:10:00"/>
    <d v="2025-01-26T00:00:00"/>
    <d v="1899-12-30T20:19:00"/>
    <d v="2025-01-26T00:00:00"/>
    <d v="1899-12-30T20:24:08"/>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x v="2"/>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Complete"/>
    <s v="P.O. Angelo Vicale 370"/>
    <s v="B3"/>
    <s v="Det. Demetrius Carroll 133"/>
    <s v="Active/Administratively Closed"/>
    <s v="23F = Theft From Motor Vehicle"/>
    <n v="9"/>
    <d v="2025-02-13T00:00:00"/>
    <d v="1899-12-30T16:00:00"/>
    <m/>
    <m/>
    <d v="2025-02-14T00:00:00"/>
    <d v="1899-12-30T07:10:39"/>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x v="1"/>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Complete"/>
    <s v="P.O. Ruben Almonte 359"/>
    <s v="A3"/>
    <s v="Det. John Tanucilli 335"/>
    <s v="Active Investigation"/>
    <s v="23F = Theft From Motor Vehicle"/>
    <n v="9"/>
    <d v="2025-03-06T00:00:00"/>
    <d v="1899-12-30T22:35:45"/>
    <m/>
    <m/>
    <d v="2025-03-06T00:00:00"/>
    <d v="1899-12-30T22:35:45"/>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x v="2"/>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Complete"/>
    <s v="P.O. Peter Voorhis 380"/>
    <s v="B1"/>
    <s v="Det. Demetrius Carroll 133"/>
    <s v="Active/Administratively Closed"/>
    <s v="23F = Theft From Motor Vehicle"/>
    <n v="9"/>
    <d v="2025-03-09T00:00:00"/>
    <d v="1899-12-30T19:30:00"/>
    <d v="2025-03-10T00:00:00"/>
    <d v="1899-12-30T08:30:00"/>
    <d v="2025-03-10T00:00:00"/>
    <d v="1899-12-30T08:53:28"/>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x v="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Complete"/>
    <s v="P.O. Denisse Caero 367"/>
    <s v="B2"/>
    <s v="Det. Gunther Lara-Nunez 351"/>
    <s v="Active/Administratively Closed"/>
    <s v="23F = Theft From Motor Vehicle"/>
    <n v="9"/>
    <d v="2025-03-11T00:00:00"/>
    <d v="1899-12-30T14:30:00"/>
    <m/>
    <m/>
    <d v="2025-03-11T00:00:00"/>
    <d v="1899-12-30T16:34:10"/>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x v="0"/>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Complete"/>
    <s v="P.O. Micah Gibson 365"/>
    <s v="A3"/>
    <s v="Det. Demetrius Carroll 133"/>
    <s v="Active/Administratively Closed"/>
    <s v="23F = Theft From Motor Vehicle"/>
    <n v="9"/>
    <d v="2025-03-23T00:00:00"/>
    <d v="1899-12-30T04:10:00"/>
    <d v="2025-03-23T00:00:00"/>
    <d v="1899-12-30T04:20:00"/>
    <d v="2025-03-23T00:00:00"/>
    <d v="1899-12-30T04:55:22"/>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x v="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Complete"/>
    <s v="P.O. Matthew Antista 135"/>
    <s v="A4"/>
    <s v="Det. John Tanucilli 335"/>
    <s v="Complaint Signed"/>
    <s v="290 = Destruction/Damage/Vandalism of Property"/>
    <n v="9"/>
    <d v="2025-03-31T00:00:00"/>
    <d v="1899-12-30T18:00:00"/>
    <m/>
    <m/>
    <d v="2025-04-01T00:00:00"/>
    <d v="1899-12-30T00:53:05"/>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x v="1"/>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Complete"/>
    <s v="P.O. Matthew Antista 135"/>
    <s v="A4"/>
    <s v="Det. John Tanucilli 335"/>
    <s v="Complaint Signed"/>
    <s v="290 = Destruction/Damage/Vandalism of Property"/>
    <n v="9"/>
    <d v="2025-03-31T00:00:00"/>
    <d v="1899-12-30T20:00:00"/>
    <m/>
    <m/>
    <d v="2025-03-31T00:00:00"/>
    <d v="1899-12-30T23:58:33"/>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x v="2"/>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Complete"/>
    <s v="P.O. Anzour Marza 356"/>
    <s v="A3"/>
    <s v="Det. John Tanucilli 335"/>
    <s v="Active/Administratively Closed"/>
    <s v="23F = Theft From Motor Vehicle"/>
    <n v="9"/>
    <d v="2025-04-01T00:00:00"/>
    <d v="1899-12-30T20:28:40"/>
    <m/>
    <m/>
    <d v="2025-04-01T00:00:00"/>
    <d v="1899-12-30T20:28:40"/>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x v="2"/>
  </r>
  <r>
    <s v="25-029155"/>
    <x v="10"/>
    <x v="2"/>
    <d v="1899-12-30T23:00:00"/>
    <d v="1899-12-30T23:10:00"/>
    <x v="5"/>
    <s v="April"/>
    <s v="Summit Ave, 200 Block"/>
    <s v="283 Summit Avenue"/>
    <x v="0"/>
    <s v="Burglary - Auto"/>
    <s v=""/>
    <s v=""/>
    <s v="283 Summit Avenue, Hackensack, NJ, 07601"/>
    <s v="H5"/>
    <n v="8"/>
    <s v="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m/>
    <m/>
    <s v="Z73VFP"/>
    <s v="CHEVROLET"/>
    <s v="SUB"/>
    <s v="NJ"/>
    <m/>
    <m/>
    <m/>
    <m/>
    <s v="Bay_F"/>
    <s v="Complete"/>
    <s v="P.O. Roselys Salas 369"/>
    <s v="B4"/>
    <s v="Det. Gunther Lara-Nunez 351"/>
    <s v="Active Investigation"/>
    <m/>
    <n v="9"/>
    <d v="2025-04-09T00:00:00"/>
    <d v="1899-12-30T23:10:00"/>
    <d v="2025-04-09T00:00:00"/>
    <d v="1899-12-30T23:11:00"/>
    <d v="2025-04-10T00:00:00"/>
    <d v="1899-12-30T13:49:36"/>
    <n v="2025"/>
    <n v="15"/>
    <n v="2"/>
    <n v="9"/>
    <n v="99"/>
    <d v="2025-04-09T23:10:00"/>
    <n v="283"/>
    <s v="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s v="Vehicle 1: NJ-Z73VFP CHEVROLET, SUB"/>
    <s v="suspect is observed on a black scooter riding down into the victim's driveway at 2310 hours and ride back out at 2311 hours"/>
    <s v="$395.00 dollars. Sgt"/>
    <s v="C04W15"/>
    <x v="2"/>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Complete"/>
    <s v="P.O. Ruben Almonte 359"/>
    <s v="A3"/>
    <s v="Det. John Tanucilli 335"/>
    <s v="Active Investigation"/>
    <s v="23F = Theft From Motor Vehicle"/>
    <n v="9"/>
    <d v="2025-03-06T00:00:00"/>
    <d v="1899-12-30T22:35:45"/>
    <m/>
    <m/>
    <d v="2025-03-06T00:00:00"/>
    <d v="1899-12-30T22:35:45"/>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x v="2"/>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Complete"/>
    <s v="P.O. Peter Voorhis 380"/>
    <s v="B1"/>
    <s v="Det. Demetrius Carroll 133"/>
    <s v="Active/Administratively Closed"/>
    <s v="23F = Theft From Motor Vehicle"/>
    <n v="9"/>
    <d v="2025-03-09T00:00:00"/>
    <d v="1899-12-30T19:30:00"/>
    <d v="2025-03-10T00:00:00"/>
    <d v="1899-12-30T08:30:00"/>
    <d v="2025-03-10T00:00:00"/>
    <d v="1899-12-30T08:53:28"/>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x v="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Complete"/>
    <s v="P.O. Denisse Caero 367"/>
    <s v="B2"/>
    <s v="Det. Gunther Lara-Nunez 351"/>
    <s v="Active/Administratively Closed"/>
    <s v="23F = Theft From Motor Vehicle"/>
    <n v="9"/>
    <d v="2025-03-11T00:00:00"/>
    <d v="1899-12-30T14:30:00"/>
    <m/>
    <m/>
    <d v="2025-03-11T00:00:00"/>
    <d v="1899-12-30T16:34:10"/>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x v="0"/>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Complete"/>
    <s v="P.O. Micah Gibson 365"/>
    <s v="A3"/>
    <s v="Det. Demetrius Carroll 133"/>
    <s v="Active/Administratively Closed"/>
    <s v="23F = Theft From Motor Vehicle"/>
    <n v="9"/>
    <d v="2025-03-23T00:00:00"/>
    <d v="1899-12-30T04:10:00"/>
    <d v="2025-03-23T00:00:00"/>
    <d v="1899-12-30T04:20:00"/>
    <d v="2025-03-23T00:00:00"/>
    <d v="1899-12-30T04:55:22"/>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x v="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Complete"/>
    <s v="P.O. Matthew Antista 135"/>
    <s v="A4"/>
    <s v="Det. John Tanucilli 335"/>
    <s v="Complaint Signed"/>
    <s v="290 = Destruction/Damage/Vandalism of Property"/>
    <n v="9"/>
    <d v="2025-03-31T00:00:00"/>
    <d v="1899-12-30T18:00:00"/>
    <m/>
    <m/>
    <d v="2025-04-01T00:00:00"/>
    <d v="1899-12-30T00:53:05"/>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x v="1"/>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Complete"/>
    <s v="P.O. Matthew Antista 135"/>
    <s v="A4"/>
    <s v="Det. John Tanucilli 335"/>
    <s v="Complaint Signed"/>
    <s v="290 = Destruction/Damage/Vandalism of Property"/>
    <n v="9"/>
    <d v="2025-03-31T00:00:00"/>
    <d v="1899-12-30T20:00:00"/>
    <m/>
    <m/>
    <d v="2025-03-31T00:00:00"/>
    <d v="1899-12-30T23:58:33"/>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x v="2"/>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Complete"/>
    <s v="P.O. Anzour Marza 356"/>
    <s v="A3"/>
    <s v="Det. John Tanucilli 335"/>
    <s v="Active/Administratively Closed"/>
    <s v="23F = Theft From Motor Vehicle"/>
    <n v="9"/>
    <d v="2025-04-01T00:00:00"/>
    <d v="1899-12-30T20:28:40"/>
    <m/>
    <m/>
    <d v="2025-04-01T00:00:00"/>
    <d v="1899-12-30T20:28:40"/>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25-004478"/>
    <x v="0"/>
    <x v="0"/>
    <d v="1899-12-30T12:00:00"/>
    <d v="1899-12-30T12:00:00"/>
    <x v="0"/>
    <s v="January"/>
    <s v="Second St, 0 Block"/>
    <s v="30 Second Street"/>
    <x v="0"/>
    <s v="Burglary - Residence"/>
    <s v=""/>
    <s v=""/>
    <s v="30 Second Street, Hackensack, NJ, 07601"/>
    <s v="G3"/>
    <n v="7"/>
    <s v="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
    <m/>
    <m/>
    <m/>
    <m/>
    <m/>
    <m/>
    <m/>
    <m/>
    <m/>
    <m/>
    <s v="Deleon_A"/>
    <s v="Complete"/>
    <s v="P.O. Aziah Miller 357"/>
    <s v="A3"/>
    <s v="Det. Matthew DeBonis 325"/>
    <s v="Active/Administratively Closed"/>
    <s v="220 = Burglary/Breaking &amp; Entering"/>
    <n v="9"/>
    <d v="2025-01-16T00:00:00"/>
    <d v="1899-12-30T12:00:00"/>
    <d v="2025-01-16T00:00:00"/>
    <d v="1899-12-30T18:00:00"/>
    <d v="2025-01-16T00:00:00"/>
    <d v="1899-12-30T19:34:52"/>
    <n v="2025"/>
    <n v="3"/>
    <n v="3"/>
    <n v="16"/>
    <n v="16"/>
    <d v="2025-01-16T12:00:00"/>
    <n v="30"/>
    <s v="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
    <m/>
    <s v="suspects at the time this report was taken"/>
    <s v="$35.00. A Victim Notification was completed and the victim was provided with a copy upon our departure"/>
    <s v="C01W03"/>
    <x v="0"/>
  </r>
  <r>
    <s v="25-006864"/>
    <x v="1"/>
    <x v="1"/>
    <d v="1899-12-30T11:00:00"/>
    <d v="1899-12-30T11:00:00"/>
    <x v="1"/>
    <s v="January"/>
    <s v="Kansas St, 0 Block"/>
    <s v="60 Kansas Street"/>
    <x v="0"/>
    <s v="Burglary - Residence"/>
    <s v=""/>
    <s v=""/>
    <s v="60 Kansas Street, Hackensack, NJ, 07601"/>
    <s v="E1"/>
    <n v="5"/>
    <s v="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Sgt. Competiello contacted detectives. Detective DeBonis arrived on scene.The victim requested for the apartment to be processed. Sgt. Competiello contacted Bergen County Sheriff's Office. Detective LaSala #1866 arrived on scene. See BCSO case #2025-0052 for more .I observed no signs of forced entry. The New Jersey victim notification form was filled out and a copy was provided to the victim for her records.The crime scene was secured at 14:15 hours.Crime Scene Log:14:31: Det. LaSala Enters14:38: Det. LaSala Exits14:48: Det. Lasala Enters14:49: Det. Debonis Enters15:01: Det. LaSala Exits.15:04: Det. LaSala Enters.Crime Scene Terminated: 15:08"/>
    <m/>
    <m/>
    <m/>
    <m/>
    <m/>
    <m/>
    <m/>
    <m/>
    <m/>
    <m/>
    <s v="Levis_R"/>
    <s v="Complete"/>
    <s v="P.O. Andres Lopez 375"/>
    <s v="A2"/>
    <s v="Det. Matthew DeBonis 325"/>
    <s v="Active Investigation"/>
    <s v="220 = Burglary/Breaking &amp; Entering"/>
    <n v="9"/>
    <d v="2025-01-25T00:00:00"/>
    <d v="1899-12-30T11:00:00"/>
    <d v="2025-01-25T00:00:00"/>
    <d v="1899-12-30T14:00:00"/>
    <d v="2025-01-25T00:00:00"/>
    <d v="1899-12-30T13:55:59"/>
    <n v="2025"/>
    <n v="4"/>
    <n v="4"/>
    <n v="25"/>
    <n v="25"/>
    <d v="2025-01-25T11:00:00"/>
    <n v="60"/>
    <s v="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Sgt. Competiello contacted detectives. Detective DeBonis arrived on scene.The victim requested for the apartment to be processed. Sgt. Competiello contacted Bergen County Sheriff's Office. Detective LaSala #1866 arrived on scene. See BCSO case #2025-0052 for more .I observed no signs of forced entry. The New Jersey victim notification form was filled out and a copy was provided to the victim for her records.The crime scene was secured at 14:15 hours.Crime Scene Log:14:31: Det. LaSala Enters14:38: Det. LaSala Exits14:48: Det. Lasala Enters14:49: Det. Debonis Enters15:01: Det. LaSala Exits.15:04: Det. LaSala Enters.Crime Scene Terminated: 15:08"/>
    <m/>
    <s v="suspects inside"/>
    <s v="$2,000 in miscellaneous jewelry. She described the jewelry to be earrings and gold necklaces.The victim reported she had the same incident occur in 2023"/>
    <s v="C01W04"/>
    <x v="1"/>
  </r>
  <r>
    <s v="25-008551"/>
    <x v="2"/>
    <x v="1"/>
    <d v="1899-12-30T11:00:00"/>
    <d v="1899-12-30T11:59:50"/>
    <x v="2"/>
    <s v="January"/>
    <s v="The Esplanade, 200 Block"/>
    <s v="292 The Esplanade"/>
    <x v="0"/>
    <s v="Burglary - Residence"/>
    <s v=""/>
    <s v=""/>
    <s v="292 The Esplanade, Hackensack, NJ, 07601"/>
    <s v="H5"/>
    <n v="8"/>
    <s v="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
    <m/>
    <m/>
    <m/>
    <m/>
    <m/>
    <m/>
    <m/>
    <m/>
    <m/>
    <m/>
    <s v="Klosk_J"/>
    <s v="Complete"/>
    <s v="P.O. Denisse Caero 367"/>
    <s v="B2"/>
    <s v="Det. John Tanucilli 335"/>
    <s v="Active/Administratively Closed"/>
    <s v="220 = Burglary/Breaking &amp; Entering"/>
    <n v="9"/>
    <d v="2025-01-31T00:00:00"/>
    <d v="1899-12-30T11:59:50"/>
    <m/>
    <m/>
    <d v="2025-01-31T00:00:00"/>
    <d v="1899-12-30T11:59:50"/>
    <n v="2025"/>
    <n v="5"/>
    <n v="5"/>
    <n v="31"/>
    <n v="31"/>
    <d v="2025-01-31T11:59:00"/>
    <n v="292"/>
    <s v="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
    <m/>
    <s v=""/>
    <s v=""/>
    <s v="C02W05"/>
    <x v="1"/>
  </r>
  <r>
    <s v="25-009831"/>
    <x v="3"/>
    <x v="2"/>
    <d v="1899-12-30T02:00:00"/>
    <d v="1899-12-30T02:57:00"/>
    <x v="3"/>
    <s v="February"/>
    <s v="Passaic St, 400 Block"/>
    <s v="441 Passaic Street"/>
    <x v="1"/>
    <s v="Burglary - Commercial"/>
    <s v="Alarm - Burglar"/>
    <s v=""/>
    <s v="441 Passaic Street, Hackensack, NJ, 07601"/>
    <s v="H5"/>
    <n v="8"/>
    <s v="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0448 hours, Det. N. LaSala (BCSD-CSU) arrived to process the scene, BCSD case # 2025-0088.-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
    <m/>
    <m/>
    <m/>
    <m/>
    <m/>
    <m/>
    <m/>
    <m/>
    <m/>
    <m/>
    <s v="Swetits_M"/>
    <s v="Complete"/>
    <s v="P.O. Benjamin Estrada 350"/>
    <s v="A2"/>
    <s v="Det. Frank Scarpa 348"/>
    <s v="Active Investigation"/>
    <s v="220 = Burglary/Breaking &amp; Entering"/>
    <n v="9"/>
    <d v="2025-02-05T00:00:00"/>
    <d v="1899-12-30T02:57:00"/>
    <m/>
    <m/>
    <d v="2025-02-05T00:00:00"/>
    <d v="1899-12-30T02:57:41"/>
    <n v="2025"/>
    <n v="6"/>
    <n v="2"/>
    <n v="5"/>
    <n v="36"/>
    <d v="2025-02-05T02:57:00"/>
    <n v="441"/>
    <s v="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0448 hours, Det. N. LaSala (BCSD-CSU) arrived to process the scene, BCSD case # 2025-0088.-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
    <m/>
    <s v=""/>
    <s v=""/>
    <s v="C02W06"/>
    <x v="2"/>
  </r>
  <r>
    <s v="25-013147"/>
    <x v="4"/>
    <x v="0"/>
    <d v="1899-12-30T12:00:00"/>
    <d v="1899-12-30T12:35:58"/>
    <x v="4"/>
    <s v="February"/>
    <s v="Pangborn Pl, 0 Block"/>
    <s v="35 Pangborn Place"/>
    <x v="2"/>
    <s v="Burglary - Commercial"/>
    <s v="Suspicious Incident"/>
    <s v=""/>
    <s v="35 Pangborn Place, Hackensack, NJ, 07601"/>
    <s v="I1"/>
    <n v="9"/>
    <s v="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Sgt. Farhi was notified. Detectives were notified by Sgt. Farhi. Total value of items taken - $150.00 USD"/>
    <m/>
    <m/>
    <m/>
    <m/>
    <m/>
    <m/>
    <m/>
    <m/>
    <m/>
    <m/>
    <s v="Deleon_A"/>
    <s v="Complete"/>
    <s v="P.O. Ruben Almonte 359"/>
    <s v="A3"/>
    <s v="Sgt. Francesco Tripodi 134"/>
    <s v="Under Supervisor Review"/>
    <s v="220 = Burglary/Breaking &amp; Entering"/>
    <n v="9"/>
    <d v="2025-02-17T00:00:00"/>
    <d v="1899-12-30T12:35:58"/>
    <m/>
    <m/>
    <d v="2025-02-17T00:00:00"/>
    <d v="1899-12-30T12:35:58"/>
    <n v="2025"/>
    <n v="8"/>
    <n v="4"/>
    <n v="17"/>
    <n v="48"/>
    <d v="2025-02-17T12:35:00"/>
    <n v="35"/>
    <s v="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Sgt. Farhi was notified. Detectives were notified by Sgt. Farhi. Total value of items taken - $150.00 USD"/>
    <m/>
    <s v="suspect(s): unknown     i responded to the listed location, 35 pangborn place - hackensack emergency dental, on a report of a burglary"/>
    <s v="$100.00 USD) and a Keep Connect Router Reporter ( $50.00) had been a taken from the basement. The complainant further stated there did not appear to be any forced entry into the basement $150.00 USD"/>
    <s v="C02W07"/>
    <x v="0"/>
  </r>
  <r>
    <s v="25-019648"/>
    <x v="5"/>
    <x v="2"/>
    <d v="1899-12-30T01:00:00"/>
    <d v="1899-12-30T01:07:00"/>
    <x v="4"/>
    <s v="March"/>
    <s v="Park Ave, 0 Block"/>
    <s v="1 Park Avenue"/>
    <x v="0"/>
    <s v="Burglary - Residence"/>
    <s v=""/>
    <s v=""/>
    <s v="1 Park Avenue, Hackensack, NJ, 07601"/>
    <s v="H1"/>
    <n v="8"/>
    <s v="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
    <m/>
    <m/>
    <m/>
    <m/>
    <m/>
    <m/>
    <m/>
    <m/>
    <m/>
    <m/>
    <s v="Ghirardi_R"/>
    <s v="Complete"/>
    <s v="P.O. Nicholas Mazzaccaro 377"/>
    <s v="B2"/>
    <s v="Det. Matthew Dogali 338"/>
    <s v="Active Investigation"/>
    <s v="220 = Burglary/Breaking &amp; Entering"/>
    <n v="9"/>
    <d v="2025-03-10T00:00:00"/>
    <d v="1899-12-30T01:07:00"/>
    <d v="2025-03-10T00:00:00"/>
    <d v="1899-12-30T03:53:00"/>
    <d v="2025-03-11T00:00:00"/>
    <d v="1899-12-30T10:36:59"/>
    <n v="2025"/>
    <n v="11"/>
    <n v="3"/>
    <n v="10"/>
    <n v="69"/>
    <d v="2025-03-10T01:07:00"/>
    <n v="1"/>
    <s v="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
    <m/>
    <s v="suspect #1- black female, long black hair, approximately in the early 30's, approximately 5'10 in height, approximately 170 lbs, wearing a black baseball hat, black jacket, white and black leggings, white socks and white sneakers suspect #2- black female, long black hair, approximately in the early 30's, approximately 5'10 in height, approximately 250 lbs, wearing a white jacket, white and grey leggings,white socks and tan timberlands suspects walked through the front lobby door of 1 park avenue, they proceeded to take the elevator to the 4th floor suspect 1 was seen leaving the entrance of 1 park avenue with two bags potentially from the apartment suspect #1 left with is unknown at this time"/>
    <s v=""/>
    <s v="C03W10"/>
    <x v="2"/>
  </r>
  <r>
    <s v="25-024952"/>
    <x v="6"/>
    <x v="3"/>
    <d v="1899-12-30T22:00:00"/>
    <d v="1899-12-30T22:43:12"/>
    <x v="0"/>
    <s v="March"/>
    <s v="Essex St, 200 Block"/>
    <s v="211 Essex Street"/>
    <x v="3"/>
    <s v="Burglary - Commercial"/>
    <s v="Hindering Apprehension"/>
    <s v="Resisting Arrest/Eluding"/>
    <s v="211 Essex Street, Hackensack, NJ, 07601"/>
    <s v="F1"/>
    <n v="6"/>
    <s v="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quot;Jorge Williams&quot;.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
    <m/>
    <m/>
    <m/>
    <m/>
    <m/>
    <m/>
    <m/>
    <m/>
    <m/>
    <m/>
    <s v="Bay_F"/>
    <s v="Complete"/>
    <s v="P.O. Laura Lopez-Amaya 374"/>
    <s v="B3"/>
    <s v="Det. John Mora 257"/>
    <s v="Active Investigation"/>
    <m/>
    <n v="9"/>
    <d v="2025-03-27T00:00:00"/>
    <d v="1899-12-30T22:43:12"/>
    <m/>
    <m/>
    <d v="2025-03-27T00:00:00"/>
    <d v="1899-12-30T22:43:12"/>
    <n v="2025"/>
    <n v="13"/>
    <n v="5"/>
    <n v="27"/>
    <n v="86"/>
    <d v="2025-03-27T22:43:00"/>
    <n v="211"/>
    <s v="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quot;Jorge Williams&quot;.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
    <m/>
    <s v=""/>
    <s v="$26.99. Melanie Esquiveo then responded to police headquarters to provide a statement to detectives"/>
    <s v="C04W13"/>
    <x v="3"/>
  </r>
  <r>
    <s v="25-025078"/>
    <x v="6"/>
    <x v="3"/>
    <d v="1899-12-30T23:00:00"/>
    <d v="1899-12-30T23:30:00"/>
    <x v="0"/>
    <s v="March"/>
    <s v="Park Ave, 0 Block"/>
    <s v="2 Park Avenue"/>
    <x v="0"/>
    <s v="Burglary - Residence"/>
    <s v=""/>
    <s v=""/>
    <s v="2 Park Avenue, Hackensack, NJ, 07601"/>
    <s v="H1"/>
    <n v="8"/>
    <s v="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
    <n v="50300"/>
    <m/>
    <m/>
    <m/>
    <m/>
    <m/>
    <m/>
    <m/>
    <m/>
    <m/>
    <s v="Klosk_J"/>
    <s v="Complete"/>
    <s v="P.O. Peter Voorhis 380"/>
    <s v="B1"/>
    <s v="Sgt. Patrick Williams 143"/>
    <s v="Active Investigation"/>
    <m/>
    <n v="9"/>
    <d v="2025-03-27T00:00:00"/>
    <d v="1899-12-30T23:30:00"/>
    <d v="2025-03-28T00:00:00"/>
    <d v="1899-12-30T00:36:00"/>
    <d v="2025-03-28T00:00:00"/>
    <d v="1899-12-30T11:13:39"/>
    <n v="2025"/>
    <n v="13"/>
    <n v="5"/>
    <n v="27"/>
    <n v="86"/>
    <d v="2025-03-27T23:30:00"/>
    <n v="2"/>
    <s v="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
    <m/>
    <s v="suspect stated after observing the broken door, he entered his apartment and found drawers, cabinets, and his bedroom door were opened suspects suspect departed his residence suspects appeared to only have gone into a select pair of jeans which contained the rolex watch suspects entered stairwell 3, located across from the victim's apartment at approximately 0030 hours suspects were then viewed leaving the apartment approximately six (6) minutes later at 0036 hours suspects involved, please refer to detective sergeant williams case report suspects if identified"/>
    <s v="$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8,000.00 dollars was stolen. The bracelet was located on the top of the TV stand $8,000.00 dollars was stolen. The necklace was located in the apartment bedroom $4,000.00 dollars.   A Nintendo Switch (Gaming Console) valued at approximately  $300.00 dollars was stolen. The gaming console was located on the living room couch"/>
    <s v="C04W13"/>
    <x v="3"/>
  </r>
  <r>
    <s v="25-025926"/>
    <x v="7"/>
    <x v="0"/>
    <d v="1899-12-30T12:00:00"/>
    <d v="1899-12-30T12:00:00"/>
    <x v="4"/>
    <s v="March"/>
    <s v="Essex St, 100 Block"/>
    <s v="100 Essex Street"/>
    <x v="0"/>
    <s v="Burglary - Residence"/>
    <s v=""/>
    <s v=""/>
    <s v="100 Essex Street, Hackensack, NJ, 07601"/>
    <s v="G2"/>
    <n v="7"/>
    <s v="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quot;Asaad Martinez-Pollard&quot; may be the suspect. The victim reported being assaulted by the suspect a few weeks prior and seeing him briefly today. See Case #25-010292 for further. A NJ Victim Notification form was completed and a copy was provided to the victim. Detective DeBonis was advised."/>
    <m/>
    <m/>
    <m/>
    <m/>
    <m/>
    <m/>
    <m/>
    <m/>
    <m/>
    <m/>
    <s v="Competiello_Fa"/>
    <s v="Complete"/>
    <s v="P.O. Anthony Mattalian 83"/>
    <s v="A2"/>
    <m/>
    <m/>
    <m/>
    <n v="9"/>
    <d v="2025-03-31T00:00:00"/>
    <d v="1899-12-30T12:00:00"/>
    <m/>
    <m/>
    <d v="2025-03-31T00:00:00"/>
    <d v="1899-12-30T13:02:43"/>
    <n v="2025"/>
    <n v="14"/>
    <n v="6"/>
    <n v="31"/>
    <n v="90"/>
    <d v="2025-03-31T12:00:00"/>
    <n v="100"/>
    <s v="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quot;Asaad Martinez-Pollard&quot; may be the suspect. The victim reported being assaulted by the suspect a few weeks prior and seeing him briefly today. See Case #25-010292 for further. A NJ Victim Notification form was completed and a copy was provided to the victim. Detective DeBonis was advised."/>
    <m/>
    <s v="suspect was inside his apartment, were visible suspect suspect a few weeks prior and seeing him briefly today"/>
    <s v="$50.00 USD inside, attached to four (4) keys and one (1) safety deposit box key. Total loss of  $200.00 USD.     The victim stated in effect that he took a shower at approximately 0500 hours today"/>
    <s v="C04W13"/>
    <x v="0"/>
  </r>
  <r>
    <s v="25-027338"/>
    <x v="8"/>
    <x v="0"/>
    <d v="1899-12-30T12:00:00"/>
    <d v="1899-12-30T12:00:00"/>
    <x v="5"/>
    <s v="April"/>
    <s v="Fair St, 0 Block"/>
    <s v="75 Fair Street"/>
    <x v="0"/>
    <s v="Burglary - Residence"/>
    <s v=""/>
    <s v=""/>
    <s v="75 Fair Street, Hackensack, NJ, 07601"/>
    <s v="E1"/>
    <n v="5"/>
    <s v="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
    <m/>
    <m/>
    <m/>
    <m/>
    <m/>
    <m/>
    <m/>
    <m/>
    <m/>
    <m/>
    <s v="Klosk_J"/>
    <s v="Complete"/>
    <s v="P.O. Alexander Reyes 355"/>
    <s v="B4"/>
    <s v="Det. Gunther Lara-Nunez 351"/>
    <s v="Active Investigation"/>
    <m/>
    <n v="9"/>
    <d v="2025-04-01T00:00:00"/>
    <d v="1899-12-30T12:00:00"/>
    <d v="2025-04-04T00:00:00"/>
    <d v="1899-12-30T12:30:00"/>
    <d v="2025-04-04T00:00:00"/>
    <d v="1899-12-30T13:05:28"/>
    <n v="2025"/>
    <n v="14"/>
    <n v="1"/>
    <n v="1"/>
    <n v="91"/>
    <d v="2025-04-01T12:00:00"/>
    <n v="75"/>
    <s v="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
    <m/>
    <s v=""/>
    <s v=""/>
    <s v="C04W14"/>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25-003362"/>
    <x v="0"/>
    <x v="0"/>
    <d v="1899-12-30T12:00:00"/>
    <d v="1899-12-30T12:05:00"/>
    <x v="0"/>
    <s v="January"/>
    <s v="Clay St, 200 Block"/>
    <s v="204 Clay Street"/>
    <s v="Dispute, Criminal Attempt, Robbery"/>
    <s v="Dispute"/>
    <s v="Criminal Attempt"/>
    <s v="Robbery"/>
    <s v="204 Clay Street, Hackensack, NJ, 07601"/>
    <s v="H3"/>
    <n v="8"/>
    <s v="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It should be noted that the victim, A.R., reported that he had dropped out of school as of today; therefore, a handle with care was not completed. See Detectives report for additional information."/>
    <m/>
    <m/>
    <m/>
    <m/>
    <m/>
    <m/>
    <m/>
    <m/>
    <m/>
    <m/>
    <s v="Klosk_J"/>
    <s v="Complete"/>
    <s v="P.O. Forrod Bonsu 353"/>
    <s v="B1"/>
    <s v="Det. Frankie Garrett 323"/>
    <s v="Active Investigation"/>
    <s v="120 = Robbery"/>
    <n v="2025"/>
    <n v="3"/>
    <n v="3"/>
    <n v="13"/>
    <n v="13"/>
    <d v="2025-01-13T12:05:00"/>
    <n v="204"/>
    <s v="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It should be noted that the victim, A.R., reported that he had dropped out of school as of today; therefore, a handle with care was not completed. See Detectives report for additional information."/>
    <m/>
    <s v="suspect, described as wearing a grey hoodie and sweatpants, had fled southbound on first street suspect, later identified as d suspect, d suspect asked the victim if he could drop off the stolen moped for a couple of days suspect, d suspect arrived at his residence demanding $400 suspect arrived with three (3) other friends: two hispanic males, unknown names, dates of birth, or addresses, and a hispanic female, blonde hair and blue jacket, operating a toyota rav 4 with an unknown ny tag suspect, and the three (3) witnesses stood by suspect breached the door with physical force and continued to assault the victim while demanding $400 suspect, d suspect and the three (3) witnesses fled the scene after she threatened to call the police"/>
    <s v="$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400.00 for the red moped electric bike.  I then requested a supervisor, and Sgt"/>
    <s v="C01W02"/>
  </r>
  <r>
    <s v="25-003813"/>
    <x v="1"/>
    <x v="0"/>
    <d v="1899-12-30T15:00:00"/>
    <d v="1899-12-30T15:22:34"/>
    <x v="1"/>
    <s v="January"/>
    <s v="Hackensack Ave, 400 Block"/>
    <s v="450 Hackensack Avenue"/>
    <s v="Robbery, Resisting Arrest/Eluding, Suspicious Person"/>
    <s v="Robbery"/>
    <s v="Resisting Arrest/Eluding"/>
    <s v="Suspicious Person"/>
    <s v="450 Hackensack Avenue, Hackensack, NJ, 07601"/>
    <s v="I6"/>
    <n v="9"/>
    <s v="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The arrestee was remanded to the Bergen County Jail."/>
    <m/>
    <m/>
    <s v="Y82VDS"/>
    <s v="VOLKS"/>
    <s v="ATL"/>
    <s v="NJ"/>
    <m/>
    <m/>
    <m/>
    <m/>
    <s v="Swetits_M"/>
    <s v="Complete"/>
    <s v="P.O. Nicholas Mazzaccaro 377"/>
    <s v="b2"/>
    <s v="Det. John Tanucilli 335"/>
    <s v="Active Investigation"/>
    <s v="120 = Robbery"/>
    <n v="2025"/>
    <n v="3"/>
    <n v="3"/>
    <n v="14"/>
    <n v="14"/>
    <d v="2025-01-14T15:22:00"/>
    <n v="450"/>
    <s v="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The arrestee was remanded to the Bergen County Jail."/>
    <s v="Vehicle 1: NJ-Y82VDS VOLKS, ATL"/>
    <s v=""/>
    <s v="$1,284.00 and placed them in a shopping cart. The arrestee then went past all points of sale and tried to exit the store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s v="C01W03"/>
  </r>
  <r>
    <s v="25-004629"/>
    <x v="2"/>
    <x v="1"/>
    <d v="1899-12-30T21:00:00"/>
    <d v="1899-12-30T21:03:00"/>
    <x v="2"/>
    <s v="January"/>
    <s v="Main St, 600 Block"/>
    <s v="630 Main Street"/>
    <s v="Robbery"/>
    <s v="Robbery"/>
    <s v=""/>
    <s v=""/>
    <s v="630 Main Street, Hackensack, NJ, 07601"/>
    <s v="I1"/>
    <n v="9"/>
    <s v="Suspect 1: Hispanic male, approximately early 30' s in age, approximately 5'10&quot; in height, approximately 180 in weight, wearing a tan hooded sweater, brown &quot;NY&quot; Yankees logo hat, black sweatpants and white sneakers.Suspect 2: Hispanic female, approximately mid 20's in age, approximately 5'5&quot; in height, approximately 140 in weight, wearing a black jacket, grey hooded sweater, tan pants and cream colored shoes. Suspect Vehicle: 4 door Silver in color Hyundai Sonata (unknown registration).On 1/17/25 P.O. Papanikolaou and I responded to 630 Main Street, Target on a reported shoplifting. While   speaking with Target Loss Prevention they wanted to report an additional incident, which occurred in the past.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A receipt of the unpaid merchandise was provided by Target Loss Prevention. The receipt was later secured in the Detective Bureau Mailbox."/>
    <m/>
    <m/>
    <m/>
    <s v="HYUNDAI"/>
    <s v="SONATA"/>
    <m/>
    <m/>
    <m/>
    <m/>
    <m/>
    <s v="Deleon_A"/>
    <s v="Complete"/>
    <s v="P.O. Massimo Gallorini 379"/>
    <s v="A2"/>
    <s v="Det. John Mora 257"/>
    <s v="Complaint Signed"/>
    <s v="120 = Robbery"/>
    <n v="2025"/>
    <n v="3"/>
    <n v="3"/>
    <n v="16"/>
    <n v="16"/>
    <d v="2025-01-16T21:03:00"/>
    <n v="630"/>
    <s v="Suspect 1: Hispanic male, approximately early 30' s in age, approximately 5'10&quot; in height, approximately 180 in weight, wearing a tan hooded sweater, brown &quot;NY&quot; Yankees logo hat, black sweatpants and white sneakers.Suspect 2: Hispanic female, approximately mid 20's in age, approximately 5'5&quot; in height, approximately 140 in weight, wearing a black jacket, grey hooded sweater, tan pants and cream colored shoes. Suspect Vehicle: 4 door Silver in color Hyundai Sonata (unknown registration).On 1/17/25 P.O. Papanikolaou and I responded to 630 Main Street, Target on a reported shoplifting. While   speaking with Target Loss Prevention they wanted to report an additional incident, which occurred in the past.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A receipt of the unpaid merchandise was provided by Target Loss Prevention. The receipt was later secured in the Detective Bureau Mailbox."/>
    <s v="Vehicle 1: HYUNDAI, SONATA"/>
    <s v="suspect 1: hispanic male, approximately early 30' s in age, approximately 5'10&quot; in height, approximately 180 in weight, wearing a tan hooded sweater, brown &quot;ny&quot; yankees logo hat, black sweatpants and white sneakers suspect 2: hispanic female, approximately mid 20's in age, approximately 5'5&quot; in height, approximately 140 in weight, wearing a black jacket, grey hooded sweater, tan pants and cream colored shoes suspect vehicle: 4 door silver in color hyundai sonata (unknown registration) suspect 1 and  suspect 2 entered target suspect 1 and 2 passed all points of sale with unpaid merchandise in a shopping cart suspects suspects attempted to steal suspect 1 punched the victim in the head, specifically the top left side, with a closed fist one time suspect later left the area in the  suspect vehicle"/>
    <s v="$452.71. Prior to exiting Target Loss Prevention / the victim confronted both suspects"/>
    <s v="C01W03"/>
  </r>
  <r>
    <s v="25-009348"/>
    <x v="3"/>
    <x v="2"/>
    <d v="1899-12-30T17:00:00"/>
    <d v="1899-12-30T17:25:00"/>
    <x v="3"/>
    <s v="February"/>
    <s v="Hudson St, 100 Block"/>
    <s v="144 Hudson Street"/>
    <s v="Suspicious Incident, Robbery"/>
    <s v="Suspicious Incident"/>
    <s v="Robbery"/>
    <s v=""/>
    <s v="144 Hudson Street, Hackensack, NJ, 07601"/>
    <s v="E1"/>
    <n v="5"/>
    <s v="Unknown Suspect Descriptions:Unknown Suspect 1: Tall white male, crew cut, no clothing description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
    <m/>
    <m/>
    <m/>
    <m/>
    <m/>
    <m/>
    <m/>
    <m/>
    <m/>
    <m/>
    <s v="Deleon_A"/>
    <s v="Complete"/>
    <s v="P.O. Micah Gibson 365"/>
    <s v="A3"/>
    <s v="Sgt. Francesco Tripodi 134"/>
    <s v="No Investigation"/>
    <m/>
    <n v="2025"/>
    <n v="6"/>
    <n v="2"/>
    <n v="2"/>
    <n v="33"/>
    <d v="2025-02-02T17:25:00"/>
    <n v="144"/>
    <s v="Unknown Suspect Descriptions:Unknown Suspect 1: Tall white male, crew cut, no clothing description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
    <m/>
    <s v="suspect descriptions:unknown  suspect 1: tall white male, crew cut, no clothing descriptionunknown  suspects 2-5: 4 males, unknown race, wearing dark colored helmets and dark clothes with padding suspects, with four of them carrying bats suspect #1 threatened him, stating that he would beat him up if he didn't hand over his belongings suspect #1 forcibly retrieved the wallet off his person and removed a debit card and identification card, before throwing the wallet back in his direction suspect's then told him if they saw him again, they would beat him up suspects then fled east on court street, before turning left to head north on river road"/>
    <s v=""/>
    <s v="C02W05"/>
  </r>
  <r>
    <s v="25-009438"/>
    <x v="4"/>
    <x v="2"/>
    <d v="1899-12-30T16:00:00"/>
    <d v="1899-12-30T16:40:35"/>
    <x v="0"/>
    <s v="February"/>
    <s v="Hackensack Ave, 400 Block"/>
    <s v="400 Hackensack Avenue"/>
    <s v="Robbery"/>
    <s v="Robbery"/>
    <s v=""/>
    <s v=""/>
    <s v="400 Hackensack Avenue, Hackensack, NJ, 07601"/>
    <s v="I6"/>
    <n v="9"/>
    <s v="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quot;, black beanie, black puffer, dark pants, white/blue sneakers     Suspect 2: Black female, heavy build, 5'8&quot;, short hair, black puffer, black leggings, black pocketbook     Suspect 3: Black female, heavy build, 5'7&quot;, long cornrows, gray puffer, light blue jeans"/>
    <m/>
    <m/>
    <m/>
    <m/>
    <m/>
    <m/>
    <m/>
    <m/>
    <m/>
    <m/>
    <s v="Levis_R"/>
    <s v="Complete"/>
    <s v="P.O. Aziah Miller 357"/>
    <s v="A3"/>
    <s v="Det. Matthew Dogali 338"/>
    <s v="Active/Administratively Closed"/>
    <s v="120 = Robbery"/>
    <n v="2025"/>
    <n v="6"/>
    <n v="2"/>
    <n v="3"/>
    <n v="34"/>
    <d v="2025-02-03T16:40:00"/>
    <n v="400"/>
    <s v="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quot;, black beanie, black puffer, dark pants, white/blue sneakers     Suspect 2: Black female, heavy build, 5'8&quot;, short hair, black puffer, black leggings, black pocketbook     Suspect 3: Black female, heavy build, 5'7&quot;, long cornrows, gray puffer, light blue jeans"/>
    <m/>
    <s v="suspects (1 male, 2 females) entered the establishment at approximately 1600 hours suspects reportedly exited and reentered the store multiples time prior to committing the offense, with the last entry being made only by the male  suspect suspect grabbed three small purses from the display shelf before he began to walk toward the exit suspect, who immediately shoved him into a store fixture suspect reportedly proceeded to run out of the store toward the nearest mall exit, where he entered a black vehicle and fled in an unknown direction suspects if they were able to be identified suspect 1: black male, slim build, 5'8&quot;, black beanie, black puffer, dark pants, white/blue sneakers      suspect 2: black female, heavy build, 5'8&quot;, short hair, black puffer, black leggings, black pocketbook      suspect 3: black female, heavy build, 5'7&quot;, long cornrows, gray puffer, light blue jeans"/>
    <s v="$650.00. The store manager (witness) wished to have complaints signed against the suspects if they were able to be identified"/>
    <s v="C02W05"/>
  </r>
  <r>
    <s v="25-012110"/>
    <x v="5"/>
    <x v="3"/>
    <d v="1899-12-30T02:00:00"/>
    <d v="1899-12-30T02:00:00"/>
    <x v="2"/>
    <s v="February"/>
    <s v="Christopher Columbus Drive, 100 Block"/>
    <s v="128 Christopher Columbus Drive"/>
    <s v="Assist Other Agency, Aggravated Assault, Robbery"/>
    <s v="Assist Other Agency"/>
    <s v="Aggravated Assault"/>
    <s v="Robbery"/>
    <s v="128 Christopher Columbus Drive, Jersey City, NJ 07302, Hackensack, NJ, 07601"/>
    <s v="I5"/>
    <n v="9"/>
    <s v="Victim and suspect were in a dating relationship for approximately 9 months.    I responded to Police Headquarters on a report of Domestic Violence. Upon arrival I met with the Victim who stated on 02/13/2025 at approximately 0200 hours she was at a bar called &quot;Six26&quot;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A recorded statement was taken by Detective Mora. BREATHE services were offered but the victim refused. A New Jersey Victim Notification Form was completed.DVRT Form was completed.Voluntary Handwritten Statement was completed.ODARA Form was completed. Jersey City Police Department Detective Soto was advised of the incident.All paperwork was forwarded to him for complaints to be signed."/>
    <m/>
    <m/>
    <m/>
    <m/>
    <m/>
    <m/>
    <m/>
    <m/>
    <m/>
    <m/>
    <s v="Briggs_S"/>
    <s v="Complete"/>
    <s v="P.O. Angelo Vicale 370"/>
    <s v="B3"/>
    <s v="Det. John Mora 257"/>
    <s v="TOT Outside Jurisdiction"/>
    <m/>
    <n v="2025"/>
    <n v="7"/>
    <n v="3"/>
    <n v="13"/>
    <n v="44"/>
    <d v="2025-02-13T02:00:00"/>
    <n v="128"/>
    <s v="Victim and suspect were in a dating relationship for approximately 9 months.    I responded to Police Headquarters on a report of Domestic Violence. Upon arrival I met with the Victim who stated on 02/13/2025 at approximately 0200 hours she was at a bar called &quot;Six26&quot;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A recorded statement was taken by Detective Mora. BREATHE services were offered but the victim refused. A New Jersey Victim Notification Form was completed.DVRT Form was completed.Voluntary Handwritten Statement was completed.ODARA Form was completed. Jersey City Police Department Detective Soto was advised of the incident.All paperwork was forwarded to him for complaints to be signed."/>
    <m/>
    <s v="suspect were in a dating relationship for approximately 9 months suspect met with her on the sidewalk suspect wished to get back together, but she refused suspect strangled her, he stole her iphone 14 pro out of her front pocket (approximate value: $1,000 suspect, but he has not been served"/>
    <s v="$1,000.00) then fled the scene.     The victim advised me that she currently has a restraining order against the suspect, but he has not been served"/>
    <s v="C02W07"/>
  </r>
  <r>
    <s v="25-017536"/>
    <x v="6"/>
    <x v="2"/>
    <d v="1899-12-30T18:00:00"/>
    <d v="1899-12-30T18:59:25"/>
    <x v="1"/>
    <s v="March"/>
    <s v="Essex St, 200 Block"/>
    <s v="216 Essex Street"/>
    <s v="Robbery"/>
    <s v="Robbery"/>
    <s v=""/>
    <s v=""/>
    <s v="216 Essex Street, Hackensack, NJ, 07601"/>
    <s v="F1"/>
    <n v="6"/>
    <s v="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quot;If you call the police, I will kill you.&quot;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quot;No.&quot;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
    <m/>
    <m/>
    <m/>
    <m/>
    <m/>
    <m/>
    <m/>
    <m/>
    <m/>
    <m/>
    <s v="Bay_F"/>
    <s v="Complete"/>
    <s v="P.O. Steven Lemanowicz 347"/>
    <s v="B4"/>
    <s v="Det. Matthew DeBonis 325"/>
    <s v="Active Investigation"/>
    <s v="120 = Robbery"/>
    <n v="2025"/>
    <n v="10"/>
    <n v="2"/>
    <n v="4"/>
    <n v="63"/>
    <d v="2025-03-04T18:59:00"/>
    <n v="216"/>
    <s v="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quot;If you call the police, I will kill you.&quot;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quot;No.&quot;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
    <m/>
    <s v="suspect description:  bm, 5'5, gray vest, blue hooded sweatshirt, blue jeans, black medium length hair, black purse and a black backpack suspect) had entered his store whom he recognized that had caused a disturbance earlier in the day with his customers suspect to leave or he will call the police suspect then grabbed two 50 ml bottles of patron silver and the employee grabbed his hand suspect then left the store with the bottles, picked up a black backpack he left outside the store and walked north on lehigh street suspect said anything during the theft and he stated the  suspect responded, &quot;if you call the police, i will kill you suspect taking the bottles suspect was put out to patrols and a canvass of the area was negative for the  suspect suspect if he was identified"/>
    <s v="$7.00 each for a total loss of  $14.00."/>
    <s v="C03W10"/>
  </r>
  <r>
    <s v="25-017488"/>
    <x v="6"/>
    <x v="0"/>
    <d v="1899-12-30T15:00:00"/>
    <d v="1899-12-30T15:23:00"/>
    <x v="1"/>
    <s v="March"/>
    <s v="High St, 100 Block"/>
    <s v="195 High Street"/>
    <s v="Robbery, Unlawful Possess./Weapons, Dispute"/>
    <s v="Robbery"/>
    <s v="Unlawful Possess./Weapons"/>
    <s v="Dispute"/>
    <s v="195 High Street, Hackensack, NJ, 07601"/>
    <s v="H3"/>
    <n v="8"/>
    <s v="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quot;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quot; I will fuck both of ya up&quot; and began demanding the money Foster owed him.     Hunt reported that, he told the suspect that he was going to call the police. The suspect then stated ' I ain't scared of no police&quot;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
    <m/>
    <m/>
    <s v="D78PNR"/>
    <s v="BMW"/>
    <s v="430"/>
    <s v="NJ"/>
    <m/>
    <m/>
    <m/>
    <m/>
    <s v="Bay_F"/>
    <s v="Complete"/>
    <s v="P.O. Bobby Rivera 361"/>
    <s v="b2"/>
    <s v="Det. John Mora 257"/>
    <s v="Complaint Signed"/>
    <s v="120 = Robbery"/>
    <n v="2025"/>
    <n v="10"/>
    <n v="2"/>
    <n v="4"/>
    <n v="63"/>
    <d v="2025-03-04T15:23:00"/>
    <n v="195"/>
    <s v="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quot;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quot; I will fuck both of ya up&quot; and began demanding the money Foster owed him.     Hunt reported that, he told the suspect that he was going to call the police. The suspect then stated ' I ain't scared of no police&quot;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
    <s v="Vehicle 1: NJ-D78PNR BMW, 430"/>
    <s v="suspect because she owed him money suspect exited the bmw and confronted him suspect began asking where foster was and hunt advised him that he believes she was at the listed address suspect then stated &quot; ya keep fucking around with me and i am going to bust a cap in both of your asses' suspect reentered the white bmw and began following him suspect exited the bmw, and followed him up the front porch suspect followed him inside, uninvited suspect removed a short black baseball bat from his waistband and stated &quot; i will fuck both of ya up&quot; and began demanding the money foster owed him suspect that he was going to call the police suspect then stated ' i ain't scared of no police&quot; and attempted to snatch hunts phone from his hands suspect fled suspect was responsible for the broken window, however, neither of them observed it suspect's vehicle of nj -d78pnr suspects name and an address of 26 anderson street, where she believes the mother resides suspect suspect for 2c:15-1a(2), 2c:12-3a, 2c:12-1a3, 2c:39-5d, and 2c:39-4d"/>
    <s v=""/>
    <s v="C03W10"/>
  </r>
  <r>
    <s v="25-024100"/>
    <x v="7"/>
    <x v="4"/>
    <d v="1899-12-30T11:00:00"/>
    <d v="1899-12-30T11:37:00"/>
    <x v="1"/>
    <s v="March"/>
    <s v="Hackensack Ave, 400 Block"/>
    <s v="450 Hackensack Avenue"/>
    <s v="Robbery, Theft, Medical Call"/>
    <s v="Robbery"/>
    <s v="Theft"/>
    <s v="Medical Call"/>
    <s v="450 Hackensack Avenue, Hackensack, NJ, 07601"/>
    <s v="I6"/>
    <n v="9"/>
    <s v="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
    <m/>
    <m/>
    <s v="C73VBN"/>
    <s v="SUBARU"/>
    <s v="IMP"/>
    <s v="NJ"/>
    <m/>
    <m/>
    <m/>
    <m/>
    <s v="Klosk_J"/>
    <s v="Complete"/>
    <s v="P.O. Christian Alvarez 364"/>
    <s v="B1"/>
    <s v="Det. John Tanucilli 335"/>
    <s v="Active Investigation"/>
    <m/>
    <n v="2025"/>
    <n v="13"/>
    <n v="5"/>
    <n v="25"/>
    <n v="84"/>
    <d v="2025-03-25T11:37:00"/>
    <n v="450"/>
    <s v="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
    <s v="Vehicle 1: NJ-C73VBN SUBARU, IMP"/>
    <s v="suspect: hispanic female approximately 50 years of age and heavy build suspect who put a gold chain around his neck and began to converse with him suspect then began to rip the victim's rolex watch off of his left wrist suspect but was unsuccessful suspect stole the watch and got into the passenger seat of a white sedan, which drove off"/>
    <s v="$15,000.00. Hackensack University Medical Center BLS responded to the scene and evaluated the patient"/>
    <s v="C04W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5A78C4-3C6E-4DC8-8FB5-16CBF0864303}" name="PT_BUR_AUTO_28D"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27:E31" firstHeaderRow="1" firstDataRow="2" firstDataCol="1" rowPageCount="2" colPageCount="1"/>
  <pivotFields count="54">
    <pivotField dataField="1" compact="0" outline="0" showAll="0"/>
    <pivotField axis="axisPage" compact="0" numFmtId="14" outline="0" multipleItemSelectionAllowed="1" showAll="0">
      <items count="12">
        <item h="1" x="0"/>
        <item h="1" x="1"/>
        <item h="1" x="2"/>
        <item h="1" x="3"/>
        <item h="1" x="4"/>
        <item h="1" x="5"/>
        <item h="1" x="6"/>
        <item x="7"/>
        <item x="8"/>
        <item x="9"/>
        <item x="10"/>
        <item t="default"/>
      </items>
    </pivotField>
    <pivotField compact="0" outline="0" showAll="0">
      <items count="5">
        <item x="0"/>
        <item x="1"/>
        <item x="2"/>
        <item x="3"/>
        <item t="default"/>
      </items>
    </pivotField>
    <pivotField compact="0" numFmtId="164" outline="0" showAll="0"/>
    <pivotField compact="0" numFmtId="164" outline="0" showAll="0"/>
    <pivotField axis="axisCol" compact="0" outline="0" showAll="0" nonAutoSortDefault="1">
      <items count="12">
        <item m="1" x="8"/>
        <item m="1" x="6"/>
        <item m="1" x="10"/>
        <item m="1" x="9"/>
        <item m="1" x="7"/>
        <item x="2"/>
        <item x="0"/>
        <item x="4"/>
        <item x="3"/>
        <item x="1"/>
        <item x="5"/>
        <item t="default"/>
      </items>
    </pivotField>
    <pivotField compact="0" outline="0" showAll="0"/>
    <pivotField compact="0" outline="0" showAll="0"/>
    <pivotField compact="0" outline="0" showAll="0"/>
    <pivotField axis="axisPage"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name="Time of Day" axis="axisRow" compact="0" outline="0" showAll="0">
      <items count="5">
        <item x="0"/>
        <item x="1"/>
        <item x="3"/>
        <item x="2"/>
        <item t="default"/>
      </items>
    </pivotField>
  </pivotFields>
  <rowFields count="1">
    <field x="53"/>
  </rowFields>
  <rowItems count="3">
    <i>
      <x v="1"/>
    </i>
    <i>
      <x v="2"/>
    </i>
    <i>
      <x v="3"/>
    </i>
  </rowItems>
  <colFields count="1">
    <field x="5"/>
  </colFields>
  <colItems count="4">
    <i>
      <x v="5"/>
    </i>
    <i>
      <x v="6"/>
    </i>
    <i>
      <x v="7"/>
    </i>
    <i>
      <x v="10"/>
    </i>
  </colItems>
  <pageFields count="2">
    <pageField fld="1" hier="-1"/>
    <pageField fld="9" hier="-1"/>
  </pageFields>
  <dataFields count="1">
    <dataField name="Count of Case Number" fld="0" subtotal="count" baseField="0" baseItem="0"/>
  </dataFields>
  <formats count="32">
    <format dxfId="622">
      <pivotArea field="2" type="button" dataOnly="0" labelOnly="1" outline="0"/>
    </format>
    <format dxfId="621">
      <pivotArea dataOnly="0" labelOnly="1" outline="0" fieldPosition="0">
        <references count="1">
          <reference field="5" count="0"/>
        </references>
      </pivotArea>
    </format>
    <format dxfId="620">
      <pivotArea type="origin" dataOnly="0" labelOnly="1" outline="0" fieldPosition="0"/>
    </format>
    <format dxfId="619">
      <pivotArea field="5" type="button" dataOnly="0" labelOnly="1" outline="0" axis="axisCol" fieldPosition="0"/>
    </format>
    <format dxfId="618">
      <pivotArea type="topRight" dataOnly="0" labelOnly="1" outline="0" fieldPosition="0"/>
    </format>
    <format dxfId="617">
      <pivotArea field="2" type="button" dataOnly="0" labelOnly="1" outline="0"/>
    </format>
    <format dxfId="616">
      <pivotArea dataOnly="0" labelOnly="1" outline="0" fieldPosition="0">
        <references count="1">
          <reference field="5" count="0"/>
        </references>
      </pivotArea>
    </format>
    <format dxfId="615">
      <pivotArea type="origin" dataOnly="0" labelOnly="1" outline="0" fieldPosition="0"/>
    </format>
    <format dxfId="614">
      <pivotArea field="5" type="button" dataOnly="0" labelOnly="1" outline="0" axis="axisCol" fieldPosition="0"/>
    </format>
    <format dxfId="613">
      <pivotArea type="topRight" dataOnly="0" labelOnly="1" outline="0" fieldPosition="0"/>
    </format>
    <format dxfId="612">
      <pivotArea type="origin" dataOnly="0" labelOnly="1" outline="0" fieldPosition="0"/>
    </format>
    <format dxfId="611">
      <pivotArea field="5" type="button" dataOnly="0" labelOnly="1" outline="0" axis="axisCol" fieldPosition="0"/>
    </format>
    <format dxfId="610">
      <pivotArea type="origin" dataOnly="0" labelOnly="1" outline="0" fieldPosition="0"/>
    </format>
    <format dxfId="609">
      <pivotArea field="5" type="button" dataOnly="0" labelOnly="1" outline="0" axis="axisCol" fieldPosition="0"/>
    </format>
    <format dxfId="608">
      <pivotArea type="topRight" dataOnly="0" labelOnly="1" outline="0" fieldPosition="0"/>
    </format>
    <format dxfId="607">
      <pivotArea field="2" type="button" dataOnly="0" labelOnly="1" outline="0"/>
    </format>
    <format dxfId="606">
      <pivotArea outline="0" collapsedLevelsAreSubtotals="1" fieldPosition="0"/>
    </format>
    <format dxfId="605">
      <pivotArea dataOnly="0" labelOnly="1" outline="0" fieldPosition="0">
        <references count="1">
          <reference field="53" count="0"/>
        </references>
      </pivotArea>
    </format>
    <format dxfId="604">
      <pivotArea dataOnly="0" labelOnly="1" outline="0" fieldPosition="0">
        <references count="1">
          <reference field="53" count="0"/>
        </references>
      </pivotArea>
    </format>
    <format dxfId="603">
      <pivotArea field="53" type="button" dataOnly="0" labelOnly="1" outline="0" axis="axisRow" fieldPosition="0"/>
    </format>
    <format dxfId="602">
      <pivotArea type="origin" dataOnly="0" labelOnly="1" outline="0" fieldPosition="0"/>
    </format>
    <format dxfId="601">
      <pivotArea field="5" type="button" dataOnly="0" labelOnly="1" outline="0" axis="axisCol" fieldPosition="0"/>
    </format>
    <format dxfId="600">
      <pivotArea type="topRight" dataOnly="0" labelOnly="1" outline="0" fieldPosition="0"/>
    </format>
    <format dxfId="599">
      <pivotArea type="all" dataOnly="0" outline="0" fieldPosition="0"/>
    </format>
    <format dxfId="598">
      <pivotArea outline="0" collapsedLevelsAreSubtotals="1" fieldPosition="0"/>
    </format>
    <format dxfId="597">
      <pivotArea type="origin" dataOnly="0" labelOnly="1" outline="0" fieldPosition="0"/>
    </format>
    <format dxfId="596">
      <pivotArea field="5" type="button" dataOnly="0" labelOnly="1" outline="0" axis="axisCol" fieldPosition="0"/>
    </format>
    <format dxfId="595">
      <pivotArea type="topRight" dataOnly="0" labelOnly="1" outline="0" fieldPosition="0"/>
    </format>
    <format dxfId="594">
      <pivotArea field="53" type="button" dataOnly="0" labelOnly="1" outline="0" axis="axisRow" fieldPosition="0"/>
    </format>
    <format dxfId="593">
      <pivotArea dataOnly="0" labelOnly="1" outline="0" fieldPosition="0">
        <references count="1">
          <reference field="53" count="0"/>
        </references>
      </pivotArea>
    </format>
    <format dxfId="592">
      <pivotArea dataOnly="0" labelOnly="1" outline="0" fieldPosition="0">
        <references count="1">
          <reference field="5" count="0"/>
        </references>
      </pivotArea>
    </format>
    <format dxfId="591">
      <pivotArea dataOnly="0" labelOnly="1" outline="0" fieldPosition="0">
        <references count="1">
          <reference field="1"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EF82DD-A285-4FF9-B154-8B7841EA0D6E}" name="PT_BUR_AUTO_YTD"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G9" firstHeaderRow="1" firstDataRow="2" firstDataCol="1" rowPageCount="2" colPageCount="1"/>
  <pivotFields count="54">
    <pivotField dataField="1" compact="0" outline="0" showAll="0"/>
    <pivotField axis="axisPage" compact="0" numFmtId="14" outline="0" multipleItemSelectionAllowed="1" showAll="0">
      <items count="12">
        <item x="0"/>
        <item x="1"/>
        <item x="2"/>
        <item x="3"/>
        <item x="4"/>
        <item x="5"/>
        <item x="6"/>
        <item x="7"/>
        <item x="8"/>
        <item x="9"/>
        <item x="10"/>
        <item t="default"/>
      </items>
    </pivotField>
    <pivotField compact="0" outline="0" showAll="0">
      <items count="5">
        <item x="0"/>
        <item x="1"/>
        <item x="2"/>
        <item x="3"/>
        <item t="default"/>
      </items>
    </pivotField>
    <pivotField compact="0" numFmtId="164" outline="0" showAll="0"/>
    <pivotField compact="0" numFmtId="164" outline="0" showAll="0"/>
    <pivotField axis="axisCol" compact="0" outline="0" showAll="0" nonAutoSortDefault="1">
      <items count="12">
        <item m="1" x="8"/>
        <item m="1" x="6"/>
        <item m="1" x="10"/>
        <item m="1" x="9"/>
        <item m="1" x="7"/>
        <item x="2"/>
        <item x="0"/>
        <item x="4"/>
        <item x="5"/>
        <item x="3"/>
        <item x="1"/>
        <item t="default"/>
      </items>
    </pivotField>
    <pivotField compact="0" outline="0" showAll="0"/>
    <pivotField compact="0" outline="0" showAll="0"/>
    <pivotField compact="0" outline="0" showAll="0"/>
    <pivotField axis="axisPage"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name="Time of Day" axis="axisRow" compact="0" outline="0" showAll="0">
      <items count="5">
        <item x="0"/>
        <item x="1"/>
        <item x="3"/>
        <item x="2"/>
        <item t="default"/>
      </items>
    </pivotField>
  </pivotFields>
  <rowFields count="1">
    <field x="53"/>
  </rowFields>
  <rowItems count="4">
    <i>
      <x/>
    </i>
    <i>
      <x v="1"/>
    </i>
    <i>
      <x v="2"/>
    </i>
    <i>
      <x v="3"/>
    </i>
  </rowItems>
  <colFields count="1">
    <field x="5"/>
  </colFields>
  <colItems count="6">
    <i>
      <x v="5"/>
    </i>
    <i>
      <x v="6"/>
    </i>
    <i>
      <x v="7"/>
    </i>
    <i>
      <x v="8"/>
    </i>
    <i>
      <x v="9"/>
    </i>
    <i>
      <x v="10"/>
    </i>
  </colItems>
  <pageFields count="2">
    <pageField fld="1" hier="-1"/>
    <pageField fld="9" hier="-1"/>
  </pageFields>
  <dataFields count="1">
    <dataField name="Count of Case Number" fld="0" subtotal="count" baseField="0" baseItem="0"/>
  </dataFields>
  <formats count="31">
    <format dxfId="653">
      <pivotArea field="2" type="button" dataOnly="0" labelOnly="1" outline="0"/>
    </format>
    <format dxfId="652">
      <pivotArea dataOnly="0" labelOnly="1" outline="0" fieldPosition="0">
        <references count="1">
          <reference field="5" count="0"/>
        </references>
      </pivotArea>
    </format>
    <format dxfId="651">
      <pivotArea type="origin" dataOnly="0" labelOnly="1" outline="0" fieldPosition="0"/>
    </format>
    <format dxfId="650">
      <pivotArea field="5" type="button" dataOnly="0" labelOnly="1" outline="0" axis="axisCol" fieldPosition="0"/>
    </format>
    <format dxfId="649">
      <pivotArea type="topRight" dataOnly="0" labelOnly="1" outline="0" fieldPosition="0"/>
    </format>
    <format dxfId="648">
      <pivotArea field="2" type="button" dataOnly="0" labelOnly="1" outline="0"/>
    </format>
    <format dxfId="647">
      <pivotArea dataOnly="0" labelOnly="1" outline="0" fieldPosition="0">
        <references count="1">
          <reference field="5" count="0"/>
        </references>
      </pivotArea>
    </format>
    <format dxfId="646">
      <pivotArea type="origin" dataOnly="0" labelOnly="1" outline="0" fieldPosition="0"/>
    </format>
    <format dxfId="645">
      <pivotArea field="5" type="button" dataOnly="0" labelOnly="1" outline="0" axis="axisCol" fieldPosition="0"/>
    </format>
    <format dxfId="644">
      <pivotArea type="topRight" dataOnly="0" labelOnly="1" outline="0" fieldPosition="0"/>
    </format>
    <format dxfId="643">
      <pivotArea type="origin" dataOnly="0" labelOnly="1" outline="0" fieldPosition="0"/>
    </format>
    <format dxfId="642">
      <pivotArea field="5" type="button" dataOnly="0" labelOnly="1" outline="0" axis="axisCol" fieldPosition="0"/>
    </format>
    <format dxfId="641">
      <pivotArea type="origin" dataOnly="0" labelOnly="1" outline="0" fieldPosition="0"/>
    </format>
    <format dxfId="640">
      <pivotArea field="5" type="button" dataOnly="0" labelOnly="1" outline="0" axis="axisCol" fieldPosition="0"/>
    </format>
    <format dxfId="639">
      <pivotArea type="topRight" dataOnly="0" labelOnly="1" outline="0" fieldPosition="0"/>
    </format>
    <format dxfId="638">
      <pivotArea field="2" type="button" dataOnly="0" labelOnly="1" outline="0"/>
    </format>
    <format dxfId="637">
      <pivotArea outline="0" collapsedLevelsAreSubtotals="1" fieldPosition="0"/>
    </format>
    <format dxfId="636">
      <pivotArea dataOnly="0" labelOnly="1" outline="0" fieldPosition="0">
        <references count="1">
          <reference field="53" count="0"/>
        </references>
      </pivotArea>
    </format>
    <format dxfId="635">
      <pivotArea dataOnly="0" labelOnly="1" outline="0" fieldPosition="0">
        <references count="1">
          <reference field="53" count="0"/>
        </references>
      </pivotArea>
    </format>
    <format dxfId="634">
      <pivotArea field="53" type="button" dataOnly="0" labelOnly="1" outline="0" axis="axisRow" fieldPosition="0"/>
    </format>
    <format dxfId="633">
      <pivotArea type="origin" dataOnly="0" labelOnly="1" outline="0" fieldPosition="0"/>
    </format>
    <format dxfId="632">
      <pivotArea field="5" type="button" dataOnly="0" labelOnly="1" outline="0" axis="axisCol" fieldPosition="0"/>
    </format>
    <format dxfId="631">
      <pivotArea type="topRight" dataOnly="0" labelOnly="1" outline="0" fieldPosition="0"/>
    </format>
    <format dxfId="630">
      <pivotArea type="all" dataOnly="0" outline="0" fieldPosition="0"/>
    </format>
    <format dxfId="629">
      <pivotArea outline="0" collapsedLevelsAreSubtotals="1" fieldPosition="0"/>
    </format>
    <format dxfId="628">
      <pivotArea type="origin" dataOnly="0" labelOnly="1" outline="0" fieldPosition="0"/>
    </format>
    <format dxfId="627">
      <pivotArea field="5" type="button" dataOnly="0" labelOnly="1" outline="0" axis="axisCol" fieldPosition="0"/>
    </format>
    <format dxfId="626">
      <pivotArea type="topRight" dataOnly="0" labelOnly="1" outline="0" fieldPosition="0"/>
    </format>
    <format dxfId="625">
      <pivotArea field="53" type="button" dataOnly="0" labelOnly="1" outline="0" axis="axisRow" fieldPosition="0"/>
    </format>
    <format dxfId="624">
      <pivotArea dataOnly="0" labelOnly="1" outline="0" fieldPosition="0">
        <references count="1">
          <reference field="53" count="0"/>
        </references>
      </pivotArea>
    </format>
    <format dxfId="623">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75AD3E-0796-491C-90E9-FFF3729F2E6D}"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26:D29" firstHeaderRow="1" firstDataRow="2" firstDataCol="1" rowPageCount="2" colPageCount="1"/>
  <pivotFields count="54">
    <pivotField dataField="1" compact="0" outline="0" showAll="0"/>
    <pivotField axis="axisPage" compact="0" numFmtId="14" outline="0" multipleItemSelectionAllowed="1" showAll="0">
      <items count="12">
        <item m="1" x="9"/>
        <item h="1" x="0"/>
        <item h="1" x="1"/>
        <item h="1" x="2"/>
        <item h="1" x="3"/>
        <item h="1" x="4"/>
        <item h="1" x="5"/>
        <item m="1" x="10"/>
        <item x="6"/>
        <item x="7"/>
        <item x="8"/>
        <item t="default"/>
      </items>
    </pivotField>
    <pivotField compact="0" outline="0" showAll="0">
      <items count="6">
        <item x="2"/>
        <item x="1"/>
        <item x="0"/>
        <item x="3"/>
        <item m="1" x="4"/>
        <item t="default"/>
      </items>
    </pivotField>
    <pivotField compact="0" numFmtId="164" outline="0" showAll="0"/>
    <pivotField compact="0" numFmtId="164" outline="0" showAll="0"/>
    <pivotField axis="axisCol" compact="0" outline="0" showAll="0">
      <items count="13">
        <item m="1" x="10"/>
        <item m="1" x="11"/>
        <item m="1" x="9"/>
        <item m="1" x="6"/>
        <item m="1" x="8"/>
        <item m="1" x="7"/>
        <item x="4"/>
        <item x="5"/>
        <item x="3"/>
        <item x="0"/>
        <item x="2"/>
        <item x="1"/>
        <item t="default"/>
      </items>
    </pivotField>
    <pivotField compact="0" outline="0" showAll="0"/>
    <pivotField compact="0" outline="0" showAll="0"/>
    <pivotField compact="0" outline="0" showAll="0"/>
    <pivotField axis="axisPage" compact="0" outline="0" showAll="0">
      <items count="8">
        <item x="1"/>
        <item x="2"/>
        <item x="0"/>
        <item m="1" x="4"/>
        <item m="1" x="5"/>
        <item m="1" x="6"/>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name="Time of Day" axis="axisRow" compact="0" outline="0" showAll="0">
      <items count="5">
        <item x="0"/>
        <item x="2"/>
        <item x="1"/>
        <item x="3"/>
        <item t="default"/>
      </items>
    </pivotField>
  </pivotFields>
  <rowFields count="1">
    <field x="53"/>
  </rowFields>
  <rowItems count="2">
    <i>
      <x/>
    </i>
    <i>
      <x v="3"/>
    </i>
  </rowItems>
  <colFields count="1">
    <field x="5"/>
  </colFields>
  <colItems count="3">
    <i>
      <x v="6"/>
    </i>
    <i>
      <x v="7"/>
    </i>
    <i>
      <x v="9"/>
    </i>
  </colItems>
  <pageFields count="2">
    <pageField fld="1" hier="-1"/>
    <pageField fld="9" hier="-1"/>
  </pageFields>
  <dataFields count="1">
    <dataField name="Count of Case Number" fld="0" subtotal="count" baseField="0" baseItem="0"/>
  </dataFields>
  <formats count="23">
    <format dxfId="495">
      <pivotArea type="all" dataOnly="0" outline="0" fieldPosition="0"/>
    </format>
    <format dxfId="494">
      <pivotArea outline="0" collapsedLevelsAreSubtotals="1" fieldPosition="0"/>
    </format>
    <format dxfId="493">
      <pivotArea type="origin" dataOnly="0" labelOnly="1" outline="0" fieldPosition="0"/>
    </format>
    <format dxfId="492">
      <pivotArea field="5" type="button" dataOnly="0" labelOnly="1" outline="0" axis="axisCol" fieldPosition="0"/>
    </format>
    <format dxfId="491">
      <pivotArea type="topRight" dataOnly="0" labelOnly="1" outline="0" fieldPosition="0"/>
    </format>
    <format dxfId="490">
      <pivotArea field="2" type="button" dataOnly="0" labelOnly="1" outline="0"/>
    </format>
    <format dxfId="489">
      <pivotArea dataOnly="0" labelOnly="1" outline="0" fieldPosition="0">
        <references count="1">
          <reference field="5" count="0"/>
        </references>
      </pivotArea>
    </format>
    <format dxfId="488">
      <pivotArea type="all" dataOnly="0" outline="0" fieldPosition="0"/>
    </format>
    <format dxfId="487">
      <pivotArea outline="0" collapsedLevelsAreSubtotals="1" fieldPosition="0"/>
    </format>
    <format dxfId="486">
      <pivotArea type="topRight" dataOnly="0" labelOnly="1" outline="0" fieldPosition="0"/>
    </format>
    <format dxfId="485">
      <pivotArea field="2" type="button" dataOnly="0" labelOnly="1" outline="0"/>
    </format>
    <format dxfId="484">
      <pivotArea dataOnly="0" labelOnly="1" outline="0" fieldPosition="0">
        <references count="1">
          <reference field="5" count="0"/>
        </references>
      </pivotArea>
    </format>
    <format dxfId="483">
      <pivotArea field="2" type="button" dataOnly="0" labelOnly="1" outline="0"/>
    </format>
    <format dxfId="482">
      <pivotArea dataOnly="0" labelOnly="1" outline="0" fieldPosition="0">
        <references count="1">
          <reference field="5" count="1">
            <x v="6"/>
          </reference>
        </references>
      </pivotArea>
    </format>
    <format dxfId="481">
      <pivotArea field="2" type="button" dataOnly="0" labelOnly="1" outline="0"/>
    </format>
    <format dxfId="480">
      <pivotArea dataOnly="0" labelOnly="1" outline="0" fieldPosition="0">
        <references count="1">
          <reference field="5" count="1">
            <x v="6"/>
          </reference>
        </references>
      </pivotArea>
    </format>
    <format dxfId="479">
      <pivotArea field="53" type="button" dataOnly="0" labelOnly="1" outline="0" axis="axisRow" fieldPosition="0"/>
    </format>
    <format dxfId="478">
      <pivotArea type="origin" dataOnly="0" labelOnly="1" outline="0" fieldPosition="0"/>
    </format>
    <format dxfId="477">
      <pivotArea field="5" type="button" dataOnly="0" labelOnly="1" outline="0" axis="axisCol" fieldPosition="0"/>
    </format>
    <format dxfId="476">
      <pivotArea type="origin" dataOnly="0" labelOnly="1" outline="0" fieldPosition="0"/>
    </format>
    <format dxfId="475">
      <pivotArea field="5" type="button" dataOnly="0" labelOnly="1" outline="0" axis="axisCol" fieldPosition="0"/>
    </format>
    <format dxfId="474">
      <pivotArea field="53" type="button" dataOnly="0" labelOnly="1" outline="0" axis="axisRow" fieldPosition="0"/>
    </format>
    <format dxfId="473">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1221F7-7AFD-4EBB-8253-1C3F30C98535}" name="PivotTable7"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G9" firstHeaderRow="1" firstDataRow="2" firstDataCol="1" rowPageCount="2" colPageCount="1"/>
  <pivotFields count="54">
    <pivotField dataField="1" compact="0" outline="0" showAll="0"/>
    <pivotField axis="axisPage" compact="0" numFmtId="14" outline="0" showAll="0">
      <items count="12">
        <item m="1" x="9"/>
        <item x="0"/>
        <item x="1"/>
        <item x="2"/>
        <item x="3"/>
        <item x="4"/>
        <item x="5"/>
        <item m="1" x="10"/>
        <item x="6"/>
        <item x="7"/>
        <item x="8"/>
        <item t="default"/>
      </items>
    </pivotField>
    <pivotField compact="0" outline="0" showAll="0">
      <items count="6">
        <item x="2"/>
        <item x="1"/>
        <item x="0"/>
        <item x="3"/>
        <item m="1" x="4"/>
        <item t="default"/>
      </items>
    </pivotField>
    <pivotField compact="0" numFmtId="164" outline="0" showAll="0"/>
    <pivotField compact="0" numFmtId="164" outline="0" showAll="0"/>
    <pivotField axis="axisCol" compact="0" outline="0" showAll="0">
      <items count="13">
        <item m="1" x="10"/>
        <item m="1" x="11"/>
        <item m="1" x="9"/>
        <item m="1" x="6"/>
        <item m="1" x="8"/>
        <item m="1" x="7"/>
        <item x="4"/>
        <item x="5"/>
        <item x="3"/>
        <item x="0"/>
        <item x="2"/>
        <item x="1"/>
        <item t="default"/>
      </items>
    </pivotField>
    <pivotField compact="0" outline="0" showAll="0"/>
    <pivotField compact="0" outline="0" showAll="0"/>
    <pivotField compact="0" outline="0" showAll="0"/>
    <pivotField axis="axisPage" compact="0" outline="0" showAll="0">
      <items count="8">
        <item x="1"/>
        <item x="2"/>
        <item x="0"/>
        <item m="1" x="4"/>
        <item m="1" x="5"/>
        <item m="1" x="6"/>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name="Time of Day" axis="axisRow" compact="0" outline="0" showAll="0">
      <items count="5">
        <item x="0"/>
        <item x="2"/>
        <item x="1"/>
        <item x="3"/>
        <item t="default"/>
      </items>
    </pivotField>
  </pivotFields>
  <rowFields count="1">
    <field x="53"/>
  </rowFields>
  <rowItems count="4">
    <i>
      <x/>
    </i>
    <i>
      <x v="1"/>
    </i>
    <i>
      <x v="2"/>
    </i>
    <i>
      <x v="3"/>
    </i>
  </rowItems>
  <colFields count="1">
    <field x="5"/>
  </colFields>
  <colItems count="6">
    <i>
      <x v="6"/>
    </i>
    <i>
      <x v="7"/>
    </i>
    <i>
      <x v="8"/>
    </i>
    <i>
      <x v="9"/>
    </i>
    <i>
      <x v="10"/>
    </i>
    <i>
      <x v="11"/>
    </i>
  </colItems>
  <pageFields count="2">
    <pageField fld="1" hier="-1"/>
    <pageField fld="9" hier="-1"/>
  </pageFields>
  <dataFields count="1">
    <dataField name="Count of Case Number" fld="0" subtotal="count" baseField="0" baseItem="0"/>
  </dataFields>
  <formats count="23">
    <format dxfId="518">
      <pivotArea type="all" dataOnly="0" outline="0" fieldPosition="0"/>
    </format>
    <format dxfId="517">
      <pivotArea outline="0" collapsedLevelsAreSubtotals="1" fieldPosition="0"/>
    </format>
    <format dxfId="516">
      <pivotArea type="origin" dataOnly="0" labelOnly="1" outline="0" fieldPosition="0"/>
    </format>
    <format dxfId="515">
      <pivotArea field="5" type="button" dataOnly="0" labelOnly="1" outline="0" axis="axisCol" fieldPosition="0"/>
    </format>
    <format dxfId="514">
      <pivotArea type="topRight" dataOnly="0" labelOnly="1" outline="0" fieldPosition="0"/>
    </format>
    <format dxfId="513">
      <pivotArea field="2" type="button" dataOnly="0" labelOnly="1" outline="0"/>
    </format>
    <format dxfId="512">
      <pivotArea dataOnly="0" labelOnly="1" outline="0" fieldPosition="0">
        <references count="1">
          <reference field="5" count="0"/>
        </references>
      </pivotArea>
    </format>
    <format dxfId="511">
      <pivotArea type="all" dataOnly="0" outline="0" fieldPosition="0"/>
    </format>
    <format dxfId="510">
      <pivotArea outline="0" collapsedLevelsAreSubtotals="1" fieldPosition="0"/>
    </format>
    <format dxfId="509">
      <pivotArea type="topRight" dataOnly="0" labelOnly="1" outline="0" fieldPosition="0"/>
    </format>
    <format dxfId="508">
      <pivotArea field="2" type="button" dataOnly="0" labelOnly="1" outline="0"/>
    </format>
    <format dxfId="507">
      <pivotArea dataOnly="0" labelOnly="1" outline="0" fieldPosition="0">
        <references count="1">
          <reference field="5" count="0"/>
        </references>
      </pivotArea>
    </format>
    <format dxfId="506">
      <pivotArea field="2" type="button" dataOnly="0" labelOnly="1" outline="0"/>
    </format>
    <format dxfId="505">
      <pivotArea dataOnly="0" labelOnly="1" outline="0" fieldPosition="0">
        <references count="1">
          <reference field="5" count="1">
            <x v="6"/>
          </reference>
        </references>
      </pivotArea>
    </format>
    <format dxfId="504">
      <pivotArea field="2" type="button" dataOnly="0" labelOnly="1" outline="0"/>
    </format>
    <format dxfId="503">
      <pivotArea dataOnly="0" labelOnly="1" outline="0" fieldPosition="0">
        <references count="1">
          <reference field="5" count="1">
            <x v="6"/>
          </reference>
        </references>
      </pivotArea>
    </format>
    <format dxfId="502">
      <pivotArea field="53" type="button" dataOnly="0" labelOnly="1" outline="0" axis="axisRow" fieldPosition="0"/>
    </format>
    <format dxfId="501">
      <pivotArea type="origin" dataOnly="0" labelOnly="1" outline="0" fieldPosition="0"/>
    </format>
    <format dxfId="500">
      <pivotArea field="5" type="button" dataOnly="0" labelOnly="1" outline="0" axis="axisCol" fieldPosition="0"/>
    </format>
    <format dxfId="499">
      <pivotArea type="origin" dataOnly="0" labelOnly="1" outline="0" fieldPosition="0"/>
    </format>
    <format dxfId="498">
      <pivotArea field="5" type="button" dataOnly="0" labelOnly="1" outline="0" axis="axisCol" fieldPosition="0"/>
    </format>
    <format dxfId="497">
      <pivotArea field="53" type="button" dataOnly="0" labelOnly="1" outline="0" axis="axisRow" fieldPosition="0"/>
    </format>
    <format dxfId="496">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C1DB5B-DD5C-48A5-ABA1-E9DF7B78C36B}"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F11" firstHeaderRow="1" firstDataRow="2" firstDataCol="1" rowPageCount="2" colPageCount="1"/>
  <pivotFields count="54">
    <pivotField dataField="1" compact="0" outline="0" showAll="0"/>
    <pivotField axis="axisPage" compact="0" numFmtId="14" outline="0" showAll="0">
      <items count="14">
        <item x="0"/>
        <item x="1"/>
        <item x="2"/>
        <item x="3"/>
        <item x="4"/>
        <item x="5"/>
        <item x="6"/>
        <item x="7"/>
        <item x="8"/>
        <item x="9"/>
        <item x="10"/>
        <item x="11"/>
        <item x="12"/>
        <item t="default"/>
      </items>
    </pivotField>
    <pivotField compact="0" outline="0" showAll="0">
      <items count="7">
        <item x="4"/>
        <item x="5"/>
        <item x="3"/>
        <item x="1"/>
        <item x="2"/>
        <item x="0"/>
        <item t="default"/>
      </items>
    </pivotField>
    <pivotField compact="0" numFmtId="164" outline="0" showAll="0"/>
    <pivotField compact="0" numFmtId="164" outline="0" showAll="0"/>
    <pivotField axis="axisCol" compact="0" outline="0" showAll="0">
      <items count="11">
        <item m="1" x="9"/>
        <item m="1" x="7"/>
        <item m="1" x="6"/>
        <item m="1" x="5"/>
        <item m="1" x="8"/>
        <item x="4"/>
        <item x="2"/>
        <item x="1"/>
        <item x="0"/>
        <item x="3"/>
        <item t="default"/>
      </items>
    </pivotField>
    <pivotField compact="0" outline="0" showAll="0"/>
    <pivotField compact="0" outline="0" showAll="0"/>
    <pivotField compact="0" outline="0" showAll="0"/>
    <pivotField axis="axisPage"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1"/>
        <item x="4"/>
        <item x="2"/>
        <item x="5"/>
        <item x="3"/>
        <item x="0"/>
        <item t="default"/>
      </items>
    </pivotField>
  </pivotFields>
  <rowFields count="1">
    <field x="53"/>
  </rowFields>
  <rowItems count="6">
    <i>
      <x/>
    </i>
    <i>
      <x v="1"/>
    </i>
    <i>
      <x v="2"/>
    </i>
    <i>
      <x v="3"/>
    </i>
    <i>
      <x v="4"/>
    </i>
    <i>
      <x v="5"/>
    </i>
  </rowItems>
  <colFields count="1">
    <field x="5"/>
  </colFields>
  <colItems count="5">
    <i>
      <x v="5"/>
    </i>
    <i>
      <x v="6"/>
    </i>
    <i>
      <x v="7"/>
    </i>
    <i>
      <x v="8"/>
    </i>
    <i>
      <x v="9"/>
    </i>
  </colItems>
  <pageFields count="2">
    <pageField fld="1" hier="-1"/>
    <pageField fld="9" hier="-1"/>
  </pageFields>
  <dataFields count="1">
    <dataField name="Count of Case Number" fld="0" subtotal="count" baseField="0" baseItem="0"/>
  </dataFields>
  <formats count="15">
    <format dxfId="347">
      <pivotArea type="all" dataOnly="0" outline="0" fieldPosition="0"/>
    </format>
    <format dxfId="346">
      <pivotArea outline="0" collapsedLevelsAreSubtotals="1" fieldPosition="0"/>
    </format>
    <format dxfId="345">
      <pivotArea type="origin" dataOnly="0" labelOnly="1" outline="0" fieldPosition="0"/>
    </format>
    <format dxfId="344">
      <pivotArea field="5" type="button" dataOnly="0" labelOnly="1" outline="0" axis="axisCol" fieldPosition="0"/>
    </format>
    <format dxfId="343">
      <pivotArea type="topRight" dataOnly="0" labelOnly="1" outline="0" fieldPosition="0"/>
    </format>
    <format dxfId="342">
      <pivotArea field="2" type="button" dataOnly="0" labelOnly="1" outline="0"/>
    </format>
    <format dxfId="341">
      <pivotArea dataOnly="0" labelOnly="1" outline="0" fieldPosition="0">
        <references count="1">
          <reference field="5" count="0"/>
        </references>
      </pivotArea>
    </format>
    <format dxfId="340">
      <pivotArea type="all" dataOnly="0" outline="0" fieldPosition="0"/>
    </format>
    <format dxfId="339">
      <pivotArea outline="0" collapsedLevelsAreSubtotals="1" fieldPosition="0"/>
    </format>
    <format dxfId="338">
      <pivotArea type="origin" dataOnly="0" labelOnly="1" outline="0" fieldPosition="0"/>
    </format>
    <format dxfId="337">
      <pivotArea field="5" type="button" dataOnly="0" labelOnly="1" outline="0" axis="axisCol" fieldPosition="0"/>
    </format>
    <format dxfId="336">
      <pivotArea type="topRight" dataOnly="0" labelOnly="1" outline="0" fieldPosition="0"/>
    </format>
    <format dxfId="335">
      <pivotArea field="2" type="button" dataOnly="0" labelOnly="1" outline="0"/>
    </format>
    <format dxfId="334">
      <pivotArea dataOnly="0" labelOnly="1" outline="0" fieldPosition="0">
        <references count="1">
          <reference field="5" count="0"/>
        </references>
      </pivotArea>
    </format>
    <format dxfId="333">
      <pivotArea field="5" type="button" dataOnly="0" labelOnly="1" outline="0" axis="axisCol" fieldPosition="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817224-8BFD-4766-B599-43771F6EB7FF}"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6:B39" firstHeaderRow="1" firstDataRow="2" firstDataCol="1" rowPageCount="2" colPageCount="1"/>
  <pivotFields count="54">
    <pivotField dataField="1" compact="0" outline="0" showAll="0"/>
    <pivotField axis="axisPage" compact="0" numFmtId="14" outline="0" multipleItemSelectionAllowed="1" showAll="0">
      <items count="14">
        <item h="1" x="0"/>
        <item h="1" x="1"/>
        <item h="1" x="2"/>
        <item h="1" x="3"/>
        <item h="1" x="4"/>
        <item h="1" x="5"/>
        <item h="1" x="6"/>
        <item h="1" x="7"/>
        <item h="1" x="8"/>
        <item h="1" x="9"/>
        <item h="1" x="10"/>
        <item x="11"/>
        <item x="12"/>
        <item t="default"/>
      </items>
    </pivotField>
    <pivotField compact="0" outline="0" showAll="0">
      <items count="7">
        <item x="4"/>
        <item x="5"/>
        <item x="3"/>
        <item x="1"/>
        <item x="2"/>
        <item x="0"/>
        <item t="default"/>
      </items>
    </pivotField>
    <pivotField compact="0" numFmtId="164" outline="0" showAll="0"/>
    <pivotField compact="0" numFmtId="164" outline="0" showAll="0"/>
    <pivotField axis="axisCol" compact="0" outline="0" showAll="0">
      <items count="11">
        <item m="1" x="9"/>
        <item m="1" x="7"/>
        <item m="1" x="6"/>
        <item m="1" x="5"/>
        <item m="1" x="8"/>
        <item x="4"/>
        <item x="2"/>
        <item x="1"/>
        <item x="0"/>
        <item x="3"/>
        <item t="default"/>
      </items>
    </pivotField>
    <pivotField compact="0" outline="0" showAll="0"/>
    <pivotField compact="0" outline="0" showAll="0"/>
    <pivotField compact="0" outline="0" showAll="0"/>
    <pivotField axis="axisPage"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1"/>
        <item x="4"/>
        <item x="2"/>
        <item x="5"/>
        <item x="3"/>
        <item x="0"/>
        <item t="default"/>
      </items>
    </pivotField>
  </pivotFields>
  <rowFields count="1">
    <field x="53"/>
  </rowFields>
  <rowItems count="2">
    <i>
      <x v="3"/>
    </i>
    <i>
      <x v="5"/>
    </i>
  </rowItems>
  <colFields count="1">
    <field x="5"/>
  </colFields>
  <colItems count="1">
    <i>
      <x v="8"/>
    </i>
  </colItems>
  <pageFields count="2">
    <pageField fld="1" hier="-1"/>
    <pageField fld="9" hier="-1"/>
  </pageFields>
  <dataFields count="1">
    <dataField name="Count of Case Number" fld="0" subtotal="count" baseField="0" baseItem="0"/>
  </dataFields>
  <formats count="15">
    <format dxfId="362">
      <pivotArea type="all" dataOnly="0" outline="0" fieldPosition="0"/>
    </format>
    <format dxfId="361">
      <pivotArea outline="0" collapsedLevelsAreSubtotals="1" fieldPosition="0"/>
    </format>
    <format dxfId="360">
      <pivotArea type="origin" dataOnly="0" labelOnly="1" outline="0" fieldPosition="0"/>
    </format>
    <format dxfId="359">
      <pivotArea field="5" type="button" dataOnly="0" labelOnly="1" outline="0" axis="axisCol" fieldPosition="0"/>
    </format>
    <format dxfId="358">
      <pivotArea type="topRight" dataOnly="0" labelOnly="1" outline="0" fieldPosition="0"/>
    </format>
    <format dxfId="357">
      <pivotArea field="2" type="button" dataOnly="0" labelOnly="1" outline="0"/>
    </format>
    <format dxfId="356">
      <pivotArea dataOnly="0" labelOnly="1" outline="0" fieldPosition="0">
        <references count="1">
          <reference field="5" count="0"/>
        </references>
      </pivotArea>
    </format>
    <format dxfId="355">
      <pivotArea type="all" dataOnly="0" outline="0" fieldPosition="0"/>
    </format>
    <format dxfId="354">
      <pivotArea outline="0" collapsedLevelsAreSubtotals="1" fieldPosition="0"/>
    </format>
    <format dxfId="353">
      <pivotArea type="origin" dataOnly="0" labelOnly="1" outline="0" fieldPosition="0"/>
    </format>
    <format dxfId="352">
      <pivotArea field="5" type="button" dataOnly="0" labelOnly="1" outline="0" axis="axisCol" fieldPosition="0"/>
    </format>
    <format dxfId="351">
      <pivotArea type="topRight" dataOnly="0" labelOnly="1" outline="0" fieldPosition="0"/>
    </format>
    <format dxfId="350">
      <pivotArea field="2" type="button" dataOnly="0" labelOnly="1" outline="0"/>
    </format>
    <format dxfId="349">
      <pivotArea dataOnly="0" labelOnly="1" outline="0" fieldPosition="0">
        <references count="1">
          <reference field="5" count="0"/>
        </references>
      </pivotArea>
    </format>
    <format dxfId="348">
      <pivotArea field="5" type="button" dataOnly="0" labelOnly="1" outline="0" axis="axisCol" fieldPosition="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30614A-783E-48F4-9FB6-079B38B3E8BC}" name="PivotTable5"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ime of Day">
  <location ref="J4:N10" firstHeaderRow="1" firstDataRow="2" firstDataCol="1" rowPageCount="1" colPageCount="1"/>
  <pivotFields count="46">
    <pivotField dataField="1" showAll="0" defaultSubtotal="0"/>
    <pivotField axis="axisPage" numFmtId="14" showAll="0" defaultSubtotal="0">
      <items count="8">
        <item x="0"/>
        <item x="1"/>
        <item x="2"/>
        <item x="3"/>
        <item x="4"/>
        <item x="5"/>
        <item x="6"/>
        <item x="7"/>
      </items>
    </pivotField>
    <pivotField axis="axisRow" showAll="0" defaultSubtotal="0">
      <items count="5">
        <item x="0"/>
        <item x="3"/>
        <item x="2"/>
        <item x="4"/>
        <item x="1"/>
      </items>
    </pivotField>
    <pivotField numFmtId="172" showAll="0" defaultSubtotal="0"/>
    <pivotField numFmtId="172" showAll="0" defaultSubtotal="0"/>
    <pivotField axis="axisCol" showAll="0" defaultSubtotal="0">
      <items count="4">
        <item x="3"/>
        <item x="0"/>
        <item x="1"/>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22"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2"/>
  </rowFields>
  <rowItems count="5">
    <i>
      <x/>
    </i>
    <i>
      <x v="1"/>
    </i>
    <i>
      <x v="2"/>
    </i>
    <i>
      <x v="3"/>
    </i>
    <i>
      <x v="4"/>
    </i>
  </rowItems>
  <colFields count="1">
    <field x="5"/>
  </colFields>
  <colItems count="4">
    <i>
      <x/>
    </i>
    <i>
      <x v="1"/>
    </i>
    <i>
      <x v="2"/>
    </i>
    <i>
      <x v="3"/>
    </i>
  </colItems>
  <pageFields count="1">
    <pageField fld="1" hier="-1"/>
  </pageFields>
  <dataFields count="1">
    <dataField name="Count of Case Number" fld="0" subtotal="count" baseField="0" baseItem="0"/>
  </dataFields>
  <formats count="6">
    <format dxfId="234">
      <pivotArea type="origin" dataOnly="0" labelOnly="1" outline="0" fieldPosition="0"/>
    </format>
    <format dxfId="233">
      <pivotArea field="5" type="button" dataOnly="0" labelOnly="1" outline="0" axis="axisCol" fieldPosition="0"/>
    </format>
    <format dxfId="232">
      <pivotArea type="origin" dataOnly="0" labelOnly="1" outline="0" fieldPosition="0"/>
    </format>
    <format dxfId="231">
      <pivotArea field="5" type="button" dataOnly="0" labelOnly="1" outline="0" axis="axisCol" fieldPosition="0"/>
    </format>
    <format dxfId="230">
      <pivotArea field="2" type="button" dataOnly="0" labelOnly="1" outline="0" axis="axisRow" fieldPosition="0"/>
    </format>
    <format dxfId="229">
      <pivotArea dataOnly="0" labelOnly="1" fieldPosition="0">
        <references count="1">
          <reference field="5" count="0"/>
        </references>
      </pivotArea>
    </format>
  </formats>
  <pivotTableStyleInfo name="PivotStyleLight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41D53D-B595-42CD-841E-6A1C6A8C0037}" name="PivotTable4"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ime of Day">
  <location ref="A4:B6" firstHeaderRow="1" firstDataRow="2" firstDataCol="1" rowPageCount="1" colPageCount="1"/>
  <pivotFields count="46">
    <pivotField dataField="1" showAll="0" defaultSubtotal="0"/>
    <pivotField axis="axisPage" numFmtId="14" multipleItemSelectionAllowed="1" showAll="0" defaultSubtotal="0">
      <items count="8">
        <item h="1" x="0"/>
        <item h="1" x="1"/>
        <item h="1" x="2"/>
        <item h="1" x="3"/>
        <item h="1" x="4"/>
        <item h="1" x="5"/>
        <item h="1" x="6"/>
        <item x="7"/>
      </items>
    </pivotField>
    <pivotField axis="axisRow" showAll="0" defaultSubtotal="0">
      <items count="5">
        <item x="0"/>
        <item x="3"/>
        <item x="2"/>
        <item x="4"/>
        <item x="1"/>
      </items>
    </pivotField>
    <pivotField numFmtId="172" showAll="0" defaultSubtotal="0"/>
    <pivotField numFmtId="172" showAll="0" defaultSubtotal="0"/>
    <pivotField axis="axisCol" showAll="0" defaultSubtotal="0">
      <items count="4">
        <item x="3"/>
        <item x="0"/>
        <item x="1"/>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22"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2"/>
  </rowFields>
  <rowItems count="1">
    <i>
      <x v="3"/>
    </i>
  </rowItems>
  <colFields count="1">
    <field x="5"/>
  </colFields>
  <colItems count="1">
    <i>
      <x v="2"/>
    </i>
  </colItems>
  <pageFields count="1">
    <pageField fld="1" hier="-1"/>
  </pageFields>
  <dataFields count="1">
    <dataField name="Count of Case Number" fld="0" subtotal="count" baseField="0" baseItem="0"/>
  </dataFields>
  <formats count="6">
    <format dxfId="240">
      <pivotArea type="origin" dataOnly="0" labelOnly="1" outline="0" fieldPosition="0"/>
    </format>
    <format dxfId="239">
      <pivotArea field="5" type="button" dataOnly="0" labelOnly="1" outline="0" axis="axisCol" fieldPosition="0"/>
    </format>
    <format dxfId="238">
      <pivotArea type="origin" dataOnly="0" labelOnly="1" outline="0" fieldPosition="0"/>
    </format>
    <format dxfId="237">
      <pivotArea field="5" type="button" dataOnly="0" labelOnly="1" outline="0" axis="axisCol" fieldPosition="0"/>
    </format>
    <format dxfId="236">
      <pivotArea field="2" type="button" dataOnly="0" labelOnly="1" outline="0" axis="axisRow" fieldPosition="0"/>
    </format>
    <format dxfId="235">
      <pivotArea dataOnly="0" labelOnly="1" fieldPosition="0">
        <references count="1">
          <reference field="5" count="0"/>
        </references>
      </pivotArea>
    </format>
  </formats>
  <pivotTableStyleInfo name="PivotStyleLight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C299E4-67B0-4755-A415-8C78441B315A}"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E7" firstHeaderRow="1" firstDataRow="2" firstDataCol="1" rowPageCount="2" colPageCount="1"/>
  <pivotFields count="54">
    <pivotField dataField="1" compact="0" outline="0" showAll="0" defaultSubtotal="0"/>
    <pivotField axis="axisPage" compact="0" numFmtId="14" outline="0" showAll="0" defaultSubtotal="0">
      <items count="5">
        <item x="0"/>
        <item x="1"/>
        <item x="2"/>
        <item x="3"/>
        <item x="4"/>
      </items>
    </pivotField>
    <pivotField compact="0" outline="0" showAll="0" defaultSubtotal="0">
      <items count="2">
        <item x="0"/>
        <item x="1"/>
      </items>
    </pivotField>
    <pivotField compact="0" numFmtId="164" outline="0" showAll="0" defaultSubtotal="0">
      <items count="5">
        <item x="3"/>
        <item x="0"/>
        <item x="1"/>
        <item x="2"/>
        <item x="4"/>
      </items>
    </pivotField>
    <pivotField compact="0" numFmtId="164" outline="0" showAll="0" defaultSubtotal="0"/>
    <pivotField axis="axisCol" compact="0" outline="0" showAll="0" defaultSubtotal="0">
      <items count="7">
        <item m="1" x="6"/>
        <item m="1" x="4"/>
        <item m="1" x="5"/>
        <item x="2"/>
        <item x="0"/>
        <item x="3"/>
        <item x="1"/>
      </items>
    </pivotField>
    <pivotField compact="0" outline="0" showAll="0" defaultSubtotal="0"/>
    <pivotField compact="0" outline="0" showAll="0" defaultSubtotal="0"/>
    <pivotField compact="0" outline="0" showAll="0" defaultSubtotal="0"/>
    <pivotField axis="axisPage" compact="0" outline="0" showAll="0" defaultSubtotal="0">
      <items count="5">
        <item x="0"/>
        <item x="2"/>
        <item x="3"/>
        <item x="1"/>
        <item x="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Time of Day" axis="axisRow" compact="0" outline="0" showAll="0" defaultSubtotal="0">
      <items count="2">
        <item x="0"/>
        <item x="1"/>
      </items>
    </pivotField>
  </pivotFields>
  <rowFields count="1">
    <field x="53"/>
  </rowFields>
  <rowItems count="2">
    <i>
      <x/>
    </i>
    <i>
      <x v="1"/>
    </i>
  </rowItems>
  <colFields count="1">
    <field x="5"/>
  </colFields>
  <colItems count="4">
    <i>
      <x v="3"/>
    </i>
    <i>
      <x v="4"/>
    </i>
    <i>
      <x v="5"/>
    </i>
    <i>
      <x v="6"/>
    </i>
  </colItems>
  <pageFields count="2">
    <pageField fld="1" hier="-1"/>
    <pageField fld="9" hier="-1"/>
  </pageFields>
  <dataFields count="1">
    <dataField name="Count of Case Number" fld="0" subtotal="count" baseField="0" baseItem="0"/>
  </dataFields>
  <formats count="26">
    <format dxfId="90">
      <pivotArea type="all" dataOnly="0" outline="0" fieldPosition="0"/>
    </format>
    <format dxfId="89">
      <pivotArea outline="0" collapsedLevelsAreSubtotals="1" fieldPosition="0"/>
    </format>
    <format dxfId="88">
      <pivotArea type="origin" dataOnly="0" labelOnly="1" outline="0" fieldPosition="0"/>
    </format>
    <format dxfId="87">
      <pivotArea field="5" type="button" dataOnly="0" labelOnly="1" outline="0" axis="axisCol" fieldPosition="0"/>
    </format>
    <format dxfId="86">
      <pivotArea type="topRight" dataOnly="0" labelOnly="1" outline="0" fieldPosition="0"/>
    </format>
    <format dxfId="85">
      <pivotArea field="3" type="button" dataOnly="0" labelOnly="1" outline="0"/>
    </format>
    <format dxfId="84">
      <pivotArea dataOnly="0" labelOnly="1" grandRow="1" outline="0" fieldPosition="0"/>
    </format>
    <format dxfId="83">
      <pivotArea dataOnly="0" labelOnly="1" outline="0" fieldPosition="0">
        <references count="1">
          <reference field="5" count="0"/>
        </references>
      </pivotArea>
    </format>
    <format dxfId="82">
      <pivotArea dataOnly="0" labelOnly="1" grandCol="1" outline="0" fieldPosition="0"/>
    </format>
    <format dxfId="81">
      <pivotArea type="all" dataOnly="0" outline="0" fieldPosition="0"/>
    </format>
    <format dxfId="80">
      <pivotArea outline="0" collapsedLevelsAreSubtotals="1" fieldPosition="0"/>
    </format>
    <format dxfId="79">
      <pivotArea type="origin" dataOnly="0" labelOnly="1" outline="0" fieldPosition="0"/>
    </format>
    <format dxfId="78">
      <pivotArea field="5" type="button" dataOnly="0" labelOnly="1" outline="0" axis="axisCol" fieldPosition="0"/>
    </format>
    <format dxfId="77">
      <pivotArea type="topRight" dataOnly="0" labelOnly="1" outline="0" fieldPosition="0"/>
    </format>
    <format dxfId="76">
      <pivotArea field="3" type="button" dataOnly="0" labelOnly="1" outline="0"/>
    </format>
    <format dxfId="75">
      <pivotArea dataOnly="0" labelOnly="1" grandRow="1" outline="0" fieldPosition="0"/>
    </format>
    <format dxfId="74">
      <pivotArea dataOnly="0" labelOnly="1" outline="0" fieldPosition="0">
        <references count="1">
          <reference field="5" count="0"/>
        </references>
      </pivotArea>
    </format>
    <format dxfId="73">
      <pivotArea dataOnly="0" labelOnly="1" grandCol="1" outline="0" fieldPosition="0"/>
    </format>
    <format dxfId="72">
      <pivotArea type="all" dataOnly="0" outline="0" fieldPosition="0"/>
    </format>
    <format dxfId="71">
      <pivotArea outline="0" collapsedLevelsAreSubtotals="1" fieldPosition="0"/>
    </format>
    <format dxfId="70">
      <pivotArea type="origin" dataOnly="0" labelOnly="1" outline="0" fieldPosition="0"/>
    </format>
    <format dxfId="69">
      <pivotArea field="5" type="button" dataOnly="0" labelOnly="1" outline="0" axis="axisCol" fieldPosition="0"/>
    </format>
    <format dxfId="68">
      <pivotArea type="topRight" dataOnly="0" labelOnly="1" outline="0" fieldPosition="0"/>
    </format>
    <format dxfId="67">
      <pivotArea field="53" type="button" dataOnly="0" labelOnly="1" outline="0" axis="axisRow" fieldPosition="0"/>
    </format>
    <format dxfId="66">
      <pivotArea dataOnly="0" labelOnly="1" outline="0" fieldPosition="0">
        <references count="1">
          <reference field="53" count="0"/>
        </references>
      </pivotArea>
    </format>
    <format dxfId="65">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37213E-1F1E-45A7-9C6A-40C01C74092A}"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J4:K6" firstHeaderRow="1" firstDataRow="2" firstDataCol="1" rowPageCount="2" colPageCount="1"/>
  <pivotFields count="54">
    <pivotField dataField="1" compact="0" outline="0" showAll="0" defaultSubtotal="0"/>
    <pivotField axis="axisPage" compact="0" numFmtId="14" outline="0" multipleItemSelectionAllowed="1" showAll="0" defaultSubtotal="0">
      <items count="5">
        <item h="1" x="0"/>
        <item h="1" x="1"/>
        <item h="1" x="2"/>
        <item h="1" x="3"/>
        <item x="4"/>
      </items>
    </pivotField>
    <pivotField compact="0" outline="0" showAll="0" defaultSubtotal="0">
      <items count="2">
        <item x="0"/>
        <item x="1"/>
      </items>
    </pivotField>
    <pivotField compact="0" numFmtId="164" outline="0" showAll="0" defaultSubtotal="0">
      <items count="5">
        <item x="3"/>
        <item x="0"/>
        <item x="1"/>
        <item x="2"/>
        <item x="4"/>
      </items>
    </pivotField>
    <pivotField compact="0" numFmtId="164" outline="0" showAll="0" defaultSubtotal="0"/>
    <pivotField axis="axisCol" compact="0" outline="0" showAll="0" defaultSubtotal="0">
      <items count="7">
        <item m="1" x="6"/>
        <item m="1" x="4"/>
        <item m="1" x="5"/>
        <item x="2"/>
        <item x="0"/>
        <item x="3"/>
        <item x="1"/>
      </items>
    </pivotField>
    <pivotField compact="0" outline="0" showAll="0" defaultSubtotal="0"/>
    <pivotField compact="0" outline="0" showAll="0" defaultSubtotal="0"/>
    <pivotField compact="0" outline="0" showAll="0" defaultSubtotal="0"/>
    <pivotField axis="axisPage" compact="0" outline="0" showAll="0" defaultSubtotal="0">
      <items count="5">
        <item x="0"/>
        <item x="2"/>
        <item x="3"/>
        <item x="1"/>
        <item x="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Time of Day" axis="axisRow" compact="0" outline="0" showAll="0" defaultSubtotal="0">
      <items count="2">
        <item x="0"/>
        <item x="1"/>
      </items>
    </pivotField>
  </pivotFields>
  <rowFields count="1">
    <field x="53"/>
  </rowFields>
  <rowItems count="1">
    <i>
      <x v="1"/>
    </i>
  </rowItems>
  <colFields count="1">
    <field x="5"/>
  </colFields>
  <colItems count="1">
    <i>
      <x v="5"/>
    </i>
  </colItems>
  <pageFields count="2">
    <pageField fld="1" hier="-1"/>
    <pageField fld="9" hier="-1"/>
  </pageFields>
  <dataFields count="1">
    <dataField name="Count of Case Number" fld="0" subtotal="count" baseField="0" baseItem="0"/>
  </dataFields>
  <formats count="27">
    <format dxfId="117">
      <pivotArea type="all" dataOnly="0" outline="0" fieldPosition="0"/>
    </format>
    <format dxfId="116">
      <pivotArea type="origin" dataOnly="0" labelOnly="1" outline="0" fieldPosition="0"/>
    </format>
    <format dxfId="115">
      <pivotArea field="5" type="button" dataOnly="0" labelOnly="1" outline="0" axis="axisCol" fieldPosition="0"/>
    </format>
    <format dxfId="114">
      <pivotArea type="topRight" dataOnly="0" labelOnly="1" outline="0" fieldPosition="0"/>
    </format>
    <format dxfId="113">
      <pivotArea field="3" type="button" dataOnly="0" labelOnly="1" outline="0"/>
    </format>
    <format dxfId="112">
      <pivotArea dataOnly="0" labelOnly="1" grandRow="1" outline="0" fieldPosition="0"/>
    </format>
    <format dxfId="111">
      <pivotArea dataOnly="0" labelOnly="1" outline="0" fieldPosition="0">
        <references count="1">
          <reference field="5" count="0"/>
        </references>
      </pivotArea>
    </format>
    <format dxfId="110">
      <pivotArea dataOnly="0" labelOnly="1" grandCol="1" outline="0" fieldPosition="0"/>
    </format>
    <format dxfId="109">
      <pivotArea type="all" dataOnly="0" outline="0" fieldPosition="0"/>
    </format>
    <format dxfId="108">
      <pivotArea type="origin" dataOnly="0" labelOnly="1" outline="0" fieldPosition="0"/>
    </format>
    <format dxfId="107">
      <pivotArea field="5" type="button" dataOnly="0" labelOnly="1" outline="0" axis="axisCol" fieldPosition="0"/>
    </format>
    <format dxfId="106">
      <pivotArea type="topRight" dataOnly="0" labelOnly="1" outline="0" fieldPosition="0"/>
    </format>
    <format dxfId="105">
      <pivotArea field="3" type="button" dataOnly="0" labelOnly="1" outline="0"/>
    </format>
    <format dxfId="104">
      <pivotArea dataOnly="0" labelOnly="1" grandRow="1" outline="0" fieldPosition="0"/>
    </format>
    <format dxfId="103">
      <pivotArea dataOnly="0" labelOnly="1" outline="0" fieldPosition="0">
        <references count="1">
          <reference field="5" count="0"/>
        </references>
      </pivotArea>
    </format>
    <format dxfId="102">
      <pivotArea dataOnly="0" labelOnly="1" grandCol="1" outline="0" fieldPosition="0"/>
    </format>
    <format dxfId="101">
      <pivotArea type="all" dataOnly="0" outline="0" fieldPosition="0"/>
    </format>
    <format dxfId="100">
      <pivotArea outline="0" collapsedLevelsAreSubtotals="1" fieldPosition="0"/>
    </format>
    <format dxfId="99">
      <pivotArea type="origin" dataOnly="0" labelOnly="1" outline="0" fieldPosition="0"/>
    </format>
    <format dxfId="98">
      <pivotArea field="5" type="button" dataOnly="0" labelOnly="1" outline="0" axis="axisCol" fieldPosition="0"/>
    </format>
    <format dxfId="97">
      <pivotArea field="53" type="button" dataOnly="0" labelOnly="1" outline="0" axis="axisRow" fieldPosition="0"/>
    </format>
    <format dxfId="96">
      <pivotArea dataOnly="0" labelOnly="1" outline="0" fieldPosition="0">
        <references count="1">
          <reference field="53" count="1">
            <x v="1"/>
          </reference>
        </references>
      </pivotArea>
    </format>
    <format dxfId="95">
      <pivotArea dataOnly="0" labelOnly="1" outline="0" fieldPosition="0">
        <references count="1">
          <reference field="5" count="1">
            <x v="5"/>
          </reference>
        </references>
      </pivotArea>
    </format>
    <format dxfId="94">
      <pivotArea outline="0" collapsedLevelsAreSubtotals="1" fieldPosition="0"/>
    </format>
    <format dxfId="93">
      <pivotArea field="53" type="button" dataOnly="0" labelOnly="1" outline="0" axis="axisRow" fieldPosition="0"/>
    </format>
    <format dxfId="92">
      <pivotArea dataOnly="0" labelOnly="1" outline="0" fieldPosition="0">
        <references count="1">
          <reference field="53" count="1">
            <x v="1"/>
          </reference>
        </references>
      </pivotArea>
    </format>
    <format dxfId="91">
      <pivotArea dataOnly="0" labelOnly="1" outline="0" fieldPosition="0">
        <references count="1">
          <reference field="5" count="1">
            <x v="5"/>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3" xr16:uid="{348EA3C6-B88C-43C7-92D6-D64F0BA658AC}" autoFormatId="16" applyNumberFormats="0" applyBorderFormats="0" applyFontFormats="0" applyPatternFormats="0" applyAlignmentFormats="0" applyWidthHeightFormats="0">
  <queryTableRefresh nextId="49">
    <queryTableFields count="48">
      <queryTableField id="1" name="Case Number" tableColumnId="1"/>
      <queryTableField id="2" name="BLOCK" tableColumnId="2"/>
      <queryTableField id="3" name="TIME_OF_DAY" tableColumnId="3"/>
      <queryTableField id="4" name="Location" tableColumnId="4"/>
      <queryTableField id="5" name="ALL_INCIDENTS" tableColumnId="5"/>
      <queryTableField id="6" name="Incident Type_1" tableColumnId="6"/>
      <queryTableField id="7" name="Incident Type_2" tableColumnId="7"/>
      <queryTableField id="8" name="Incident Type_3" tableColumnId="8"/>
      <queryTableField id="9" name="FullAddress" tableColumnId="9"/>
      <queryTableField id="10" name="Grid" tableColumnId="10"/>
      <queryTableField id="11" name="Zone" tableColumnId="11"/>
      <queryTableField id="12" name="Narrative" tableColumnId="12"/>
      <queryTableField id="13" name="Total Value Stolen" tableColumnId="13"/>
      <queryTableField id="14" name="Total Value Recover" tableColumnId="14"/>
      <queryTableField id="15" name="Registration 1" tableColumnId="15"/>
      <queryTableField id="16" name="Make1" tableColumnId="16"/>
      <queryTableField id="17" name="Model1" tableColumnId="17"/>
      <queryTableField id="18" name="Reg State 1" tableColumnId="18"/>
      <queryTableField id="19" name="Registration 2" tableColumnId="19"/>
      <queryTableField id="20" name="Reg State 2" tableColumnId="20"/>
      <queryTableField id="21" name="Make2" tableColumnId="21"/>
      <queryTableField id="22" name="Model2" tableColumnId="22"/>
      <queryTableField id="23" name="Reviewed By" tableColumnId="23"/>
      <queryTableField id="24" name="CompleteCalc" tableColumnId="24"/>
      <queryTableField id="25" name="Officer of Record" tableColumnId="25"/>
      <queryTableField id="26" name="Squad" tableColumnId="26"/>
      <queryTableField id="27" name="Det_Assigned" tableColumnId="27"/>
      <queryTableField id="28" name="Case_Status" tableColumnId="28"/>
      <queryTableField id="29" name="NIBRS Classification" tableColumnId="29"/>
      <queryTableField id="30" name="CASE_NUMBER_LENGTH" tableColumnId="30"/>
      <queryTableField id="31" name="Year" tableColumnId="31"/>
      <queryTableField id="32" name="St#" tableColumnId="32"/>
      <queryTableField id="33" name="Notes" tableColumnId="33"/>
      <queryTableField id="34" name="VEHICLE" tableColumnId="34"/>
      <queryTableField id="35" name="Suspect" tableColumnId="35"/>
      <queryTableField id="36" name="TOTAL_STOLEN_AMOUNT" tableColumnId="36"/>
      <queryTableField id="37" name="INC_DATE" tableColumnId="37"/>
      <queryTableField id="38" name="TOD" tableColumnId="38"/>
      <queryTableField id="39" name="Start of Hour" tableColumnId="39"/>
      <queryTableField id="40" name="INC_TIME" tableColumnId="40"/>
      <queryTableField id="41" name="Day Name" tableColumnId="41"/>
      <queryTableField id="42" name="Month Name" tableColumnId="42"/>
      <queryTableField id="43" name="Week of Year" tableColumnId="43"/>
      <queryTableField id="44" name="Week of Month" tableColumnId="44"/>
      <queryTableField id="45" name="Day" tableColumnId="45"/>
      <queryTableField id="46" name="Day of Year" tableColumnId="46"/>
      <queryTableField id="47" name="INC_DATE_AND_TIME" tableColumnId="47"/>
      <queryTableField id="48" name="REPORT_CYCLE" tableColumnId="4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7" xr16:uid="{36E45637-61F3-468B-84FF-021DC345956C}" autoFormatId="16" applyNumberFormats="0" applyBorderFormats="0" applyFontFormats="0" applyPatternFormats="0" applyAlignmentFormats="0" applyWidthHeightFormats="0">
  <queryTableRefresh nextId="49">
    <queryTableFields count="48">
      <queryTableField id="1" name="Case Number" tableColumnId="1"/>
      <queryTableField id="2" name="BLOCK" tableColumnId="2"/>
      <queryTableField id="3" name="TIME_OF_DAY" tableColumnId="3"/>
      <queryTableField id="4" name="Location" tableColumnId="4"/>
      <queryTableField id="5" name="ALL_INCIDENTS" tableColumnId="5"/>
      <queryTableField id="6" name="Incident Type_1" tableColumnId="6"/>
      <queryTableField id="7" name="Incident Type_2" tableColumnId="7"/>
      <queryTableField id="8" name="Incident Type_3" tableColumnId="8"/>
      <queryTableField id="9" name="FullAddress" tableColumnId="9"/>
      <queryTableField id="10" name="Grid" tableColumnId="10"/>
      <queryTableField id="11" name="Zone" tableColumnId="11"/>
      <queryTableField id="12" name="Narrative" tableColumnId="12"/>
      <queryTableField id="13" name="Total Value Stolen" tableColumnId="13"/>
      <queryTableField id="14" name="Total Value Recover" tableColumnId="14"/>
      <queryTableField id="15" name="Registration 1" tableColumnId="15"/>
      <queryTableField id="16" name="Make1" tableColumnId="16"/>
      <queryTableField id="17" name="Model1" tableColumnId="17"/>
      <queryTableField id="18" name="Reg State 1" tableColumnId="18"/>
      <queryTableField id="19" name="Registration 2" tableColumnId="19"/>
      <queryTableField id="20" name="Reg State 2" tableColumnId="20"/>
      <queryTableField id="21" name="Make2" tableColumnId="21"/>
      <queryTableField id="22" name="Model2" tableColumnId="22"/>
      <queryTableField id="23" name="Reviewed By" tableColumnId="23"/>
      <queryTableField id="24" name="CompleteCalc" tableColumnId="24"/>
      <queryTableField id="25" name="Officer of Record" tableColumnId="25"/>
      <queryTableField id="26" name="Squad" tableColumnId="26"/>
      <queryTableField id="27" name="Det_Assigned" tableColumnId="27"/>
      <queryTableField id="28" name="Case_Status" tableColumnId="28"/>
      <queryTableField id="29" name="NIBRS Classification" tableColumnId="29"/>
      <queryTableField id="30" name="CASE_NUMBER_LENGTH" tableColumnId="30"/>
      <queryTableField id="31" name="Year" tableColumnId="31"/>
      <queryTableField id="32" name="St#" tableColumnId="32"/>
      <queryTableField id="33" name="Notes" tableColumnId="33"/>
      <queryTableField id="34" name="VEHICLE" tableColumnId="34"/>
      <queryTableField id="35" name="Suspect" tableColumnId="35"/>
      <queryTableField id="36" name="TOTAL_STOLEN_AMOUNT" tableColumnId="36"/>
      <queryTableField id="37" name="INC_DATE" tableColumnId="37"/>
      <queryTableField id="38" name="TOD" tableColumnId="38"/>
      <queryTableField id="39" name="Start of Hour" tableColumnId="39"/>
      <queryTableField id="40" name="INC_TIME" tableColumnId="40"/>
      <queryTableField id="41" name="Day Name" tableColumnId="41"/>
      <queryTableField id="42" name="Month Name" tableColumnId="42"/>
      <queryTableField id="43" name="Week of Year" tableColumnId="43"/>
      <queryTableField id="44" name="Week of Month" tableColumnId="44"/>
      <queryTableField id="45" name="Day" tableColumnId="45"/>
      <queryTableField id="46" name="Day of Year" tableColumnId="46"/>
      <queryTableField id="47" name="INC_DATE_AND_TIME" tableColumnId="47"/>
      <queryTableField id="48" name="REPORT_CYCLE" tableColumnId="4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E36C3D5E-A89C-4A83-BA0C-7A59259D7EBF}" autoFormatId="16" applyNumberFormats="0" applyBorderFormats="0" applyFontFormats="0" applyPatternFormats="0" applyAlignmentFormats="0" applyWidthHeightFormats="0">
  <queryTableRefresh nextId="112">
    <queryTableFields count="45">
      <queryTableField id="1" name="Case Number" tableColumnId="1"/>
      <queryTableField id="6" name="INC_DATE" tableColumnId="6"/>
      <queryTableField id="48" name="TIME_OF_DAY" tableColumnId="48"/>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5" xr16:uid="{44A96AE3-E9A4-4E0B-BDFD-5B9DD009DACE}" autoFormatId="16" applyNumberFormats="0" applyBorderFormats="0" applyFontFormats="0" applyPatternFormats="0" applyAlignmentFormats="0" applyWidthHeightFormats="0">
  <queryTableRefresh nextId="25">
    <queryTableFields count="15">
      <queryTableField id="1" name="Block Incident Occurred On" tableColumnId="1"/>
      <queryTableField id="2" name="Incident Date" tableColumnId="2"/>
      <queryTableField id="3" name="Day of Week" tableColumnId="3"/>
      <queryTableField id="4" name="Time of Day Incident Occurred" tableColumnId="4"/>
      <queryTableField id="5" name="Victim's Vehicle Description" tableColumnId="5"/>
      <queryTableField id="7" name="Vehicle Was Parked" tableColumnId="7"/>
      <queryTableField id="8" name="Entry Method" tableColumnId="8"/>
      <queryTableField id="9" name="Damage to Vehicle" tableColumnId="9"/>
      <queryTableField id="10" name="Suspect Description" tableColumnId="10"/>
      <queryTableField id="11" name="Suspect Vehicle Description" tableColumnId="11"/>
      <queryTableField id="12" name="Items Stolen" tableColumnId="12"/>
      <queryTableField id="13" name="Value of Stolen Property" tableColumnId="13"/>
      <queryTableField id="14" name="Keys with Vehicle" tableColumnId="14"/>
      <queryTableField id="15" name="Offense Completed" tableColumnId="15"/>
      <queryTableField id="6" name="Notes"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6" xr16:uid="{1535C284-9D16-4C61-940C-BE409E77425D}" autoFormatId="16" applyNumberFormats="0" applyBorderFormats="0" applyFontFormats="0" applyPatternFormats="0" applyAlignmentFormats="0" applyWidthHeightFormats="0">
  <queryTableRefresh nextId="111">
    <queryTableFields count="54">
      <queryTableField id="1" name="Case Number" tableColumnId="1"/>
      <queryTableField id="6" name="INC_DATE" tableColumnId="6"/>
      <queryTableField id="57" name="TOD" tableColumnId="54"/>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7" name="CompleteCalc" tableColumnId="27"/>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33" name="CASE_NUMBER_LENGTH" tableColumnId="33"/>
      <queryTableField id="34" name="Incident Date" tableColumnId="34"/>
      <queryTableField id="35" name="Incident Time" tableColumnId="35"/>
      <queryTableField id="36" name="Incident Date_Between" tableColumnId="36"/>
      <queryTableField id="37" name="Incident Time_Between" tableColumnId="37"/>
      <queryTableField id="38" name="Report Date" tableColumnId="38"/>
      <queryTableField id="39" name="Report Time" tableColumnId="39"/>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 id="48" name="TIME_OF_DAY" tableColumnId="4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connectionId="11" xr16:uid="{0677BE91-4D61-4337-BBBD-82298BA30184}" autoFormatId="16" applyNumberFormats="0" applyBorderFormats="0" applyFontFormats="0" applyPatternFormats="0" applyAlignmentFormats="0" applyWidthHeightFormats="0">
  <queryTableRefresh nextId="111">
    <queryTableFields count="54">
      <queryTableField id="1" name="Case Number" tableColumnId="1"/>
      <queryTableField id="6" name="INC_DATE" tableColumnId="6"/>
      <queryTableField id="57" name="TOD" tableColumnId="54"/>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7" name="CompleteCalc" tableColumnId="27"/>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33" name="CASE_NUMBER_LENGTH" tableColumnId="33"/>
      <queryTableField id="34" name="Incident Date" tableColumnId="34"/>
      <queryTableField id="35" name="Incident Time" tableColumnId="35"/>
      <queryTableField id="36" name="Incident Date_Between" tableColumnId="36"/>
      <queryTableField id="37" name="Incident Time_Between" tableColumnId="37"/>
      <queryTableField id="38" name="Report Date" tableColumnId="38"/>
      <queryTableField id="39" name="Report Time" tableColumnId="39"/>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 id="48" name="TIME_OF_DAY" tableColumnId="4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2" xr16:uid="{0F394113-ABCD-450D-B34F-C5DD1AC43206}" autoFormatId="16" applyNumberFormats="0" applyBorderFormats="0" applyFontFormats="0" applyPatternFormats="0" applyAlignmentFormats="0" applyWidthHeightFormats="0">
  <queryTableRefresh nextId="13">
    <queryTableFields count="12">
      <queryTableField id="1" name="Block Incident Occurred On" tableColumnId="1"/>
      <queryTableField id="2" name="Incident Date" tableColumnId="2"/>
      <queryTableField id="3" name="Day of Week" tableColumnId="3"/>
      <queryTableField id="4" name="Time of Day Incident Occurred" tableColumnId="4"/>
      <queryTableField id="5" name="Victim's Vehicle Description" tableColumnId="5"/>
      <queryTableField id="6" name="Notes" tableColumnId="6"/>
      <queryTableField id="7" name="Vehicle Was Parked" tableColumnId="7"/>
      <queryTableField id="8" name="Entry Method" tableColumnId="8"/>
      <queryTableField id="9" name="Suspect Description" tableColumnId="9"/>
      <queryTableField id="10" name="Suspect Vehicle Description" tableColumnId="10"/>
      <queryTableField id="11" name="Keys with Vehicle" tableColumnId="11"/>
      <queryTableField id="12" name="Offense Completed" tableColumnId="1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14" xr16:uid="{63423EAB-6A24-4E1D-826D-906302979DD4}" autoFormatId="16" applyNumberFormats="0" applyBorderFormats="0" applyFontFormats="0" applyPatternFormats="0" applyAlignmentFormats="0" applyWidthHeightFormats="0">
  <queryTableRefresh nextId="47">
    <queryTableFields count="46">
      <queryTableField id="1" name="Case Number" tableColumnId="1"/>
      <queryTableField id="2" name="INC_DATE" tableColumnId="2"/>
      <queryTableField id="3" name="TIME_OF_DAY" tableColumnId="3"/>
      <queryTableField id="4" name="Start of Hour" tableColumnId="4"/>
      <queryTableField id="5" name="INC_TIME" tableColumnId="5"/>
      <queryTableField id="6" name="Day Name" tableColumnId="6"/>
      <queryTableField id="7" name="Month Name" tableColumnId="7"/>
      <queryTableField id="8" name="BLOCK" tableColumnId="8"/>
      <queryTableField id="9" name="Location" tableColumnId="9"/>
      <queryTableField id="10" name="ALL_INCIDENTS" tableColumnId="10"/>
      <queryTableField id="11" name="Incident Type_1" tableColumnId="11"/>
      <queryTableField id="12" name="Incident Type_2" tableColumnId="12"/>
      <queryTableField id="13" name="Incident Type_3" tableColumnId="13"/>
      <queryTableField id="14" name="FullAddress" tableColumnId="14"/>
      <queryTableField id="15" name="Grid" tableColumnId="15"/>
      <queryTableField id="16" name="Zone" tableColumnId="16"/>
      <queryTableField id="17" name="Narrative" tableColumnId="17"/>
      <queryTableField id="18" name="Total Value Stolen" tableColumnId="18"/>
      <queryTableField id="19" name="Total Value Recover" tableColumnId="19"/>
      <queryTableField id="20" name="Registration 1" tableColumnId="20"/>
      <queryTableField id="21" name="Make1" tableColumnId="21"/>
      <queryTableField id="22" name="Model1" tableColumnId="22"/>
      <queryTableField id="23" name="Reg State 1" tableColumnId="23"/>
      <queryTableField id="24" name="Registration 2" tableColumnId="24"/>
      <queryTableField id="25" name="Reg State 2" tableColumnId="25"/>
      <queryTableField id="26" name="Make2" tableColumnId="26"/>
      <queryTableField id="27" name="Model2" tableColumnId="27"/>
      <queryTableField id="28" name="Reviewed By" tableColumnId="28"/>
      <queryTableField id="29" name="CompleteCalc" tableColumnId="29"/>
      <queryTableField id="30" name="Officer of Record" tableColumnId="30"/>
      <queryTableField id="31" name="Squad" tableColumnId="31"/>
      <queryTableField id="32" name="Det_Assigned" tableColumnId="32"/>
      <queryTableField id="33" name="Case_Status" tableColumnId="33"/>
      <queryTableField id="34" name="NIBRS Classification" tableColumnId="34"/>
      <queryTableField id="35" name="Year" tableColumnId="35"/>
      <queryTableField id="36" name="Week of Year" tableColumnId="36"/>
      <queryTableField id="37" name="Week of Month" tableColumnId="37"/>
      <queryTableField id="38" name="Day" tableColumnId="38"/>
      <queryTableField id="39" name="Day of Year" tableColumnId="39"/>
      <queryTableField id="40" name="INC_DATE_AND_TIME" tableColumnId="40"/>
      <queryTableField id="41" name="St#" tableColumnId="41"/>
      <queryTableField id="42" name="Notes" tableColumnId="42"/>
      <queryTableField id="43" name="VEHICLE" tableColumnId="43"/>
      <queryTableField id="44" name="Suspect" tableColumnId="44"/>
      <queryTableField id="45" name="TOTAL_STOLEN_AMOUNT" tableColumnId="45"/>
      <queryTableField id="46" name="REPORT_CYCLE" tableColumnId="46"/>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3" xr16:uid="{88D66F49-C0FC-498C-87A4-24936885D602}" autoFormatId="16" applyNumberFormats="0" applyBorderFormats="0" applyFontFormats="0" applyPatternFormats="0" applyAlignmentFormats="0" applyWidthHeightFormats="0">
  <queryTableRefresh nextId="36">
    <queryTableFields count="16">
      <queryTableField id="18" name="BLOCK" tableColumnId="18"/>
      <queryTableField id="19" name="INC_DATE" tableColumnId="19"/>
      <queryTableField id="20" name="Day Name" tableColumnId="20"/>
      <queryTableField id="21" name="TIME_OF_DAY" tableColumnId="21"/>
      <queryTableField id="22" name="Suspect" tableColumnId="22"/>
      <queryTableField id="23" name="VEHICLE" tableColumnId="23"/>
      <queryTableField id="24" name="TOTAL_STOLEN_AMOUNT" tableColumnId="24"/>
      <queryTableField id="25" name="Narrative" tableColumnId="25"/>
      <queryTableField id="6" name="Location Type" tableColumnId="6"/>
      <queryTableField id="9" name="Type Weapon" tableColumnId="9"/>
      <queryTableField id="10" name="Type of Victim" tableColumnId="10"/>
      <queryTableField id="11" name="Type Injury" tableColumnId="11"/>
      <queryTableField id="26" name="Property Stolen" tableColumnId="26"/>
      <queryTableField id="14" name="Offender Suspected of Using" tableColumnId="14"/>
      <queryTableField id="15" name="Relationship of Victim to Offender" tableColumnId="15"/>
      <queryTableField id="16" name="Offense Completed" tableColumnId="16"/>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6" connectionId="17" xr16:uid="{308AC9F4-3E59-47A9-8B79-AD02AC86BC3C}" autoFormatId="16" applyNumberFormats="0" applyBorderFormats="0" applyFontFormats="0" applyPatternFormats="0" applyAlignmentFormats="0" applyWidthHeightFormats="0">
  <queryTableRefresh nextId="111">
    <queryTableFields count="54">
      <queryTableField id="1" name="Case Number" tableColumnId="1"/>
      <queryTableField id="6" name="INC_DATE" tableColumnId="6"/>
      <queryTableField id="57" name="TOD" tableColumnId="54"/>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7" name="CompleteCalc" tableColumnId="27"/>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33" name="CASE_NUMBER_LENGTH" tableColumnId="33"/>
      <queryTableField id="34" name="Incident Date" tableColumnId="34"/>
      <queryTableField id="35" name="Incident Time" tableColumnId="35"/>
      <queryTableField id="36" name="Incident Date_Between" tableColumnId="36"/>
      <queryTableField id="37" name="Incident Time_Between" tableColumnId="37"/>
      <queryTableField id="38" name="Report Date" tableColumnId="38"/>
      <queryTableField id="39" name="Report Time" tableColumnId="39"/>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 id="48" name="TIME_OF_DAY" tableColumnId="4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7" connectionId="16" xr16:uid="{89DFD8F8-3F94-41D9-968D-26CB67D9B130}" autoFormatId="16" applyNumberFormats="0" applyBorderFormats="0" applyFontFormats="0" applyPatternFormats="0" applyAlignmentFormats="0" applyWidthHeightFormats="0">
  <queryTableRefresh nextId="16">
    <queryTableFields count="15">
      <queryTableField id="1" name="BLOCK" tableColumnId="1"/>
      <queryTableField id="2" name="INC_DATE" tableColumnId="2"/>
      <queryTableField id="3" name="Day Name" tableColumnId="3"/>
      <queryTableField id="4" name="TIME_OF_DAY" tableColumnId="4"/>
      <queryTableField id="5" name="Suspect" tableColumnId="5"/>
      <queryTableField id="6" name="Vehicle Involved" tableColumnId="6"/>
      <queryTableField id="7" name="Type of Offense" tableColumnId="7"/>
      <queryTableField id="8" name="Victim-Offender Relationship" tableColumnId="8"/>
      <queryTableField id="9" name="Location Type" tableColumnId="9"/>
      <queryTableField id="10" name="Method of Coercion" tableColumnId="10"/>
      <queryTableField id="11" name="Multiple Offenders vs. Single Offender" tableColumnId="11"/>
      <queryTableField id="12" name="Repeat Offender or Known Suspect" tableColumnId="12"/>
      <queryTableField id="13" name="Use of Technology" tableColumnId="13"/>
      <queryTableField id="14" name="Victim Demographics" tableColumnId="14"/>
      <queryTableField id="15" name="Narrative" tableColumnId="15"/>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8" xr16:uid="{9791A67D-24EB-43A4-8B5A-327AF9B69B51}" autoFormatId="16" applyNumberFormats="0" applyBorderFormats="0" applyFontFormats="0" applyPatternFormats="0" applyAlignmentFormats="0" applyWidthHeightFormats="0">
  <queryTableRefresh nextId="112">
    <queryTableFields count="54">
      <queryTableField id="2" name="Case Number" tableColumnId="2"/>
      <queryTableField id="7" name="INC_DATE" tableColumnId="7"/>
      <queryTableField id="58" name="TOD" tableColumnId="54"/>
      <queryTableField id="3" name="Start of Hour" tableColumnId="3"/>
      <queryTableField id="4" name="INC_TIME" tableColumnId="4"/>
      <queryTableField id="5" name="Day Name" tableColumnId="5"/>
      <queryTableField id="6" name="Month Name" tableColumnId="6"/>
      <queryTableField id="48" name="BLOCK" tableColumnId="48"/>
      <queryTableField id="8" name="Location" tableColumnId="8"/>
      <queryTableField id="10" name="ALL_INCIDENTS" tableColumnId="10"/>
      <queryTableField id="9" name="Incident Type_1" tableColumnId="9"/>
      <queryTableField id="11" name="Incident Type_2" tableColumnId="11"/>
      <queryTableField id="12" name="Incident Type_3" tableColumnId="12"/>
      <queryTableField id="13" name="FullAddress" tableColumnId="13"/>
      <queryTableField id="14" name="Grid" tableColumnId="14"/>
      <queryTableField id="15" name="Zone" tableColumnId="15"/>
      <queryTableField id="16" name="Narrative" tableColumnId="16"/>
      <queryTableField id="17" name="Total Value Stolen" tableColumnId="17"/>
      <queryTableField id="18" name="Total Value Recover" tableColumnId="18"/>
      <queryTableField id="19" name="Registration 1" tableColumnId="19"/>
      <queryTableField id="20" name="Make1" tableColumnId="20"/>
      <queryTableField id="21" name="Model1" tableColumnId="21"/>
      <queryTableField id="22" name="Reg State 1" tableColumnId="22"/>
      <queryTableField id="23" name="Registration 2" tableColumnId="23"/>
      <queryTableField id="24" name="Reg State 2" tableColumnId="24"/>
      <queryTableField id="25" name="Make2" tableColumnId="25"/>
      <queryTableField id="26" name="Model2" tableColumnId="26"/>
      <queryTableField id="27" name="Reviewed By" tableColumnId="27"/>
      <queryTableField id="28" name="CompleteCalc" tableColumnId="28"/>
      <queryTableField id="29" name="Officer of Record" tableColumnId="29"/>
      <queryTableField id="30" name="Squad" tableColumnId="30"/>
      <queryTableField id="31" name="Det_Assigned" tableColumnId="31"/>
      <queryTableField id="32" name="Case_Status" tableColumnId="32"/>
      <queryTableField id="33" name="NIBRS Classification" tableColumnId="33"/>
      <queryTableField id="34" name="CASE_NUMBER_LENGTH" tableColumnId="34"/>
      <queryTableField id="35" name="Incident Date" tableColumnId="35"/>
      <queryTableField id="36" name="Incident Time" tableColumnId="36"/>
      <queryTableField id="37" name="Incident Date_Between" tableColumnId="37"/>
      <queryTableField id="38" name="Incident Time_Between" tableColumnId="38"/>
      <queryTableField id="39" name="Report Date" tableColumnId="39"/>
      <queryTableField id="40" name="Report Time" tableColumnId="40"/>
      <queryTableField id="41" name="Year" tableColumnId="41"/>
      <queryTableField id="42" name="Week of Year" tableColumnId="42"/>
      <queryTableField id="43" name="Week of Month" tableColumnId="43"/>
      <queryTableField id="44" name="Day" tableColumnId="44"/>
      <queryTableField id="45" name="Day of Year" tableColumnId="45"/>
      <queryTableField id="46" name="INC_DATE_AND_TIME" tableColumnId="46"/>
      <queryTableField id="47" name="St#" tableColumnId="47"/>
      <queryTableField id="109" name="Notes" tableColumnId="50"/>
      <queryTableField id="51" name="VEHICLE" tableColumnId="51"/>
      <queryTableField id="52" name="Suspect" tableColumnId="52"/>
      <queryTableField id="53" name="TOTAL_STOLEN_AMOUNT" tableColumnId="53"/>
      <queryTableField id="54" name="REPORT_CYCLE" tableColumnId="1"/>
      <queryTableField id="49" name="TIME_OF_DAY" tableColumnId="4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E606ADA-6299-4695-9D6A-C33CF80F9CFC}" name="PAST_WEEK_1" displayName="PAST_WEEK_1" ref="A1:AV3" tableType="queryTable" totalsRowShown="0">
  <autoFilter ref="A1:AV3" xr:uid="{DE606ADA-6299-4695-9D6A-C33CF80F9CFC}"/>
  <tableColumns count="48">
    <tableColumn id="1" xr3:uid="{60CED06B-EAC4-453F-820E-7CA9ED432754}" uniqueName="1" name="Case Number" queryTableFieldId="1" dataDxfId="738"/>
    <tableColumn id="2" xr3:uid="{4A6EF9B4-8709-4062-9FA5-81A5EA0582E6}" uniqueName="2" name="BLOCK" queryTableFieldId="2"/>
    <tableColumn id="3" xr3:uid="{8AB4D782-E02A-4E1F-87B8-94D56E08BB9A}" uniqueName="3" name="TIME_OF_DAY" queryTableFieldId="3"/>
    <tableColumn id="4" xr3:uid="{C6AB6839-8ACE-40EF-887E-9A542F7DFA21}" uniqueName="4" name="Location" queryTableFieldId="4"/>
    <tableColumn id="5" xr3:uid="{73FB37A2-477D-4D0A-9ABE-D88600CCEE11}" uniqueName="5" name="ALL_INCIDENTS" queryTableFieldId="5"/>
    <tableColumn id="6" xr3:uid="{18A06E04-04FF-4520-9E17-50D675E80D4A}" uniqueName="6" name="Incident Type_1" queryTableFieldId="6" dataDxfId="737"/>
    <tableColumn id="7" xr3:uid="{747A192D-232C-40BE-A8D7-6DABD3EF7A45}" uniqueName="7" name="Incident Type_2" queryTableFieldId="7" dataDxfId="736"/>
    <tableColumn id="8" xr3:uid="{65E7D6D6-16E1-4E01-A29B-D46C146A83A4}" uniqueName="8" name="Incident Type_3" queryTableFieldId="8" dataDxfId="735"/>
    <tableColumn id="9" xr3:uid="{8CF95D40-C3A6-4FBA-839C-57BF1651619D}" uniqueName="9" name="FullAddress" queryTableFieldId="9" dataDxfId="734"/>
    <tableColumn id="10" xr3:uid="{957CC518-1B10-4D77-8977-76FB67447B1B}" uniqueName="10" name="Grid" queryTableFieldId="10" dataDxfId="733"/>
    <tableColumn id="11" xr3:uid="{6D10092B-3E78-4E6E-A0F2-1F20E3CF4BC6}" uniqueName="11" name="Zone" queryTableFieldId="11"/>
    <tableColumn id="12" xr3:uid="{C4A2E204-6D16-4D7D-ACBA-A4DCD91E10F7}" uniqueName="12" name="Narrative" queryTableFieldId="12" dataDxfId="732"/>
    <tableColumn id="13" xr3:uid="{F8B730E8-3A8B-4FEA-8721-1BA92D4954F4}" uniqueName="13" name="Total Value Stolen" queryTableFieldId="13"/>
    <tableColumn id="14" xr3:uid="{01F801C0-89F0-4BAE-B1A0-520E908E2D23}" uniqueName="14" name="Total Value Recover" queryTableFieldId="14"/>
    <tableColumn id="15" xr3:uid="{41E0D133-91C1-4926-8A55-11FC0C54F042}" uniqueName="15" name="Registration 1" queryTableFieldId="15" dataDxfId="731"/>
    <tableColumn id="16" xr3:uid="{B89EFFE5-44CB-47C7-B367-EA422715C0E0}" uniqueName="16" name="Make1" queryTableFieldId="16" dataDxfId="730"/>
    <tableColumn id="17" xr3:uid="{893BB1F4-36A8-4C69-AD4F-D0F2A15E48B2}" uniqueName="17" name="Model1" queryTableFieldId="17" dataDxfId="729"/>
    <tableColumn id="18" xr3:uid="{4AA2DFCA-5FF9-4758-95BF-6A6A63D90797}" uniqueName="18" name="Reg State 1" queryTableFieldId="18" dataDxfId="728"/>
    <tableColumn id="19" xr3:uid="{2C91B01B-F39F-4935-A498-5BEBED4FA7D8}" uniqueName="19" name="Registration 2" queryTableFieldId="19"/>
    <tableColumn id="20" xr3:uid="{D686F9D0-0C90-41D6-B561-297F499346D1}" uniqueName="20" name="Reg State 2" queryTableFieldId="20"/>
    <tableColumn id="21" xr3:uid="{E7149AD4-B8B0-4ED7-B186-8726AEF2D052}" uniqueName="21" name="Make2" queryTableFieldId="21"/>
    <tableColumn id="22" xr3:uid="{1E0B721C-2120-4382-8B6B-8F37D3CB16D4}" uniqueName="22" name="Model2" queryTableFieldId="22"/>
    <tableColumn id="23" xr3:uid="{00EAC8B9-F5FF-4444-99E6-2026BEF61D4C}" uniqueName="23" name="Reviewed By" queryTableFieldId="23" dataDxfId="727"/>
    <tableColumn id="24" xr3:uid="{8BFC5CAB-93ED-4B44-BBDF-EBCA8106A523}" uniqueName="24" name="CompleteCalc" queryTableFieldId="24" dataDxfId="726"/>
    <tableColumn id="25" xr3:uid="{D0EC5703-E18E-44C5-AFAB-FA69F5DC8FA2}" uniqueName="25" name="Officer of Record" queryTableFieldId="25" dataDxfId="725"/>
    <tableColumn id="26" xr3:uid="{8406E036-6EBA-462F-A13A-6AE15C30B03F}" uniqueName="26" name="Squad" queryTableFieldId="26" dataDxfId="724"/>
    <tableColumn id="27" xr3:uid="{6751C271-A9FB-4654-A382-82C840BAE76E}" uniqueName="27" name="Det_Assigned" queryTableFieldId="27" dataDxfId="723"/>
    <tableColumn id="28" xr3:uid="{C938C524-C3E5-4336-8E12-8273E6E4C539}" uniqueName="28" name="Case_Status" queryTableFieldId="28" dataDxfId="722"/>
    <tableColumn id="29" xr3:uid="{8A1A58C8-64D7-4C77-B769-42ED4BAB1A15}" uniqueName="29" name="NIBRS Classification" queryTableFieldId="29" dataDxfId="721"/>
    <tableColumn id="30" xr3:uid="{17268280-2CE1-4FC4-9A31-ED3B5D4C73F9}" uniqueName="30" name="CASE_NUMBER_LENGTH" queryTableFieldId="30"/>
    <tableColumn id="31" xr3:uid="{83A125B5-F47D-41E7-A85D-706277E5B831}" uniqueName="31" name="Year" queryTableFieldId="31"/>
    <tableColumn id="32" xr3:uid="{A9D65CA5-C5CF-498D-895F-33E825A9FEA1}" uniqueName="32" name="St#" queryTableFieldId="32"/>
    <tableColumn id="33" xr3:uid="{26645767-735A-45FA-B8C0-3D262E25B362}" uniqueName="33" name="Notes" queryTableFieldId="33"/>
    <tableColumn id="34" xr3:uid="{0D48BF07-16EA-4060-803D-A61FE83A9380}" uniqueName="34" name="VEHICLE" queryTableFieldId="34"/>
    <tableColumn id="35" xr3:uid="{641CCC95-C742-4C86-8CC7-C031DDC22E68}" uniqueName="35" name="Suspect" queryTableFieldId="35"/>
    <tableColumn id="36" xr3:uid="{F3971CDA-B57D-459A-B67C-C52EF4680960}" uniqueName="36" name="TOTAL_STOLEN_AMOUNT" queryTableFieldId="36"/>
    <tableColumn id="37" xr3:uid="{FEF5916A-675B-4213-AE98-ADED49AC7AAA}" uniqueName="37" name="INC_DATE" queryTableFieldId="37" dataDxfId="720"/>
    <tableColumn id="38" xr3:uid="{C8A4AB81-9780-4F26-907F-3F1551D76FF4}" uniqueName="38" name="TOD" queryTableFieldId="38"/>
    <tableColumn id="39" xr3:uid="{C719D596-9EF7-492B-87D3-678D7F897B4E}" uniqueName="39" name="Start of Hour" queryTableFieldId="39" dataDxfId="719"/>
    <tableColumn id="40" xr3:uid="{42C37F77-9E3A-4F37-9438-8110F204241B}" uniqueName="40" name="INC_TIME" queryTableFieldId="40" dataDxfId="718"/>
    <tableColumn id="41" xr3:uid="{603E6717-A7D7-4FA5-BA3F-39464B4E022D}" uniqueName="41" name="Day Name" queryTableFieldId="41"/>
    <tableColumn id="42" xr3:uid="{FDF41397-7361-4149-A231-4AC35EC5042F}" uniqueName="42" name="Month Name" queryTableFieldId="42"/>
    <tableColumn id="43" xr3:uid="{AD81A433-A776-4A1B-B368-CC0C612EB77D}" uniqueName="43" name="Week of Year" queryTableFieldId="43"/>
    <tableColumn id="44" xr3:uid="{9A2E7EC3-E260-4155-B278-7639BCE0680A}" uniqueName="44" name="Week of Month" queryTableFieldId="44"/>
    <tableColumn id="45" xr3:uid="{21FD9CD2-ED04-41B2-90BE-D535FAFF4235}" uniqueName="45" name="Day" queryTableFieldId="45"/>
    <tableColumn id="46" xr3:uid="{DB63FB98-A952-4872-A3FA-B6550A607474}" uniqueName="46" name="Day of Year" queryTableFieldId="46"/>
    <tableColumn id="47" xr3:uid="{1552530B-FA53-45F0-B956-838DDC12130F}" uniqueName="47" name="INC_DATE_AND_TIME" queryTableFieldId="47" dataDxfId="717"/>
    <tableColumn id="48" xr3:uid="{ACD2E2FB-3A32-4056-83E6-718C7601269F}" uniqueName="48" name="REPORT_CYCLE" queryTableFieldId="4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445029C-EA82-4077-BDF0-09FA4CF318CC}" name="CURRENT_28D" displayName="CURRENT_28D" ref="A1:AV18" tableType="queryTable" totalsRowShown="0">
  <autoFilter ref="A1:AV18" xr:uid="{0445029C-EA82-4077-BDF0-09FA4CF318CC}"/>
  <tableColumns count="48">
    <tableColumn id="1" xr3:uid="{69A69A35-977E-4556-9A97-9732A9D1F31F}" uniqueName="1" name="Case Number" queryTableFieldId="1" dataDxfId="716"/>
    <tableColumn id="2" xr3:uid="{08C0369C-8E42-46D3-9DDE-92E92F88406A}" uniqueName="2" name="BLOCK" queryTableFieldId="2"/>
    <tableColumn id="3" xr3:uid="{4B4016E7-5E86-40D0-8D3F-1889FEE381FF}" uniqueName="3" name="TIME_OF_DAY" queryTableFieldId="3"/>
    <tableColumn id="4" xr3:uid="{593A6D4A-B6AC-4BC6-9BCE-BD12A3E2EE73}" uniqueName="4" name="Location" queryTableFieldId="4"/>
    <tableColumn id="5" xr3:uid="{C732D735-2E23-4051-A0FA-021EC8B1C067}" uniqueName="5" name="ALL_INCIDENTS" queryTableFieldId="5"/>
    <tableColumn id="6" xr3:uid="{9FC1250D-5038-4CC3-AEC5-25E120DFD744}" uniqueName="6" name="Incident Type_1" queryTableFieldId="6" dataDxfId="715"/>
    <tableColumn id="7" xr3:uid="{FDD19ECA-0AF6-4863-AF03-D81C521DB9FD}" uniqueName="7" name="Incident Type_2" queryTableFieldId="7" dataDxfId="714"/>
    <tableColumn id="8" xr3:uid="{683377A7-D6A0-419E-81E0-9BB9A90512E8}" uniqueName="8" name="Incident Type_3" queryTableFieldId="8" dataDxfId="713"/>
    <tableColumn id="9" xr3:uid="{786BB945-6093-45DD-A18C-1A1EFEBC246C}" uniqueName="9" name="FullAddress" queryTableFieldId="9" dataDxfId="712"/>
    <tableColumn id="10" xr3:uid="{56C21E25-0A3D-4F4E-9800-6D728D4195FC}" uniqueName="10" name="Grid" queryTableFieldId="10" dataDxfId="711"/>
    <tableColumn id="11" xr3:uid="{82D32DA7-E683-4BE9-8F1D-EACE321B3EF4}" uniqueName="11" name="Zone" queryTableFieldId="11"/>
    <tableColumn id="12" xr3:uid="{71AC7C65-8727-4711-A9B5-95298FA0DA44}" uniqueName="12" name="Narrative" queryTableFieldId="12" dataDxfId="710"/>
    <tableColumn id="13" xr3:uid="{8184DE8D-5A0E-47A2-A705-C9E463572DE6}" uniqueName="13" name="Total Value Stolen" queryTableFieldId="13"/>
    <tableColumn id="14" xr3:uid="{E981516E-B0B1-4162-867D-036F57723E25}" uniqueName="14" name="Total Value Recover" queryTableFieldId="14"/>
    <tableColumn id="15" xr3:uid="{CA30F125-69F3-488F-B8F3-65063FC06FAE}" uniqueName="15" name="Registration 1" queryTableFieldId="15" dataDxfId="709"/>
    <tableColumn id="16" xr3:uid="{21C1A2F7-E4DD-42AE-BE2F-0AED205CF0C4}" uniqueName="16" name="Make1" queryTableFieldId="16" dataDxfId="708"/>
    <tableColumn id="17" xr3:uid="{1CD79772-EC83-4710-9D61-6F44872569B4}" uniqueName="17" name="Model1" queryTableFieldId="17" dataDxfId="707"/>
    <tableColumn id="18" xr3:uid="{05BE9081-D11F-4C13-A94A-AC1849A91FAA}" uniqueName="18" name="Reg State 1" queryTableFieldId="18" dataDxfId="706"/>
    <tableColumn id="19" xr3:uid="{81B4FEA3-2F82-4B36-A653-460E1E51B504}" uniqueName="19" name="Registration 2" queryTableFieldId="19"/>
    <tableColumn id="20" xr3:uid="{9315AFC3-BDED-4993-8D37-203AD9AFFEDC}" uniqueName="20" name="Reg State 2" queryTableFieldId="20"/>
    <tableColumn id="21" xr3:uid="{45EE1543-53AD-44DA-BAFB-B6689DEDBBC1}" uniqueName="21" name="Make2" queryTableFieldId="21"/>
    <tableColumn id="22" xr3:uid="{650FA678-50CA-40C4-A2DE-D119A4F0A9C1}" uniqueName="22" name="Model2" queryTableFieldId="22"/>
    <tableColumn id="23" xr3:uid="{C900389B-6449-4A46-9675-EA03FFABE2C6}" uniqueName="23" name="Reviewed By" queryTableFieldId="23" dataDxfId="705"/>
    <tableColumn id="24" xr3:uid="{2047E768-5579-4D6A-9B97-DD4BDDC90961}" uniqueName="24" name="CompleteCalc" queryTableFieldId="24" dataDxfId="704"/>
    <tableColumn id="25" xr3:uid="{530230D2-2CAC-41D1-9E7D-83DD567F148B}" uniqueName="25" name="Officer of Record" queryTableFieldId="25" dataDxfId="703"/>
    <tableColumn id="26" xr3:uid="{47C7097F-CD39-4932-960E-99091EEC7546}" uniqueName="26" name="Squad" queryTableFieldId="26" dataDxfId="702"/>
    <tableColumn id="27" xr3:uid="{FB20B121-2AFD-46DA-93E5-26943B7C26FE}" uniqueName="27" name="Det_Assigned" queryTableFieldId="27" dataDxfId="701"/>
    <tableColumn id="28" xr3:uid="{3040DCD6-CED1-49D2-8FF0-FAAFFB750050}" uniqueName="28" name="Case_Status" queryTableFieldId="28" dataDxfId="700"/>
    <tableColumn id="29" xr3:uid="{41638542-1B18-401B-8540-30D1D3DCDFFC}" uniqueName="29" name="NIBRS Classification" queryTableFieldId="29" dataDxfId="699"/>
    <tableColumn id="30" xr3:uid="{94AFE940-3A78-4168-9DC8-FD3B3753EA6A}" uniqueName="30" name="CASE_NUMBER_LENGTH" queryTableFieldId="30"/>
    <tableColumn id="31" xr3:uid="{6B8895A1-C8B5-4976-B301-ED2B3994FCDB}" uniqueName="31" name="Year" queryTableFieldId="31"/>
    <tableColumn id="32" xr3:uid="{EFDF7214-FEB8-44E6-8605-DE089C47F1D6}" uniqueName="32" name="St#" queryTableFieldId="32"/>
    <tableColumn id="33" xr3:uid="{9DD49F18-CE0C-4185-BEE2-B8A6C20252C5}" uniqueName="33" name="Notes" queryTableFieldId="33"/>
    <tableColumn id="34" xr3:uid="{31E932FE-12E7-4FE3-BFDC-26F368CAFA99}" uniqueName="34" name="VEHICLE" queryTableFieldId="34"/>
    <tableColumn id="35" xr3:uid="{D1396A49-7D0F-4E76-8062-694D30422685}" uniqueName="35" name="Suspect" queryTableFieldId="35"/>
    <tableColumn id="36" xr3:uid="{32E790B7-CEFE-4DA6-ADC1-CF8C2FE7C8F7}" uniqueName="36" name="TOTAL_STOLEN_AMOUNT" queryTableFieldId="36"/>
    <tableColumn id="37" xr3:uid="{D4FED1B1-77AD-453E-9A1E-F70D5E59ED55}" uniqueName="37" name="INC_DATE" queryTableFieldId="37" dataDxfId="698"/>
    <tableColumn id="38" xr3:uid="{6D4759BE-E979-4F8A-B071-DBF8A0F3BE44}" uniqueName="38" name="TOD" queryTableFieldId="38"/>
    <tableColumn id="39" xr3:uid="{D8288FFB-DE54-472D-84F0-2057B7E6865F}" uniqueName="39" name="Start of Hour" queryTableFieldId="39" dataDxfId="697"/>
    <tableColumn id="40" xr3:uid="{54A3C7B3-74EB-4323-88D7-DE17966B70F5}" uniqueName="40" name="INC_TIME" queryTableFieldId="40" dataDxfId="696"/>
    <tableColumn id="41" xr3:uid="{FF7D7883-8014-4499-8AFE-FC0FE9600282}" uniqueName="41" name="Day Name" queryTableFieldId="41"/>
    <tableColumn id="42" xr3:uid="{7043B1BC-307D-4E18-8775-93A424E77AB3}" uniqueName="42" name="Month Name" queryTableFieldId="42"/>
    <tableColumn id="43" xr3:uid="{4F9C232B-CC94-4F06-A080-9B395359CF86}" uniqueName="43" name="Week of Year" queryTableFieldId="43"/>
    <tableColumn id="44" xr3:uid="{755C089D-1754-4EA7-8ABE-709D80F9B30A}" uniqueName="44" name="Week of Month" queryTableFieldId="44"/>
    <tableColumn id="45" xr3:uid="{A88E11C3-5EC5-4E76-B68B-D928189CF8FB}" uniqueName="45" name="Day" queryTableFieldId="45"/>
    <tableColumn id="46" xr3:uid="{3DD6859D-53EC-4796-AB04-033150BCE3BD}" uniqueName="46" name="Day of Year" queryTableFieldId="46"/>
    <tableColumn id="47" xr3:uid="{77574ACE-20F6-4EAD-A6C1-9A4E9FCE2EE7}" uniqueName="47" name="INC_DATE_AND_TIME" queryTableFieldId="47" dataDxfId="695"/>
    <tableColumn id="48" xr3:uid="{CA323C1B-DB0B-4C23-93CB-E33449AD4995}" uniqueName="48" name="REPORT_CYCLE" queryTableFieldId="4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3B4D5E-C410-487A-BBAF-F19B83C60366}" name="Bur_Auto" displayName="Bur_Auto" ref="A1:AS122" tableType="queryTable" totalsRowShown="0" headerRowDxfId="694">
  <autoFilter ref="A1:AS122" xr:uid="{053B4D5E-C410-487A-BBAF-F19B83C60366}"/>
  <tableColumns count="45">
    <tableColumn id="1" xr3:uid="{FACFC861-1620-40BD-950E-E20853CEDE8D}" uniqueName="1" name="Case Number" queryTableFieldId="1" dataDxfId="693"/>
    <tableColumn id="6" xr3:uid="{FDAC213A-693D-47F2-A727-78E05BADFCE5}" uniqueName="6" name="INC_DATE" queryTableFieldId="6" dataDxfId="692"/>
    <tableColumn id="48" xr3:uid="{63862322-9A57-414B-82BE-92A0375CE84B}" uniqueName="48" name="TIME_OF_DAY" queryTableFieldId="48"/>
    <tableColumn id="2" xr3:uid="{9742BAFE-0E5B-4B5E-869A-22E19C40F353}" uniqueName="2" name="Start of Hour" queryTableFieldId="2" dataDxfId="691"/>
    <tableColumn id="3" xr3:uid="{63AAD30B-832D-4367-B05E-FBE90CBF7432}" uniqueName="3" name="INC_TIME" queryTableFieldId="3" dataDxfId="690"/>
    <tableColumn id="4" xr3:uid="{437D069E-5E44-4D48-8713-FEB12322B831}" uniqueName="4" name="Day Name" queryTableFieldId="4"/>
    <tableColumn id="5" xr3:uid="{F22A587A-1AC0-4ED2-BB61-A25EA201651D}" uniqueName="5" name="Month Name" queryTableFieldId="5"/>
    <tableColumn id="47" xr3:uid="{D2F99258-E6F4-45DE-8665-8F54BCC909AB}" uniqueName="47" name="BLOCK" queryTableFieldId="47"/>
    <tableColumn id="7" xr3:uid="{23412795-3C5C-4E2A-9919-B98C62A75D08}" uniqueName="7" name="Location" queryTableFieldId="7"/>
    <tableColumn id="9" xr3:uid="{C0F0C169-D837-4C9E-AB09-8C1D99D91596}" uniqueName="9" name="ALL_INCIDENTS" queryTableFieldId="9"/>
    <tableColumn id="8" xr3:uid="{887AEAD5-2EE6-4CE8-B63E-F34A4013598D}" uniqueName="8" name="Incident Type_1" queryTableFieldId="8" dataDxfId="689"/>
    <tableColumn id="10" xr3:uid="{7C706C07-C6A9-4B55-B12B-B1EC640BB510}" uniqueName="10" name="Incident Type_2" queryTableFieldId="10" dataDxfId="688"/>
    <tableColumn id="11" xr3:uid="{F3806DE8-88F3-43EF-B3ED-0B00EA0C5B06}" uniqueName="11" name="Incident Type_3" queryTableFieldId="11" dataDxfId="687"/>
    <tableColumn id="12" xr3:uid="{2D137194-07CE-44BF-B991-4DC064083B2F}" uniqueName="12" name="FullAddress" queryTableFieldId="12" dataDxfId="686"/>
    <tableColumn id="13" xr3:uid="{8A7A3242-2964-4403-A82F-2C0BBD0A6E23}" uniqueName="13" name="Grid" queryTableFieldId="13" dataDxfId="685"/>
    <tableColumn id="14" xr3:uid="{A362B5CB-0CC8-4CB4-BBC1-73B64D5C13F7}" uniqueName="14" name="Zone" queryTableFieldId="14"/>
    <tableColumn id="15" xr3:uid="{E1F30827-C2EA-441F-BD35-CB496B001448}" uniqueName="15" name="Narrative" queryTableFieldId="15" dataDxfId="684"/>
    <tableColumn id="16" xr3:uid="{975068BA-A059-498B-AF9A-9041339A5EB4}" uniqueName="16" name="Total Value Stolen" queryTableFieldId="16"/>
    <tableColumn id="17" xr3:uid="{F655ADE8-2EC8-4201-AF47-04D14250510D}" uniqueName="17" name="Total Value Recover" queryTableFieldId="17"/>
    <tableColumn id="18" xr3:uid="{C8696408-8459-49C0-A2B1-C77A7E8802CB}" uniqueName="18" name="Registration 1" queryTableFieldId="18" dataDxfId="683"/>
    <tableColumn id="19" xr3:uid="{2CF01599-CADC-43A5-9982-F679A114208D}" uniqueName="19" name="Make1" queryTableFieldId="19" dataDxfId="682"/>
    <tableColumn id="20" xr3:uid="{8BEE1F97-52E1-49A0-822D-71406A448AD5}" uniqueName="20" name="Model1" queryTableFieldId="20" dataDxfId="681"/>
    <tableColumn id="21" xr3:uid="{991E9F53-0B16-43C7-BC83-8C933A9EAF48}" uniqueName="21" name="Reg State 1" queryTableFieldId="21" dataDxfId="680"/>
    <tableColumn id="22" xr3:uid="{196A4EFA-8AE5-4359-A05A-E5856FD86ED3}" uniqueName="22" name="Registration 2" queryTableFieldId="22"/>
    <tableColumn id="23" xr3:uid="{09BFE387-258E-4028-912E-F42848FC1FB8}" uniqueName="23" name="Reg State 2" queryTableFieldId="23"/>
    <tableColumn id="24" xr3:uid="{999E3F07-7593-49A2-B8BA-CE172835F480}" uniqueName="24" name="Make2" queryTableFieldId="24"/>
    <tableColumn id="25" xr3:uid="{EC6C6216-F333-4EE1-8A1C-34E8C49FD1BF}" uniqueName="25" name="Model2" queryTableFieldId="25"/>
    <tableColumn id="26" xr3:uid="{E69827BB-9FFF-4842-AACE-96129A23C8F0}" uniqueName="26" name="Reviewed By" queryTableFieldId="26" dataDxfId="679"/>
    <tableColumn id="28" xr3:uid="{0A0186FF-651D-489A-A310-98C2FD6D65A1}" uniqueName="28" name="Officer of Record" queryTableFieldId="28" dataDxfId="678"/>
    <tableColumn id="29" xr3:uid="{96757894-775B-442E-809C-6B97BD573DC0}" uniqueName="29" name="Squad" queryTableFieldId="29" dataDxfId="677"/>
    <tableColumn id="30" xr3:uid="{6318B82C-473C-44D6-9464-C32015D30AF6}" uniqueName="30" name="Det_Assigned" queryTableFieldId="30" dataDxfId="676"/>
    <tableColumn id="31" xr3:uid="{254BA949-002B-4681-BF1C-D67BB17DCD44}" uniqueName="31" name="Case_Status" queryTableFieldId="31" dataDxfId="675"/>
    <tableColumn id="32" xr3:uid="{B2F06823-4098-42B9-947E-DB3B89C54414}" uniqueName="32" name="NIBRS Classification" queryTableFieldId="32" dataDxfId="674"/>
    <tableColumn id="40" xr3:uid="{680BBDF2-B758-4577-BD0C-C162EFF9409E}" uniqueName="40" name="Year" queryTableFieldId="40"/>
    <tableColumn id="41" xr3:uid="{A837D56A-5CBE-499C-A4F2-CC38DA30A593}" uniqueName="41" name="Week of Year" queryTableFieldId="41"/>
    <tableColumn id="42" xr3:uid="{4D75D3C2-8786-40BF-B97B-D0EE0432B82D}" uniqueName="42" name="Week of Month" queryTableFieldId="42"/>
    <tableColumn id="43" xr3:uid="{1D4F9BBB-5892-474F-BE57-70EA5EEF1794}" uniqueName="43" name="Day" queryTableFieldId="43"/>
    <tableColumn id="44" xr3:uid="{90001A85-63F5-42C1-A0AA-B5EF7CEAC611}" uniqueName="44" name="Day of Year" queryTableFieldId="44"/>
    <tableColumn id="45" xr3:uid="{11B2CB0E-C8BB-41E3-8BD8-DB730FB6DFEB}" uniqueName="45" name="INC_DATE_AND_TIME" queryTableFieldId="45" dataDxfId="673"/>
    <tableColumn id="46" xr3:uid="{B8E6382D-A067-404B-86B9-4993AE799355}" uniqueName="46" name="St#" queryTableFieldId="46"/>
    <tableColumn id="49" xr3:uid="{48D4137F-198F-4529-92F8-BDA08563A6B7}" uniqueName="49" name="Notes" queryTableFieldId="108" dataDxfId="672"/>
    <tableColumn id="50" xr3:uid="{3049FA7E-2B3D-4825-BA0A-8C9537F88D77}" uniqueName="50" name="VEHICLE" queryTableFieldId="50"/>
    <tableColumn id="51" xr3:uid="{1227B6EC-3B2B-400B-B915-A91EFE2CC2D2}" uniqueName="51" name="Suspect" queryTableFieldId="51"/>
    <tableColumn id="52" xr3:uid="{883FCCCA-106B-4935-ACD4-2CDDB39CF55E}" uniqueName="52" name="TOTAL_STOLEN_AMOUNT" queryTableFieldId="52" dataDxfId="671"/>
    <tableColumn id="53" xr3:uid="{6456B8EA-5D36-4659-A4F9-64A6114BF6EE}" uniqueName="53" name="REPORT_CYCLE" queryTableFieldId="5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53909-38FC-4AC5-97EA-B21B88C6642E}" name="Bur_Auto_7D" displayName="Bur_Auto_7D" ref="A1:O2" tableType="queryTable" totalsRowShown="0" headerRowDxfId="670" dataDxfId="669">
  <autoFilter ref="A1:O2" xr:uid="{B6A53909-38FC-4AC5-97EA-B21B88C6642E}"/>
  <tableColumns count="15">
    <tableColumn id="1" xr3:uid="{ECDF7BB0-09B2-43DE-A354-9058D18A589E}" uniqueName="1" name="Block Incident Occurred On" queryTableFieldId="1" dataDxfId="668"/>
    <tableColumn id="2" xr3:uid="{AA58CE8E-C4E4-4DD6-837B-96CD8EBA533A}" uniqueName="2" name="Incident Date" queryTableFieldId="2" dataDxfId="667"/>
    <tableColumn id="3" xr3:uid="{00E52B2C-07F5-4860-AB91-71438153626E}" uniqueName="3" name="Day of Week" queryTableFieldId="3" dataDxfId="666"/>
    <tableColumn id="4" xr3:uid="{FC4A00AF-FC7A-4CDC-9B1E-D81AAE2B9126}" uniqueName="4" name="Time of Day Incident Occurred" queryTableFieldId="4" dataDxfId="665"/>
    <tableColumn id="5" xr3:uid="{459A1D10-4C01-43D7-B77A-7E35028C8BA8}" uniqueName="5" name="Victim's Vehicle Description" queryTableFieldId="5" dataDxfId="664"/>
    <tableColumn id="7" xr3:uid="{3BB8ED52-7655-4E6E-9C04-133EBEBF3B4C}" uniqueName="7" name="Vehicle Was Parked" queryTableFieldId="7" dataDxfId="663"/>
    <tableColumn id="8" xr3:uid="{43FE979C-0792-4382-9C5E-FB1F7BEC09D9}" uniqueName="8" name="Entry Method" queryTableFieldId="8" dataDxfId="662"/>
    <tableColumn id="9" xr3:uid="{89DA9597-B3CE-467B-912D-D787FDC46A6E}" uniqueName="9" name="Damage to Vehicle" queryTableFieldId="9" dataDxfId="661"/>
    <tableColumn id="10" xr3:uid="{9AB34402-D56D-49EF-B71E-D68E20A02258}" uniqueName="10" name="Suspect Description" queryTableFieldId="10" dataDxfId="660"/>
    <tableColumn id="11" xr3:uid="{61668263-7DF6-40CD-BACF-63E2EBA91BD6}" uniqueName="11" name="Suspect Vehicle Description" queryTableFieldId="11" dataDxfId="659"/>
    <tableColumn id="12" xr3:uid="{1A026041-CE9A-46BA-8320-0654CA55D35A}" uniqueName="12" name="Items Stolen" queryTableFieldId="12" dataDxfId="658"/>
    <tableColumn id="13" xr3:uid="{0D828EDD-5E41-45B5-A44A-312378F6B0D1}" uniqueName="13" name="Value of Stolen Property" queryTableFieldId="13" dataDxfId="657"/>
    <tableColumn id="14" xr3:uid="{401F2D1B-E41B-4821-A7FB-77BE5D239A52}" uniqueName="14" name="Keys with Vehicle" queryTableFieldId="14" dataDxfId="656"/>
    <tableColumn id="15" xr3:uid="{66187DCB-EA89-469F-92CE-D883B72ABFFD}" uniqueName="15" name="Offense Completed" queryTableFieldId="15" dataDxfId="655"/>
    <tableColumn id="6" xr3:uid="{173FEAC5-1FEA-454C-B199-9DD15DD04C5F}" uniqueName="6" name="Notes" queryTableFieldId="6" dataDxfId="654"/>
  </tableColumns>
  <tableStyleInfo name="TableStyleLight18 3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5124254-843D-4925-808B-81581425B9C5}" name="REPORT_BUR_AUTO_7DAY" displayName="REPORT_BUR_AUTO_7DAY" ref="N1:AB2" totalsRowShown="0" headerRowDxfId="590" dataDxfId="589">
  <autoFilter ref="N1:AB2" xr:uid="{85124254-843D-4925-808B-81581425B9C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EF7505E7-9D87-4C36-971A-B41530B0B7F6}" name="Block Incident Occurred On" dataDxfId="588"/>
    <tableColumn id="2" xr3:uid="{8922ED49-8F2E-4BF3-8E78-C8046E91BC0E}" name="Incident Date" dataDxfId="587"/>
    <tableColumn id="7" xr3:uid="{BBCF45BD-A2C3-4288-AA29-9D030301F35D}" name="Day of Week" dataDxfId="586"/>
    <tableColumn id="8" xr3:uid="{5FAD7BA0-72E7-4C32-B18F-39817BA1FE2E}" name="Time of Day Incident Occurred" dataDxfId="585"/>
    <tableColumn id="4" xr3:uid="{6D689E85-5A34-4E9C-A668-00E0889BCCAB}" name="Victim's Vehicle Description" dataDxfId="584"/>
    <tableColumn id="6" xr3:uid="{F42BEC7C-6526-44A8-AB91-17FC20818C34}" name="Vehicle Was Parked" dataDxfId="583"/>
    <tableColumn id="5" xr3:uid="{CFC7FF41-F7FC-4CDE-BD79-0667900FCBCC}" name="Entry Method" dataDxfId="582"/>
    <tableColumn id="9" xr3:uid="{00D11AA5-84CE-42B3-864B-635554C068C5}" name="Damage to Vehicle" dataDxfId="581"/>
    <tableColumn id="10" xr3:uid="{5D4117CA-0AB2-45E2-9046-55BF9807163B}" name="Suspect Description" dataDxfId="580"/>
    <tableColumn id="11" xr3:uid="{3BE4B175-BF08-4118-9ACC-49D200953A0D}" name="Suspect Vehicle Description" dataDxfId="579"/>
    <tableColumn id="12" xr3:uid="{5FF668F4-962D-48B3-B268-88F2E0A6108E}" name="Items Stolen" dataDxfId="578"/>
    <tableColumn id="13" xr3:uid="{E6B22A5D-DEB2-441A-ACEF-AF7F2AFE02F2}" name="Value of Stolen Property" dataDxfId="577"/>
    <tableColumn id="14" xr3:uid="{27E2A757-9324-4E40-BDAC-429A19FFE2BC}" name="Keys with Vehicle" dataDxfId="576"/>
    <tableColumn id="15" xr3:uid="{92696B52-EA75-4B05-AD99-65A1C7C77B9E}" name="Offense Completed" dataDxfId="575"/>
    <tableColumn id="16" xr3:uid="{9430299B-427C-4895-A43A-823B06AB5121}" name="Notes" dataDxfId="574"/>
  </tableColumns>
  <tableStyleInfo name="TableStyleLight18 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8FF4D6-6BA4-492D-A0B0-0BB53664764A}" name="Bur_C_R" displayName="Bur_C_R" ref="A1:BB11" tableType="queryTable" totalsRowShown="0" headerRowDxfId="573" dataDxfId="572">
  <autoFilter ref="A1:BB11" xr:uid="{EC8FF4D6-6BA4-492D-A0B0-0BB53664764A}"/>
  <tableColumns count="54">
    <tableColumn id="1" xr3:uid="{16E625DC-0955-49F1-AB69-650CF5856D1B}" uniqueName="1" name="Case Number" queryTableFieldId="1" dataDxfId="571"/>
    <tableColumn id="6" xr3:uid="{CF98D3C0-01E0-4FF8-A8D9-DCED1069D0B4}" uniqueName="6" name="INC_DATE" queryTableFieldId="6" dataDxfId="570"/>
    <tableColumn id="54" xr3:uid="{68D4522E-642C-4F9C-8B19-E8B91DB669E4}" uniqueName="54" name="TOD" queryTableFieldId="57" dataDxfId="569"/>
    <tableColumn id="2" xr3:uid="{8D9E0F70-1346-4113-8977-93A5E30EFC2D}" uniqueName="2" name="Start of Hour" queryTableFieldId="2" dataDxfId="568"/>
    <tableColumn id="3" xr3:uid="{B3FAB0AF-3E56-4961-AB13-7525264E4D7D}" uniqueName="3" name="INC_TIME" queryTableFieldId="3" dataDxfId="567"/>
    <tableColumn id="4" xr3:uid="{CA148942-3F6E-469F-B3BD-0A6F747BAC1B}" uniqueName="4" name="Day Name" queryTableFieldId="4" dataDxfId="566"/>
    <tableColumn id="5" xr3:uid="{E4EA3C2D-621C-447E-BAB8-2423CABD3B94}" uniqueName="5" name="Month Name" queryTableFieldId="5" dataDxfId="565"/>
    <tableColumn id="47" xr3:uid="{814D4605-8093-45F5-8D78-E60996FC14ED}" uniqueName="47" name="BLOCK" queryTableFieldId="47" dataDxfId="564"/>
    <tableColumn id="7" xr3:uid="{D09BB27C-B738-4903-A27E-68F458EB8E59}" uniqueName="7" name="Location" queryTableFieldId="7" dataDxfId="563"/>
    <tableColumn id="9" xr3:uid="{A17D7FA9-684E-426F-A7D0-8A0E15608037}" uniqueName="9" name="ALL_INCIDENTS" queryTableFieldId="9" dataDxfId="562"/>
    <tableColumn id="8" xr3:uid="{0BFC020F-BAFC-4DC0-9872-417BCDE3B939}" uniqueName="8" name="Incident Type_1" queryTableFieldId="8" dataDxfId="561"/>
    <tableColumn id="10" xr3:uid="{71C7C73E-8083-4B03-B225-95C21866A4ED}" uniqueName="10" name="Incident Type_2" queryTableFieldId="10" dataDxfId="560"/>
    <tableColumn id="11" xr3:uid="{21630D2C-C346-434C-AE15-2EEF69DBE8E0}" uniqueName="11" name="Incident Type_3" queryTableFieldId="11" dataDxfId="559"/>
    <tableColumn id="12" xr3:uid="{1949663D-3FB0-4810-98E3-CDDF6EE60B42}" uniqueName="12" name="FullAddress" queryTableFieldId="12" dataDxfId="558"/>
    <tableColumn id="13" xr3:uid="{1D46F593-A691-4E30-91FF-4D7F956CF5E9}" uniqueName="13" name="Grid" queryTableFieldId="13" dataDxfId="557"/>
    <tableColumn id="14" xr3:uid="{75B23C7E-D288-409D-B298-6C2AC71254A5}" uniqueName="14" name="Zone" queryTableFieldId="14" dataDxfId="556"/>
    <tableColumn id="15" xr3:uid="{7844AE2F-8BA2-4DAF-BA9F-0B962A4C2BC2}" uniqueName="15" name="Narrative" queryTableFieldId="15" dataDxfId="555"/>
    <tableColumn id="16" xr3:uid="{13DA8775-BB2E-4C3D-B04B-698ABCFD00E0}" uniqueName="16" name="Total Value Stolen" queryTableFieldId="16" dataDxfId="554"/>
    <tableColumn id="17" xr3:uid="{93A79F59-2887-4486-A6E7-A993B9B7BDCA}" uniqueName="17" name="Total Value Recover" queryTableFieldId="17" dataDxfId="553"/>
    <tableColumn id="18" xr3:uid="{0682A0B6-6670-4C4D-B552-6DCC6C617B20}" uniqueName="18" name="Registration 1" queryTableFieldId="18" dataDxfId="552"/>
    <tableColumn id="19" xr3:uid="{8AF4413B-2839-4D89-A31D-7483171CDAD4}" uniqueName="19" name="Make1" queryTableFieldId="19" dataDxfId="551"/>
    <tableColumn id="20" xr3:uid="{8AE8FAD6-2206-43F7-B5E7-CF64B91959B5}" uniqueName="20" name="Model1" queryTableFieldId="20" dataDxfId="550"/>
    <tableColumn id="21" xr3:uid="{74E1142C-03CF-4680-ADA7-D3F87741B5BA}" uniqueName="21" name="Reg State 1" queryTableFieldId="21" dataDxfId="549"/>
    <tableColumn id="22" xr3:uid="{AAF1BE72-2E81-428C-8F4C-E6BE6AA4C83E}" uniqueName="22" name="Registration 2" queryTableFieldId="22" dataDxfId="548"/>
    <tableColumn id="23" xr3:uid="{F9F84BC3-99EF-4096-9D38-212AC49B9CC1}" uniqueName="23" name="Reg State 2" queryTableFieldId="23" dataDxfId="547"/>
    <tableColumn id="24" xr3:uid="{F7A40287-2B8C-4DF2-9323-2985D8B34071}" uniqueName="24" name="Make2" queryTableFieldId="24" dataDxfId="546"/>
    <tableColumn id="25" xr3:uid="{1E6E5D55-3AF3-49D6-B6A9-2F70E9DE0CFC}" uniqueName="25" name="Model2" queryTableFieldId="25" dataDxfId="545"/>
    <tableColumn id="26" xr3:uid="{97DDD738-D060-4060-91A5-AB2F9782D22B}" uniqueName="26" name="Reviewed By" queryTableFieldId="26" dataDxfId="544"/>
    <tableColumn id="27" xr3:uid="{CE36F7A5-0CC2-4F6A-A48F-A026D612D269}" uniqueName="27" name="CompleteCalc" queryTableFieldId="27" dataDxfId="543"/>
    <tableColumn id="28" xr3:uid="{CC2AB227-D340-4144-908C-1A00C81596B4}" uniqueName="28" name="Officer of Record" queryTableFieldId="28" dataDxfId="542"/>
    <tableColumn id="29" xr3:uid="{469570DE-F497-4275-BD15-101564149F63}" uniqueName="29" name="Squad" queryTableFieldId="29" dataDxfId="541"/>
    <tableColumn id="30" xr3:uid="{AC035AE3-9F3F-4F92-98F2-B999DA9BB775}" uniqueName="30" name="Det_Assigned" queryTableFieldId="30" dataDxfId="540"/>
    <tableColumn id="31" xr3:uid="{8A8B2799-2A38-4C2B-BE09-B73546C116E2}" uniqueName="31" name="Case_Status" queryTableFieldId="31" dataDxfId="539"/>
    <tableColumn id="32" xr3:uid="{3AE7FA64-DB16-4A13-A58D-58EAE6C0FF79}" uniqueName="32" name="NIBRS Classification" queryTableFieldId="32" dataDxfId="538"/>
    <tableColumn id="33" xr3:uid="{D0AD3108-1B2A-44F3-BBB8-81B49ADFFABD}" uniqueName="33" name="CASE_NUMBER_LENGTH" queryTableFieldId="33" dataDxfId="537"/>
    <tableColumn id="34" xr3:uid="{513A4BBD-0CD1-463A-83F4-3E4C26270225}" uniqueName="34" name="Incident Date" queryTableFieldId="34" dataDxfId="536"/>
    <tableColumn id="35" xr3:uid="{4D282A22-8AE9-442D-A050-5E938438CE02}" uniqueName="35" name="Incident Time" queryTableFieldId="35" dataDxfId="535"/>
    <tableColumn id="36" xr3:uid="{6726503D-DAAF-497D-AB7F-7FAE89FC6086}" uniqueName="36" name="Incident Date_Between" queryTableFieldId="36" dataDxfId="534"/>
    <tableColumn id="37" xr3:uid="{130F4AB9-5B66-4C12-BECF-8247DFA16561}" uniqueName="37" name="Incident Time_Between" queryTableFieldId="37" dataDxfId="533"/>
    <tableColumn id="38" xr3:uid="{1FB19AB5-9847-4FAB-B848-DF0DAEF4711E}" uniqueName="38" name="Report Date" queryTableFieldId="38" dataDxfId="532"/>
    <tableColumn id="39" xr3:uid="{69D79C85-395C-40A6-A279-011931533C6B}" uniqueName="39" name="Report Time" queryTableFieldId="39" dataDxfId="531"/>
    <tableColumn id="40" xr3:uid="{BAD12639-B39C-4117-8AC2-4E14F7FD07C0}" uniqueName="40" name="Year" queryTableFieldId="40" dataDxfId="530"/>
    <tableColumn id="41" xr3:uid="{06AAF14B-6C83-4C19-A01F-EBD46C53E3B3}" uniqueName="41" name="Week of Year" queryTableFieldId="41" dataDxfId="529"/>
    <tableColumn id="42" xr3:uid="{B02DCF2B-6EC4-441D-86C6-567ACF4F1A4F}" uniqueName="42" name="Week of Month" queryTableFieldId="42" dataDxfId="528"/>
    <tableColumn id="43" xr3:uid="{37A6B7A3-6E86-478B-9F92-E62203FE1710}" uniqueName="43" name="Day" queryTableFieldId="43" dataDxfId="527"/>
    <tableColumn id="44" xr3:uid="{69F3F87E-5D9B-4D96-88A6-E2E1534540F9}" uniqueName="44" name="Day of Year" queryTableFieldId="44" dataDxfId="526"/>
    <tableColumn id="45" xr3:uid="{80523FFF-C072-4CA6-A30B-D040784BC180}" uniqueName="45" name="INC_DATE_AND_TIME" queryTableFieldId="45" dataDxfId="525"/>
    <tableColumn id="46" xr3:uid="{2D3BDBE5-8CDC-4CA8-B03F-C336A45AE83E}" uniqueName="46" name="St#" queryTableFieldId="46" dataDxfId="524"/>
    <tableColumn id="49" xr3:uid="{9EDA1613-3E7B-481B-A13B-6E018838065F}" uniqueName="49" name="Notes" queryTableFieldId="108"/>
    <tableColumn id="50" xr3:uid="{B68FDF78-77F7-4606-B378-226C255935B1}" uniqueName="50" name="VEHICLE" queryTableFieldId="50" dataDxfId="523"/>
    <tableColumn id="51" xr3:uid="{76F7FDF4-841B-4146-ACB6-029031989A1A}" uniqueName="51" name="Suspect" queryTableFieldId="51" dataDxfId="522"/>
    <tableColumn id="52" xr3:uid="{526549FB-A153-46C6-9BFA-2D93C7D20A48}" uniqueName="52" name="TOTAL_STOLEN_AMOUNT" queryTableFieldId="52" dataDxfId="521"/>
    <tableColumn id="53" xr3:uid="{D30FDD77-F23D-4CE7-A940-AAE90C28AAC3}" uniqueName="53" name="REPORT_CYCLE" queryTableFieldId="53" dataDxfId="520"/>
    <tableColumn id="48" xr3:uid="{98A2612F-0368-4891-BD1A-2BAB58A23118}" uniqueName="48" name="TIME_OF_DAY" queryTableFieldId="48" dataDxfId="519"/>
  </tableColumns>
  <tableStyleInfo name="TableStyleLight19 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CD1384B-A78D-4D22-BF57-57527D4538F7}" name="Bur_C_R50" displayName="Bur_C_R50" ref="M1:BN11" totalsRowShown="0" headerRowDxfId="472" dataDxfId="471">
  <autoFilter ref="M1:BN11" xr:uid="{0CD1384B-A78D-4D22-BF57-57527D4538F7}"/>
  <tableColumns count="54">
    <tableColumn id="1" xr3:uid="{8DBFF80D-CDA3-4C7D-AFE4-25A7FA949C0B}" name="Case Number" dataDxfId="470"/>
    <tableColumn id="2" xr3:uid="{4B32C307-04B2-4E06-879B-1C47990EA447}" name="INC_DATE" dataDxfId="469"/>
    <tableColumn id="3" xr3:uid="{CCF5552A-3101-409C-A2CC-C594719C0C08}" name="TOD"/>
    <tableColumn id="4" xr3:uid="{52CEF72F-8DCC-4716-B0D5-FD829FE089F0}" name="Start of Hour" dataDxfId="468"/>
    <tableColumn id="5" xr3:uid="{B5BBE312-A7A7-4128-A0FF-7C93D3392031}" name="INC_TIME" dataDxfId="467"/>
    <tableColumn id="6" xr3:uid="{8FDC614B-9734-4F3C-BDEE-32628643507F}" name="Day Name"/>
    <tableColumn id="7" xr3:uid="{8DD8AAA6-626D-4F8A-BFE4-1F82FD5910B0}" name="Month Name"/>
    <tableColumn id="8" xr3:uid="{CDD352D5-7E11-43C1-845D-17992AD9660D}" name="BLOCK"/>
    <tableColumn id="9" xr3:uid="{A02FD012-D329-4E11-BFBA-1A87102F8B0F}" name="Location"/>
    <tableColumn id="10" xr3:uid="{01DB759B-82E5-4732-A377-079EB612A673}" name="ALL_INCIDENTS"/>
    <tableColumn id="11" xr3:uid="{F7F1E8E6-7715-433A-96FA-F6F739EEE905}" name="Incident Type_1" dataDxfId="466"/>
    <tableColumn id="12" xr3:uid="{1E716A9F-A0A5-460A-B0DF-1B111A11665F}" name="Incident Type_2" dataDxfId="465"/>
    <tableColumn id="13" xr3:uid="{313D146B-E0C1-4017-BB83-19CC998A33D9}" name="Incident Type_3" dataDxfId="464"/>
    <tableColumn id="14" xr3:uid="{2DC8E3D3-788F-43B8-AE69-2ACA178F2A0F}" name="FullAddress" dataDxfId="463"/>
    <tableColumn id="47" xr3:uid="{68B5AC45-3887-4434-A52D-46D8A7638E59}" name="Grid" dataDxfId="462"/>
    <tableColumn id="54" xr3:uid="{EF527E54-F354-46AE-8575-50C41228F173}" name="Zone"/>
    <tableColumn id="15" xr3:uid="{ABD40984-83CE-4CB0-A5D8-EB6ACB59F210}" name="Narrative" dataDxfId="461"/>
    <tableColumn id="16" xr3:uid="{38AE268A-E478-4035-998A-80465ACA29B7}" name="Total Value Stolen" dataDxfId="460"/>
    <tableColumn id="17" xr3:uid="{9AA31042-4C8A-417A-8BCC-B20C2AC6E42C}" name="Total Value Recover" dataDxfId="459"/>
    <tableColumn id="18" xr3:uid="{5C70B1F7-2EC4-4E4C-8740-3E96795DF8B1}" name="Registration 1" dataDxfId="458"/>
    <tableColumn id="19" xr3:uid="{06376A9B-1CF9-430C-A35F-AA069A6AA6C1}" name="Make1" dataDxfId="457"/>
    <tableColumn id="20" xr3:uid="{99421096-9242-4098-8FCD-C26C9FD574CD}" name="Model1" dataDxfId="456"/>
    <tableColumn id="21" xr3:uid="{331137EF-4C13-4DDC-B80D-D98644B30E12}" name="Reg State 1" dataDxfId="455"/>
    <tableColumn id="22" xr3:uid="{2BC76BE6-D952-4844-9566-C8F8CA75A344}" name="Registration 2" dataDxfId="454"/>
    <tableColumn id="23" xr3:uid="{BC00D1E6-5798-4D3C-B256-1EC44782A776}" name="Reg State 2" dataDxfId="453"/>
    <tableColumn id="24" xr3:uid="{8336147A-DCE5-4596-A1FF-FD55C43DC5FD}" name="Make2" dataDxfId="452"/>
    <tableColumn id="25" xr3:uid="{8B591E20-AFE1-4590-A3DD-8861C4C76BBA}" name="Model2" dataDxfId="451"/>
    <tableColumn id="26" xr3:uid="{917BD22A-1A91-40C1-9350-139744ECF24E}" name="Reviewed By" dataDxfId="450"/>
    <tableColumn id="27" xr3:uid="{8943FF1F-0B49-4252-AC6A-30B17CAF51E8}" name="CompleteCalc" dataDxfId="449"/>
    <tableColumn id="28" xr3:uid="{FCB4ABCF-9B7F-494A-A132-87CD59849845}" name="Officer of Record" dataDxfId="448"/>
    <tableColumn id="29" xr3:uid="{51679C79-217D-43C7-8E77-A252FA0185F3}" name="Squad" dataDxfId="447"/>
    <tableColumn id="30" xr3:uid="{5387C2E1-5463-4E1C-9742-15D9035EC8ED}" name="Det_Assigned" dataDxfId="446"/>
    <tableColumn id="31" xr3:uid="{E7153E2D-F428-4051-9826-59761DC427AA}" name="Case_Status" dataDxfId="445"/>
    <tableColumn id="32" xr3:uid="{CD2BAF2F-1A1B-49DC-8BC9-87C1FEDF9130}" name="NIBRS Classification" dataDxfId="444"/>
    <tableColumn id="33" xr3:uid="{1E1CA433-54D2-4A4F-A7D7-6AC1E3B21E32}" name="CASE_NUMBER_LENGTH" dataDxfId="443"/>
    <tableColumn id="34" xr3:uid="{8CC3CDA9-58F3-4615-B536-288F40633174}" name="Incident Date" dataDxfId="442"/>
    <tableColumn id="35" xr3:uid="{FD2B7F2D-B418-4E3B-A557-CA5398F4AC12}" name="Incident Time" dataDxfId="441"/>
    <tableColumn id="36" xr3:uid="{BF36C18E-15FE-4A62-8C3E-CCF246CFCD10}" name="Incident Date_Between" dataDxfId="440"/>
    <tableColumn id="37" xr3:uid="{6EE80A5B-99D0-44C0-829A-9534D2520FC9}" name="Incident Time_Between" dataDxfId="439"/>
    <tableColumn id="38" xr3:uid="{D64E25F8-19E5-4E37-87C2-05A9A8469D28}" name="Report Date" dataDxfId="438"/>
    <tableColumn id="39" xr3:uid="{A179B8AD-FD56-4C02-A308-C2332AD2778E}" name="Report Time" dataDxfId="437"/>
    <tableColumn id="40" xr3:uid="{DDB04E3D-06C9-440D-89ED-D617DF343DF3}" name="Year" dataDxfId="436"/>
    <tableColumn id="41" xr3:uid="{AC5909CE-A646-441A-BBC3-BF6792B94BA5}" name="Week of Year" dataDxfId="435"/>
    <tableColumn id="42" xr3:uid="{EDD8C9F0-0663-4A97-BD40-C66FB4F4088D}" name="Week of Month" dataDxfId="434"/>
    <tableColumn id="43" xr3:uid="{CD74AE42-0764-4E41-A6A6-13F76DD8434A}" name="Day" dataDxfId="433"/>
    <tableColumn id="44" xr3:uid="{484AE78D-1C83-4F29-BAC9-5CB3211FAF60}" name="Day of Year" dataDxfId="432"/>
    <tableColumn id="45" xr3:uid="{65FB300B-DB45-4A1C-BD01-4C93BBC4CC5E}" name="INC_DATE_AND_TIME" dataDxfId="431"/>
    <tableColumn id="46" xr3:uid="{07CB8E68-106E-4105-91A7-1DF1FBCEECF0}" name="St#" dataDxfId="430"/>
    <tableColumn id="49" xr3:uid="{3CCCD671-FD9B-4A69-952F-3CD5F70038EF}" name="Notes"/>
    <tableColumn id="50" xr3:uid="{9CD9617D-EAB7-4438-980F-EE64B74254B7}" name="VEHICLE" dataDxfId="429"/>
    <tableColumn id="51" xr3:uid="{3F2DD14E-E4E0-48BD-AAFC-5C72983BF6E9}" name="Suspect" dataDxfId="428"/>
    <tableColumn id="52" xr3:uid="{F63BDAC3-68F7-4E8C-8C72-8298FD2096C2}" name="TOTAL_STOLEN_AMOUNT" dataDxfId="427"/>
    <tableColumn id="53" xr3:uid="{D7C6EC5E-2C28-409D-BBB5-BF00DE5841CE}" name="REPORT_CYCLE" dataDxfId="426"/>
    <tableColumn id="48" xr3:uid="{956E24E5-8802-4C79-8C12-49C651855486}" name="TIME_OF_DAY" dataDxfId="425"/>
  </tableColumns>
  <tableStyleInfo name="TableStyleLight19 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8F869A-197A-4B64-9E4D-EC0C13C5F163}" name="MV_Theft" displayName="MV_Theft" ref="A1:BB15" tableType="queryTable" totalsRowShown="0" headerRowDxfId="424" dataDxfId="423">
  <autoFilter ref="A1:BB15" xr:uid="{718F869A-197A-4B64-9E4D-EC0C13C5F163}"/>
  <tableColumns count="54">
    <tableColumn id="1" xr3:uid="{68F19ACD-8591-43B8-86C4-C1750AC92E5A}" uniqueName="1" name="Case Number" queryTableFieldId="1" dataDxfId="422"/>
    <tableColumn id="6" xr3:uid="{B9D07CAD-BB49-4E7F-BD6E-14F2BAC25C7A}" uniqueName="6" name="INC_DATE" queryTableFieldId="6" dataDxfId="421"/>
    <tableColumn id="54" xr3:uid="{FE985AB7-8798-4C12-93F6-ACAADF5DC6DE}" uniqueName="54" name="TOD" queryTableFieldId="57" dataDxfId="420"/>
    <tableColumn id="2" xr3:uid="{4E87DBA6-F157-42EC-A3AB-D5803DFFAF0A}" uniqueName="2" name="Start of Hour" queryTableFieldId="2" dataDxfId="419"/>
    <tableColumn id="3" xr3:uid="{36CE75EC-25A1-44E7-BF97-7FA63DF913C1}" uniqueName="3" name="INC_TIME" queryTableFieldId="3" dataDxfId="418"/>
    <tableColumn id="4" xr3:uid="{1AE878EB-84B7-464F-A299-399796BB92B6}" uniqueName="4" name="Day Name" queryTableFieldId="4" dataDxfId="417"/>
    <tableColumn id="5" xr3:uid="{AC360330-DB55-4C2C-8A52-06AC5226E556}" uniqueName="5" name="Month Name" queryTableFieldId="5" dataDxfId="416"/>
    <tableColumn id="47" xr3:uid="{750965E7-EEE6-484A-B193-C12F5C896E71}" uniqueName="47" name="BLOCK" queryTableFieldId="47" dataDxfId="415"/>
    <tableColumn id="7" xr3:uid="{83CE3D3B-BAA3-4FD3-BE57-E096F383789B}" uniqueName="7" name="Location" queryTableFieldId="7" dataDxfId="414"/>
    <tableColumn id="9" xr3:uid="{340C6EAD-61C5-4A24-A4A5-44F546EAF403}" uniqueName="9" name="ALL_INCIDENTS" queryTableFieldId="9" dataDxfId="413"/>
    <tableColumn id="8" xr3:uid="{472008AF-A9FA-4AFD-A871-771A10F623A4}" uniqueName="8" name="Incident Type_1" queryTableFieldId="8" dataDxfId="412"/>
    <tableColumn id="10" xr3:uid="{8063488B-57CB-4D58-A6E8-CBA2329E2355}" uniqueName="10" name="Incident Type_2" queryTableFieldId="10" dataDxfId="411"/>
    <tableColumn id="11" xr3:uid="{AD5A3834-6D79-4810-BFAD-6E1C0B607325}" uniqueName="11" name="Incident Type_3" queryTableFieldId="11" dataDxfId="410"/>
    <tableColumn id="12" xr3:uid="{04B9C486-97BA-4C82-BE3C-F807D2EEE0BE}" uniqueName="12" name="FullAddress" queryTableFieldId="12" dataDxfId="409"/>
    <tableColumn id="13" xr3:uid="{AF817964-DC6E-4957-9ADB-3E8AA9A64BE0}" uniqueName="13" name="Grid" queryTableFieldId="13" dataDxfId="408"/>
    <tableColumn id="14" xr3:uid="{73B897D9-09D6-4BE7-9A05-68DFFAB3014E}" uniqueName="14" name="Zone" queryTableFieldId="14" dataDxfId="407"/>
    <tableColumn id="15" xr3:uid="{A034AA57-73FD-41D9-AF57-F9DA1FF1F62D}" uniqueName="15" name="Narrative" queryTableFieldId="15" dataDxfId="406"/>
    <tableColumn id="16" xr3:uid="{4C296E01-9404-4292-A2CB-C49F13A59B78}" uniqueName="16" name="Total Value Stolen" queryTableFieldId="16" dataDxfId="405"/>
    <tableColumn id="17" xr3:uid="{CC394FAC-5582-4117-8693-95A9DFC01E81}" uniqueName="17" name="Total Value Recover" queryTableFieldId="17" dataDxfId="404"/>
    <tableColumn id="18" xr3:uid="{3BEEFE52-969B-4DEE-A9EB-62D22EBA6DB5}" uniqueName="18" name="Registration 1" queryTableFieldId="18" dataDxfId="403"/>
    <tableColumn id="19" xr3:uid="{E1508B58-E538-444B-BC20-487BC015CDA1}" uniqueName="19" name="Make1" queryTableFieldId="19" dataDxfId="402"/>
    <tableColumn id="20" xr3:uid="{524F554A-4C46-4EC6-A378-C497D5DF1A0A}" uniqueName="20" name="Model1" queryTableFieldId="20" dataDxfId="401"/>
    <tableColumn id="21" xr3:uid="{67F5E8BB-0319-4DA3-BE91-03A6FF527DB8}" uniqueName="21" name="Reg State 1" queryTableFieldId="21" dataDxfId="400"/>
    <tableColumn id="22" xr3:uid="{C22FCF13-98DC-4083-B129-4BCCE99EAD0A}" uniqueName="22" name="Registration 2" queryTableFieldId="22" dataDxfId="399"/>
    <tableColumn id="23" xr3:uid="{17277D70-AA2B-4F33-8877-A0553AC64313}" uniqueName="23" name="Reg State 2" queryTableFieldId="23" dataDxfId="398"/>
    <tableColumn id="24" xr3:uid="{650C50C8-D50E-44A3-BA85-FCC5C0E35C00}" uniqueName="24" name="Make2" queryTableFieldId="24" dataDxfId="397"/>
    <tableColumn id="25" xr3:uid="{67C3106F-1DFC-418F-A9FE-42564160C77D}" uniqueName="25" name="Model2" queryTableFieldId="25" dataDxfId="396"/>
    <tableColumn id="26" xr3:uid="{D3A075A8-F186-447E-8D7C-DFA109CA0D85}" uniqueName="26" name="Reviewed By" queryTableFieldId="26" dataDxfId="395"/>
    <tableColumn id="27" xr3:uid="{CCB6BE88-E62B-4428-ADDD-66C5BC7CC24B}" uniqueName="27" name="CompleteCalc" queryTableFieldId="27" dataDxfId="394"/>
    <tableColumn id="28" xr3:uid="{BD3D2995-8E9D-451B-BD84-99C30739F762}" uniqueName="28" name="Officer of Record" queryTableFieldId="28" dataDxfId="393"/>
    <tableColumn id="29" xr3:uid="{9134B2C3-FD73-4162-9487-543B92E8F94F}" uniqueName="29" name="Squad" queryTableFieldId="29" dataDxfId="392"/>
    <tableColumn id="30" xr3:uid="{9FC5793D-EA56-44D6-B1DE-A5CF4968D1FD}" uniqueName="30" name="Det_Assigned" queryTableFieldId="30" dataDxfId="391"/>
    <tableColumn id="31" xr3:uid="{320921C8-E54A-4532-A87C-CA0FE97DFC90}" uniqueName="31" name="Case_Status" queryTableFieldId="31" dataDxfId="390"/>
    <tableColumn id="32" xr3:uid="{FF8304FE-D456-4BCB-B892-252480C4B481}" uniqueName="32" name="NIBRS Classification" queryTableFieldId="32" dataDxfId="389"/>
    <tableColumn id="33" xr3:uid="{9FE9CE43-995A-44E0-98C0-9A2FA9ECCE09}" uniqueName="33" name="CASE_NUMBER_LENGTH" queryTableFieldId="33" dataDxfId="388"/>
    <tableColumn id="34" xr3:uid="{AC087898-A5D3-43DD-99FC-61DB4A4C4766}" uniqueName="34" name="Incident Date" queryTableFieldId="34" dataDxfId="387"/>
    <tableColumn id="35" xr3:uid="{25D7DA37-36B5-45DB-98ED-D6221AECFD26}" uniqueName="35" name="Incident Time" queryTableFieldId="35" dataDxfId="386"/>
    <tableColumn id="36" xr3:uid="{5840A410-83F8-4C54-A3DB-F7E50A1070C8}" uniqueName="36" name="Incident Date_Between" queryTableFieldId="36" dataDxfId="385"/>
    <tableColumn id="37" xr3:uid="{3BF704D2-B8FE-4E85-AA94-86239A9A9DCA}" uniqueName="37" name="Incident Time_Between" queryTableFieldId="37" dataDxfId="384"/>
    <tableColumn id="38" xr3:uid="{A8B124E7-D790-4422-87C8-CAA317EEEF5A}" uniqueName="38" name="Report Date" queryTableFieldId="38" dataDxfId="383"/>
    <tableColumn id="39" xr3:uid="{83D241A6-1759-44B4-AED7-FA87465B64B5}" uniqueName="39" name="Report Time" queryTableFieldId="39" dataDxfId="382"/>
    <tableColumn id="40" xr3:uid="{7766AE60-B84F-4DE4-BEC1-D8637C007F5A}" uniqueName="40" name="Year" queryTableFieldId="40" dataDxfId="381"/>
    <tableColumn id="41" xr3:uid="{399A1633-B3B8-4FD1-AF20-1D38A651864F}" uniqueName="41" name="Week of Year" queryTableFieldId="41" dataDxfId="380"/>
    <tableColumn id="42" xr3:uid="{AF887992-8877-4C34-ABFC-FB2FE5A12E6B}" uniqueName="42" name="Week of Month" queryTableFieldId="42" dataDxfId="379"/>
    <tableColumn id="43" xr3:uid="{DCFF5E3A-0776-4CDC-8D35-BE33A6AF7AA3}" uniqueName="43" name="Day" queryTableFieldId="43" dataDxfId="378"/>
    <tableColumn id="44" xr3:uid="{2E9ACF79-0F39-4034-B5BA-3EAD0BFC537A}" uniqueName="44" name="Day of Year" queryTableFieldId="44" dataDxfId="377"/>
    <tableColumn id="45" xr3:uid="{CF35EBCC-36DD-45D2-8462-19321498EA10}" uniqueName="45" name="INC_DATE_AND_TIME" queryTableFieldId="45" dataDxfId="376"/>
    <tableColumn id="46" xr3:uid="{21081BB2-5062-42B7-8CE5-FC135BC51223}" uniqueName="46" name="St#" queryTableFieldId="46" dataDxfId="375"/>
    <tableColumn id="49" xr3:uid="{BE854BD7-B465-4C48-859A-9BB58B3628BE}" uniqueName="49" name="Notes" queryTableFieldId="108"/>
    <tableColumn id="50" xr3:uid="{8EC3E711-DAFA-4CD0-B294-4AB79A7BD385}" uniqueName="50" name="VEHICLE" queryTableFieldId="50" dataDxfId="374"/>
    <tableColumn id="51" xr3:uid="{9ED69E8A-3CD0-4B04-8B9A-403A579EB338}" uniqueName="51" name="Suspect" queryTableFieldId="51" dataDxfId="373"/>
    <tableColumn id="52" xr3:uid="{F8D0F7BD-F6D5-4D67-A017-A9103EE66490}" uniqueName="52" name="TOTAL_STOLEN_AMOUNT" queryTableFieldId="52" dataDxfId="372"/>
    <tableColumn id="53" xr3:uid="{0B6D52A5-9862-451D-AB3C-0D9E6CDB24F5}" uniqueName="53" name="REPORT_CYCLE" queryTableFieldId="53" dataDxfId="371"/>
    <tableColumn id="48" xr3:uid="{AEA630BB-6CF2-4C1D-9E61-781260C5B6F3}" uniqueName="48" name="TIME_OF_DAY" queryTableFieldId="48" dataDxfId="370"/>
  </tableColumns>
  <tableStyleInfo name="TableStyleLight16 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05361F7-3D31-4430-9A99-F6F9C2F5E732}" name="_MV_THEFT_7DAY" displayName="_MV_THEFT_7DAY" ref="A1:L2" tableType="queryTable" totalsRowShown="0">
  <autoFilter ref="A1:L2" xr:uid="{705361F7-3D31-4430-9A99-F6F9C2F5E732}"/>
  <tableColumns count="12">
    <tableColumn id="1" xr3:uid="{A58ABFB6-7A84-49CA-9685-21B3443EB889}" uniqueName="1" name="Block Incident Occurred On" queryTableFieldId="1"/>
    <tableColumn id="2" xr3:uid="{61377378-4794-46A0-92A5-425F47634183}" uniqueName="2" name="Incident Date" queryTableFieldId="2" dataDxfId="369"/>
    <tableColumn id="3" xr3:uid="{19813640-2ED6-4740-BCCE-2F4AF0911D67}" uniqueName="3" name="Day of Week" queryTableFieldId="3"/>
    <tableColumn id="4" xr3:uid="{328DC77C-9DF3-4CCF-A836-C83BF9263F1A}" uniqueName="4" name="Time of Day Incident Occurred" queryTableFieldId="4"/>
    <tableColumn id="5" xr3:uid="{4DB94B46-666B-4973-82E4-ADC1CEA5022A}" uniqueName="5" name="Victim's Vehicle Description" queryTableFieldId="5"/>
    <tableColumn id="6" xr3:uid="{86C56CA5-045D-46F0-B143-D5725E15E1AC}" uniqueName="6" name="Notes" queryTableFieldId="6"/>
    <tableColumn id="7" xr3:uid="{0838E640-9249-4CFF-9F85-74E60D6D2431}" uniqueName="7" name="Vehicle Was Parked" queryTableFieldId="7" dataDxfId="368"/>
    <tableColumn id="8" xr3:uid="{8178DC66-4917-4372-A50C-F0FAB8D6DF66}" uniqueName="8" name="Entry Method" queryTableFieldId="8" dataDxfId="367"/>
    <tableColumn id="9" xr3:uid="{29A3732B-CF01-43E5-8C55-CD9F6DA13DA6}" uniqueName="9" name="Suspect Description" queryTableFieldId="9" dataDxfId="366"/>
    <tableColumn id="10" xr3:uid="{3B3C8BC5-7800-4EDE-889C-649E69C2AD79}" uniqueName="10" name="Suspect Vehicle Description" queryTableFieldId="10" dataDxfId="365"/>
    <tableColumn id="11" xr3:uid="{28D51C0F-9BF9-4E92-853B-18D8F98603E3}" uniqueName="11" name="Keys with Vehicle" queryTableFieldId="11" dataDxfId="364"/>
    <tableColumn id="12" xr3:uid="{C0F4315D-27E2-4947-B9D4-BF05B5BEDE2D}" uniqueName="12" name="Offense Completed" queryTableFieldId="12" dataDxfId="363"/>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8836C0E-E0E7-43BF-B8C0-549158AC5B64}" name="REPORT_MV_THEFT_7DAY" displayName="REPORT_MV_THEFT_7DAY" ref="N1:Y2" totalsRowShown="0" headerRowDxfId="332" dataDxfId="331">
  <autoFilter ref="N1:Y2" xr:uid="{28836C0E-E0E7-43BF-B8C0-549158AC5B6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F8C724B5-ABCC-4544-B1D2-314C0DCC6173}" name="Block Incident Occurred On" dataDxfId="330"/>
    <tableColumn id="2" xr3:uid="{FCBD60E4-FDA1-4C22-8114-B3A4638A5053}" name="Incident Date" dataDxfId="329"/>
    <tableColumn id="4" xr3:uid="{83072423-3F56-437A-8B53-A0B62F7E5CEC}" name="Day of Week" dataDxfId="328"/>
    <tableColumn id="5" xr3:uid="{991BB020-FA7B-4F57-8C59-E64F9D441DD8}" name="Time of Day Incident Occurred" dataDxfId="327"/>
    <tableColumn id="6" xr3:uid="{A966EB65-EBE2-40AD-9716-557EE330186F}" name="Victim's Vehicle Description" dataDxfId="326"/>
    <tableColumn id="7" xr3:uid="{55C176C1-15FC-4193-B73E-3EB2C43EED65}" name="Vehicle Was Parked" dataDxfId="325"/>
    <tableColumn id="8" xr3:uid="{5718917F-5577-44D8-B871-4977052C0FEE}" name="Entry Method" dataDxfId="324"/>
    <tableColumn id="9" xr3:uid="{2171FBD8-F516-4833-A23F-42FD1447DC26}" name="Suspect Description" dataDxfId="323"/>
    <tableColumn id="10" xr3:uid="{306C62DF-3060-438A-AF9F-40FD97CD6344}" name="Suspect Vehicle Description" dataDxfId="322"/>
    <tableColumn id="11" xr3:uid="{2A55305B-6FB2-488B-B7B6-B85B837DA4EE}" name="Keys with Vehicle" dataDxfId="321"/>
    <tableColumn id="12" xr3:uid="{F8D8D813-D137-4128-A4A9-B50224598331}" name="Offense Completed" dataDxfId="320"/>
    <tableColumn id="13" xr3:uid="{FA18570B-CFE5-48F5-B71F-AFF5D35F1106}" name="Notes" dataDxfId="319"/>
  </tableColumns>
  <tableStyleInfo name="TableStyleLight18 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73D55BF0-7D09-488D-A7E3-2CBDFD9B249C}" name="Table50" displayName="Table50" ref="A18:H24" totalsRowShown="0" headerRowDxfId="318" dataDxfId="317">
  <autoFilter ref="A18:H24" xr:uid="{73D55BF0-7D09-488D-A7E3-2CBDFD9B249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627771F-08B7-4FC1-9BA8-2BF5CA54BE8E}" name="Time of Day" dataDxfId="316"/>
    <tableColumn id="2" xr3:uid="{12B1A7C0-0F91-43C4-BFA4-18A7CF621CA3}" name="Sun" dataDxfId="315"/>
    <tableColumn id="3" xr3:uid="{D372D0A5-4EB5-4D56-9F51-0B9CF67B2AE3}" name="Mon" dataDxfId="314"/>
    <tableColumn id="4" xr3:uid="{060A74ED-1E99-48E1-828B-CF6BF4715640}" name="Tue" dataDxfId="313"/>
    <tableColumn id="5" xr3:uid="{2AEB883B-2268-4D60-9244-7F3A74F75B60}" name="Wed"/>
    <tableColumn id="6" xr3:uid="{2B5A110A-6BCC-4B02-B586-E78B75EACCA1}" name="Thu" dataDxfId="312"/>
    <tableColumn id="7" xr3:uid="{3B397982-882E-422B-B343-300DA9985A6B}" name="Fri" dataDxfId="311"/>
    <tableColumn id="8" xr3:uid="{70243F55-CFBF-4715-B115-95F2A7FAF72B}" name="Sat" dataDxfId="310"/>
  </tableColumns>
  <tableStyleInfo name="TableStyleLight18 3 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78CC723-6D94-4B51-8E0D-2F60222512A6}" name="Table5052" displayName="Table5052" ref="A45:H47" totalsRowShown="0" headerRowDxfId="309" dataDxfId="308">
  <autoFilter ref="A45:H47" xr:uid="{378CC723-6D94-4B51-8E0D-2F60222512A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F71DE92-5364-4020-91ED-D67258075F1E}" name="Time of Day" dataDxfId="307"/>
    <tableColumn id="2" xr3:uid="{83B1D184-D64E-4CCC-9953-E1A94CFCE6DF}" name="Sun" dataDxfId="306"/>
    <tableColumn id="3" xr3:uid="{1F7E15D6-2743-4CD3-BD8C-5A818074698E}" name="Mon" dataDxfId="305"/>
    <tableColumn id="4" xr3:uid="{47E1E444-BF65-4070-BA44-BB907240AE89}" name="Tue" dataDxfId="304"/>
    <tableColumn id="5" xr3:uid="{B76591E8-7184-43A0-B060-DDFBC11BFEAA}" name="Wed"/>
    <tableColumn id="6" xr3:uid="{D63E857D-390D-4FA4-9635-64859A277F04}" name="Thu" dataDxfId="303"/>
    <tableColumn id="7" xr3:uid="{A25FE166-5356-4932-AE56-52A197D96748}" name="Fri" dataDxfId="302"/>
    <tableColumn id="8" xr3:uid="{9C26DFAD-EC17-47BA-88E1-07B4AB560432}" name="Sat" dataDxfId="301"/>
  </tableColumns>
  <tableStyleInfo name="TableStyleLight18 3 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B279AC-52B2-442E-BBFC-63D5AB146188}" name="Robbery__2" displayName="Robbery__2" ref="A1:AT10" tableType="queryTable" totalsRowShown="0" headerRowDxfId="300" dataDxfId="299">
  <autoFilter ref="A1:AT10" xr:uid="{8BB279AC-52B2-442E-BBFC-63D5AB146188}"/>
  <tableColumns count="46">
    <tableColumn id="1" xr3:uid="{90C22703-56E5-4A18-B1EE-31761338E647}" uniqueName="1" name="Case Number" queryTableFieldId="1" dataDxfId="298"/>
    <tableColumn id="2" xr3:uid="{9734790C-B06C-46F7-AD42-AA303AB7E86B}" uniqueName="2" name="INC_DATE" queryTableFieldId="2" dataDxfId="297"/>
    <tableColumn id="3" xr3:uid="{7D2A8B3E-9CB6-40E3-A26E-D15834B8A86A}" uniqueName="3" name="TIME_OF_DAY" queryTableFieldId="3" dataDxfId="296"/>
    <tableColumn id="4" xr3:uid="{7A544C83-81F9-497A-9F8C-97A7DE5DB46C}" uniqueName="4" name="Start of Hour" queryTableFieldId="4" dataDxfId="295"/>
    <tableColumn id="5" xr3:uid="{B7FA88C9-C0F7-4E12-9254-D7642E16014F}" uniqueName="5" name="INC_TIME" queryTableFieldId="5" dataDxfId="294"/>
    <tableColumn id="6" xr3:uid="{0EB4B2B0-951D-46BE-B712-1BB55D8D5E78}" uniqueName="6" name="Day Name" queryTableFieldId="6" dataDxfId="293"/>
    <tableColumn id="7" xr3:uid="{54485369-7F83-4DAC-95F9-89EA41E1DBBC}" uniqueName="7" name="Month Name" queryTableFieldId="7" dataDxfId="292"/>
    <tableColumn id="8" xr3:uid="{3FEFF2DB-FC8C-49B9-ADDC-632C1D59C63B}" uniqueName="8" name="BLOCK" queryTableFieldId="8" dataDxfId="291"/>
    <tableColumn id="9" xr3:uid="{55978BDC-7B33-48A6-A0B9-850D486E9843}" uniqueName="9" name="Location" queryTableFieldId="9" dataDxfId="290"/>
    <tableColumn id="10" xr3:uid="{BA423D0B-AAA5-4235-AF3F-3BBF372E4FA1}" uniqueName="10" name="ALL_INCIDENTS" queryTableFieldId="10" dataDxfId="289"/>
    <tableColumn id="11" xr3:uid="{61410127-1230-4DD7-8461-90C5AE1FA82A}" uniqueName="11" name="Incident Type_1" queryTableFieldId="11" dataDxfId="288"/>
    <tableColumn id="12" xr3:uid="{EF948221-58D9-46E8-9501-191F23283477}" uniqueName="12" name="Incident Type_2" queryTableFieldId="12" dataDxfId="287"/>
    <tableColumn id="13" xr3:uid="{F1E37141-9AF9-4F05-ACE2-9E2FBE824DF0}" uniqueName="13" name="Incident Type_3" queryTableFieldId="13" dataDxfId="286"/>
    <tableColumn id="14" xr3:uid="{02C5E70C-BF91-4EAB-9264-15F78ACF50F2}" uniqueName="14" name="FullAddress" queryTableFieldId="14" dataDxfId="285"/>
    <tableColumn id="15" xr3:uid="{8D9489E5-0D5C-4878-8913-E6C37E558C4E}" uniqueName="15" name="Grid" queryTableFieldId="15" dataDxfId="284"/>
    <tableColumn id="16" xr3:uid="{29C3F894-40C7-4E01-B99C-6990C947EA7B}" uniqueName="16" name="Zone" queryTableFieldId="16" dataDxfId="283"/>
    <tableColumn id="17" xr3:uid="{7DC25ED0-1355-4C0B-99C0-95A30DDE697F}" uniqueName="17" name="Narrative" queryTableFieldId="17" dataDxfId="282"/>
    <tableColumn id="18" xr3:uid="{31EAA628-75A0-454A-923D-7C96849E8F3D}" uniqueName="18" name="Total Value Stolen" queryTableFieldId="18" dataDxfId="281"/>
    <tableColumn id="19" xr3:uid="{A3557077-A5B9-4525-BAFF-C1807AC1B6DA}" uniqueName="19" name="Total Value Recover" queryTableFieldId="19" dataDxfId="280"/>
    <tableColumn id="20" xr3:uid="{DA539379-489B-4502-865C-5FF334130B23}" uniqueName="20" name="Registration 1" queryTableFieldId="20" dataDxfId="279"/>
    <tableColumn id="21" xr3:uid="{4B69E808-0DCA-4340-959E-584AAE4C5865}" uniqueName="21" name="Make1" queryTableFieldId="21" dataDxfId="278"/>
    <tableColumn id="22" xr3:uid="{52A56F6E-C7F7-4FB5-8AC9-305A293D9D2D}" uniqueName="22" name="Model1" queryTableFieldId="22" dataDxfId="277"/>
    <tableColumn id="23" xr3:uid="{6F5ACAFA-C92A-45FA-84E3-D1C59629F78B}" uniqueName="23" name="Reg State 1" queryTableFieldId="23" dataDxfId="276"/>
    <tableColumn id="24" xr3:uid="{B1C71CF7-2A69-48BE-8EB4-758B5EE9E3F4}" uniqueName="24" name="Registration 2" queryTableFieldId="24" dataDxfId="275"/>
    <tableColumn id="25" xr3:uid="{C7F914D5-EAF7-4C38-ACD8-D0AC0B36911D}" uniqueName="25" name="Reg State 2" queryTableFieldId="25" dataDxfId="274"/>
    <tableColumn id="26" xr3:uid="{9711BFC9-D736-49A0-BE3C-ECE9E81A9FBC}" uniqueName="26" name="Make2" queryTableFieldId="26" dataDxfId="273"/>
    <tableColumn id="27" xr3:uid="{E22A9642-5806-4242-AECE-4A259BAE9211}" uniqueName="27" name="Model2" queryTableFieldId="27" dataDxfId="272"/>
    <tableColumn id="28" xr3:uid="{32422197-D539-4565-97F1-8DA97C038477}" uniqueName="28" name="Reviewed By" queryTableFieldId="28" dataDxfId="271"/>
    <tableColumn id="29" xr3:uid="{7019F959-4654-4767-BE6F-5529A18F754F}" uniqueName="29" name="CompleteCalc" queryTableFieldId="29" dataDxfId="270"/>
    <tableColumn id="30" xr3:uid="{EAFA4B53-593D-46DD-897E-D2CE77124CD7}" uniqueName="30" name="Officer of Record" queryTableFieldId="30" dataDxfId="269"/>
    <tableColumn id="31" xr3:uid="{DB00A108-983C-48DB-84D8-87D52D581A1C}" uniqueName="31" name="Squad" queryTableFieldId="31" dataDxfId="268"/>
    <tableColumn id="32" xr3:uid="{CA1C9772-41B6-414E-A1F0-2CF88C5188B1}" uniqueName="32" name="Det_Assigned" queryTableFieldId="32" dataDxfId="267"/>
    <tableColumn id="33" xr3:uid="{5D909967-38E5-4271-8328-37FF1F8EF2A8}" uniqueName="33" name="Case_Status" queryTableFieldId="33" dataDxfId="266"/>
    <tableColumn id="34" xr3:uid="{98D6E0F5-8C41-474C-B0E5-EFD4FB54DC05}" uniqueName="34" name="NIBRS Classification" queryTableFieldId="34" dataDxfId="265"/>
    <tableColumn id="35" xr3:uid="{CADADFE5-AF38-416E-B8BC-E3B289115E1D}" uniqueName="35" name="Year" queryTableFieldId="35" dataDxfId="264"/>
    <tableColumn id="36" xr3:uid="{1E1EB327-0487-45BF-9CC7-0EBA80F163EF}" uniqueName="36" name="Week of Year" queryTableFieldId="36" dataDxfId="263"/>
    <tableColumn id="37" xr3:uid="{B0B162E6-DAC6-4407-9EAA-8A4DC5397C68}" uniqueName="37" name="Week of Month" queryTableFieldId="37" dataDxfId="262"/>
    <tableColumn id="38" xr3:uid="{66CEA174-74CC-4A6B-8D06-3511F4C9744A}" uniqueName="38" name="Day" queryTableFieldId="38" dataDxfId="261"/>
    <tableColumn id="39" xr3:uid="{8AE5D97E-65D5-46F1-A02D-90B1EAFF9DB5}" uniqueName="39" name="Day of Year" queryTableFieldId="39" dataDxfId="260"/>
    <tableColumn id="40" xr3:uid="{79A3BB33-3965-4296-A5C5-5AC1898C7744}" uniqueName="40" name="INC_DATE_AND_TIME" queryTableFieldId="40" dataDxfId="259"/>
    <tableColumn id="41" xr3:uid="{7B997C5E-DDEC-455C-9C4D-D76CDEED5A20}" uniqueName="41" name="St#" queryTableFieldId="41" dataDxfId="258"/>
    <tableColumn id="42" xr3:uid="{254452D3-0A8B-4BB2-8BFC-1C267ED9B4B4}" uniqueName="42" name="Notes" queryTableFieldId="42" dataDxfId="257"/>
    <tableColumn id="43" xr3:uid="{E6DE252F-B189-45B2-A5E4-525D35050313}" uniqueName="43" name="VEHICLE" queryTableFieldId="43" dataDxfId="256"/>
    <tableColumn id="44" xr3:uid="{8D3E2E15-34F9-420C-9712-6EEA7DE38327}" uniqueName="44" name="Suspect" queryTableFieldId="44" dataDxfId="255"/>
    <tableColumn id="45" xr3:uid="{BBF1774D-5998-40A3-9F6C-5044DE56192F}" uniqueName="45" name="TOTAL_STOLEN_AMOUNT" queryTableFieldId="45" dataDxfId="254"/>
    <tableColumn id="46" xr3:uid="{C5FB11B2-3064-4A1E-B330-913271C1BBAC}" uniqueName="46" name="REPORT_CYCLE" queryTableFieldId="46" dataDxfId="253"/>
  </tableColumns>
  <tableStyleInfo name="TableStyleLight17 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3244D1-A2B2-43AC-A125-ACABE9F40B9A}" name="_Robbery_7D__2" displayName="_Robbery_7D__2" ref="A1:P2" tableType="queryTable" insertRow="1" totalsRowShown="0" headerRowDxfId="252" dataDxfId="251">
  <autoFilter ref="A1:P2" xr:uid="{353244D1-A2B2-43AC-A125-ACABE9F40B9A}">
    <filterColumn colId="8" hiddenButton="1"/>
    <filterColumn colId="9" hiddenButton="1"/>
    <filterColumn colId="10" hiddenButton="1"/>
    <filterColumn colId="11" hiddenButton="1"/>
    <filterColumn colId="13" hiddenButton="1"/>
    <filterColumn colId="14" hiddenButton="1"/>
    <filterColumn colId="15" hiddenButton="1"/>
  </autoFilter>
  <tableColumns count="16">
    <tableColumn id="18" xr3:uid="{745DC68E-7DBD-4152-84D0-BCCE6CEF6590}" uniqueName="18" name="BLOCK" queryTableFieldId="18"/>
    <tableColumn id="19" xr3:uid="{1B859F54-34C0-4D11-BFE5-83B83B99A73E}" uniqueName="19" name="INC_DATE" queryTableFieldId="19" dataDxfId="250"/>
    <tableColumn id="20" xr3:uid="{9EAEDAFE-0B7D-4156-B2A9-93E56CD60158}" uniqueName="20" name="Day Name" queryTableFieldId="20"/>
    <tableColumn id="21" xr3:uid="{CA8353A1-E446-43A9-912E-BCD95A4B46C5}" uniqueName="21" name="TIME_OF_DAY" queryTableFieldId="21"/>
    <tableColumn id="22" xr3:uid="{196FA59C-E137-43F6-8403-2A45B8AE1122}" uniqueName="22" name="Suspect" queryTableFieldId="22"/>
    <tableColumn id="23" xr3:uid="{62BF206F-6DF9-4A83-A8B7-8B01443E9765}" uniqueName="23" name="VEHICLE" queryTableFieldId="23"/>
    <tableColumn id="24" xr3:uid="{7335EB9E-1AE2-4DC2-B2C9-7738420B75D2}" uniqueName="24" name="TOTAL_STOLEN_AMOUNT" queryTableFieldId="24"/>
    <tableColumn id="25" xr3:uid="{42812E09-484C-49DE-91AE-B46A9E5C9804}" uniqueName="25" name="Narrative" queryTableFieldId="25" dataDxfId="249"/>
    <tableColumn id="6" xr3:uid="{13DC53FF-C424-4054-8590-38B4923127C9}" uniqueName="6" name="Location Type" queryTableFieldId="6" dataDxfId="248"/>
    <tableColumn id="9" xr3:uid="{9D5CA3FB-CDA7-4036-9535-4EBF9B72884F}" uniqueName="9" name="Type Weapon" queryTableFieldId="9" dataDxfId="247"/>
    <tableColumn id="10" xr3:uid="{4ADB6FBA-8F23-4815-A39D-63D408E3535E}" uniqueName="10" name="Type of Victim" queryTableFieldId="10" dataDxfId="246"/>
    <tableColumn id="11" xr3:uid="{244B99DE-7C6D-448C-A79A-B7EAD2714759}" uniqueName="11" name="Type Injury" queryTableFieldId="11" dataDxfId="245"/>
    <tableColumn id="26" xr3:uid="{E9F141AC-571E-442E-A523-3CF256021B61}" uniqueName="26" name="Property Stolen" queryTableFieldId="26" dataDxfId="244"/>
    <tableColumn id="14" xr3:uid="{951D91C0-A35F-4496-91A1-40C331C5C42F}" uniqueName="14" name="Offender Suspected of Using" queryTableFieldId="14" dataDxfId="243"/>
    <tableColumn id="15" xr3:uid="{E0EF63CE-6B48-4F72-A836-E8F0187C6F3E}" uniqueName="15" name="Relationship of Victim to Offender" queryTableFieldId="15" dataDxfId="242"/>
    <tableColumn id="16" xr3:uid="{94EDA250-56AE-43C3-8C02-B1D2939B0C4C}" uniqueName="16" name="Offense Completed" queryTableFieldId="16" dataDxfId="241"/>
  </tableColumns>
  <tableStyleInfo name="TableStyleLight17 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BDD3E61-701F-4993-8BC5-4D3982743002}" name="_Robbery_7D" displayName="_Robbery_7D" ref="Y2:AO3" insertRow="1" totalsRowShown="0" headerRowDxfId="228" dataDxfId="227">
  <autoFilter ref="Y2:AO3" xr:uid="{2BDD3E61-701F-4993-8BC5-4D398274300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9DEFAC9D-A928-4EAF-B85D-3845F9139F6A}" name="Case Number" dataDxfId="226"/>
    <tableColumn id="2" xr3:uid="{A844315F-CEB5-4C81-AF8B-410180135367}" name="Block Incident Occurred On" dataDxfId="225"/>
    <tableColumn id="3" xr3:uid="{306A22F8-5244-4619-9370-9DB8D064C265}" name="Incident Date" dataDxfId="224"/>
    <tableColumn id="4" xr3:uid="{32F522D5-CD8D-4956-99F9-72B3BC1A7B19}" name="Day of Week" dataDxfId="223"/>
    <tableColumn id="5" xr3:uid="{F7836F69-5ABB-4A3A-8160-7253758030C8}" name="Time of Day Incident Occurred" dataDxfId="222"/>
    <tableColumn id="6" xr3:uid="{B0ADFEA7-75D5-4127-B7B6-2DACF9810B5A}" name="Location Type" dataDxfId="221"/>
    <tableColumn id="7" xr3:uid="{43A251DD-0473-4D0E-BEF0-308BBDED5842}" name="Suspect Description" dataDxfId="220"/>
    <tableColumn id="8" xr3:uid="{7F00E3FF-F12E-49E3-B6A9-AD673AB8020C}" name="Suspect Vehicle Description" dataDxfId="219"/>
    <tableColumn id="9" xr3:uid="{EB6D08CF-51CD-4A94-9533-F08CE71BFC7F}" name="Type Weapon" dataDxfId="218"/>
    <tableColumn id="10" xr3:uid="{EDE99988-0E3C-4D20-AD40-CEC726ECBCC4}" name="Type of Victim" dataDxfId="217"/>
    <tableColumn id="11" xr3:uid="{A2A0B8A9-E5AE-4756-88F1-A50B17F5B3BB}" name="Type Injury" dataDxfId="216"/>
    <tableColumn id="12" xr3:uid="{1BB22354-EAF9-43E6-9643-9D911F73B081}" name="Propert Stolen" dataDxfId="215"/>
    <tableColumn id="13" xr3:uid="{37292318-D281-4BAF-970A-7AA2BA212B4E}" name="Property Value" dataDxfId="214"/>
    <tableColumn id="14" xr3:uid="{841BEF18-F30A-4B3A-A108-7BAEEDEE9673}" name="Offender Suspected of Using" dataDxfId="213"/>
    <tableColumn id="15" xr3:uid="{2BAC3C02-AEA2-4149-9855-3A7427D1B8C7}" name="Relationship of Victim to Offender" dataDxfId="212"/>
    <tableColumn id="16" xr3:uid="{25E549F1-259B-4147-893F-0FB15C98CA90}" name="Offense Completed" dataDxfId="211"/>
    <tableColumn id="17" xr3:uid="{EF188BD4-2BF4-4B58-93D3-825EF5DF9D51}" name="Notes" dataDxfId="210"/>
  </tableColumns>
  <tableStyleInfo name="TableStyleLight18 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ACCBD09-7F8A-4474-9551-0C592C13B595}" name="Table710121754" displayName="Table710121754" ref="AH21:AO26" totalsRowShown="0" headerRowDxfId="209" dataDxfId="208">
  <autoFilter ref="AH21:AO26" xr:uid="{6ACCBD09-7F8A-4474-9551-0C592C13B59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976B3F7-9772-44F7-A0BE-31D9306904D5}" name="Time of Day" dataDxfId="207"/>
    <tableColumn id="2" xr3:uid="{838FEC1C-111A-4FB3-A030-7EA9FC412B79}" name="Sun" dataDxfId="206"/>
    <tableColumn id="3" xr3:uid="{AC2068D6-A156-4C86-BAF6-27D86A828FE6}" name="Mon" dataDxfId="205"/>
    <tableColumn id="4" xr3:uid="{DB4DC03B-FA2F-4E64-B97A-63AA72A3F072}" name="Tue" dataDxfId="204"/>
    <tableColumn id="7" xr3:uid="{A6062050-8743-4CC4-9D10-5D21C62CF4B0}" name="Wed" dataDxfId="203"/>
    <tableColumn id="8" xr3:uid="{935F9016-0DDA-473B-BB3C-727BEAE4797D}" name="Thu" dataDxfId="202"/>
    <tableColumn id="6" xr3:uid="{6D05B401-E30B-4E07-92FB-91E8CD455166}" name="Fri" dataDxfId="201"/>
    <tableColumn id="5" xr3:uid="{7DBBA2D7-BE50-4277-B1C7-3CA3801B21AC}" name="Sat" dataDxfId="200"/>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F711E4CF-174E-4A7B-9809-C405A94A14D2}" name="Table71012171855" displayName="Table71012171855" ref="AH32:AO35" totalsRowShown="0" headerRowDxfId="199" dataDxfId="198">
  <autoFilter ref="AH32:AO35" xr:uid="{F711E4CF-174E-4A7B-9809-C405A94A14D2}">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C366358-AB3F-431F-84A8-B52490B1EDC6}" name="Time of Day" dataDxfId="197"/>
    <tableColumn id="2" xr3:uid="{1BD7A548-3902-472B-9248-FCC252C57859}" name="Sun" dataDxfId="196"/>
    <tableColumn id="3" xr3:uid="{46850428-56AB-4AE8-B35C-EB6F928A357E}" name="Mon" dataDxfId="195"/>
    <tableColumn id="4" xr3:uid="{657AA1E2-2425-40A7-8BB2-793A9CF9A5D1}" name="Tue" dataDxfId="194"/>
    <tableColumn id="5" xr3:uid="{F31C300E-CDD7-4408-A263-2D8B34FB99A2}" name="Wed" dataDxfId="193"/>
    <tableColumn id="6" xr3:uid="{143B97B1-1ED9-4275-AD5E-BC1660467509}" name="Thu" dataDxfId="192"/>
    <tableColumn id="7" xr3:uid="{0BB5AE1E-D776-4AA7-9EAE-A3CBEAACA1EB}" name="Fri" dataDxfId="191"/>
    <tableColumn id="8" xr3:uid="{75EE53E8-F9EC-43E6-A907-6579EE7E3CB5}" name="Sat" dataDxfId="190"/>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BAD972-EAE6-4813-87B6-022CC258E60F}" name="Sexual_Offenses" displayName="Sexual_Offenses" ref="A1:BB6" tableType="queryTable" totalsRowShown="0" headerRowDxfId="189" dataDxfId="188">
  <autoFilter ref="A1:BB6" xr:uid="{BABAD972-EAE6-4813-87B6-022CC258E60F}"/>
  <tableColumns count="54">
    <tableColumn id="1" xr3:uid="{828FAC3C-454B-4867-A3DC-1E5C6BF35DD9}" uniqueName="1" name="Case Number" queryTableFieldId="1" dataDxfId="187"/>
    <tableColumn id="6" xr3:uid="{2F8B2D60-678E-43F4-85F7-9B08B61CAE27}" uniqueName="6" name="INC_DATE" queryTableFieldId="6" dataDxfId="186"/>
    <tableColumn id="54" xr3:uid="{E23542B4-CBDC-4026-B47E-91C729080A11}" uniqueName="54" name="TOD" queryTableFieldId="57" dataDxfId="185"/>
    <tableColumn id="2" xr3:uid="{CE7E25EA-1D84-47E8-962F-BE2F98D97F97}" uniqueName="2" name="Start of Hour" queryTableFieldId="2" dataDxfId="184"/>
    <tableColumn id="3" xr3:uid="{DCC58FEF-5E40-4878-9C3E-DE18A2ED1806}" uniqueName="3" name="INC_TIME" queryTableFieldId="3" dataDxfId="183"/>
    <tableColumn id="4" xr3:uid="{9696AF7A-C11C-4348-92E1-E03FF1241885}" uniqueName="4" name="Day Name" queryTableFieldId="4" dataDxfId="182"/>
    <tableColumn id="5" xr3:uid="{3198D833-F74E-4382-9604-B5249BF999AF}" uniqueName="5" name="Month Name" queryTableFieldId="5" dataDxfId="181"/>
    <tableColumn id="47" xr3:uid="{C7BA5A82-71EE-40D3-A7DC-9F5CBA2C0F33}" uniqueName="47" name="BLOCK" queryTableFieldId="47" dataDxfId="180"/>
    <tableColumn id="7" xr3:uid="{55C00C56-5396-48D1-BA8B-6A965BA44FDD}" uniqueName="7" name="Location" queryTableFieldId="7" dataDxfId="179"/>
    <tableColumn id="9" xr3:uid="{57E3FA00-A958-4D1F-B440-DC70C06D2C5D}" uniqueName="9" name="ALL_INCIDENTS" queryTableFieldId="9" dataDxfId="178"/>
    <tableColumn id="8" xr3:uid="{214928D9-1F12-4F32-8874-12E118212AD6}" uniqueName="8" name="Incident Type_1" queryTableFieldId="8" dataDxfId="177"/>
    <tableColumn id="10" xr3:uid="{60988C8F-123F-47FC-99C3-EFEE1A8B5E0A}" uniqueName="10" name="Incident Type_2" queryTableFieldId="10" dataDxfId="176"/>
    <tableColumn id="11" xr3:uid="{E9156A06-4CFE-4E19-828E-53E171F20AA0}" uniqueName="11" name="Incident Type_3" queryTableFieldId="11" dataDxfId="175"/>
    <tableColumn id="12" xr3:uid="{EEAD8174-D5EA-4D73-8D1C-59506B25461D}" uniqueName="12" name="FullAddress" queryTableFieldId="12" dataDxfId="174"/>
    <tableColumn id="13" xr3:uid="{7BCB2E40-7BB9-4A81-80CF-4E6876375E02}" uniqueName="13" name="Grid" queryTableFieldId="13" dataDxfId="173"/>
    <tableColumn id="14" xr3:uid="{1614033D-473A-463A-9CBE-D0C482696EFC}" uniqueName="14" name="Zone" queryTableFieldId="14" dataDxfId="172"/>
    <tableColumn id="15" xr3:uid="{5093BFA3-1273-4460-BEAD-0A440985D8B5}" uniqueName="15" name="Narrative" queryTableFieldId="15" dataDxfId="171"/>
    <tableColumn id="16" xr3:uid="{CD5D9C7C-5AD5-4EB6-A4AD-AA3AE8CE123C}" uniqueName="16" name="Total Value Stolen" queryTableFieldId="16" dataDxfId="170"/>
    <tableColumn id="17" xr3:uid="{92C09011-0119-4667-BAB7-DC35C84323F3}" uniqueName="17" name="Total Value Recover" queryTableFieldId="17" dataDxfId="169"/>
    <tableColumn id="18" xr3:uid="{37314363-1B92-4D9C-8EC8-F3B54905DA76}" uniqueName="18" name="Registration 1" queryTableFieldId="18" dataDxfId="168"/>
    <tableColumn id="19" xr3:uid="{ADFAEB2E-F032-4451-9985-80BDDB2387AF}" uniqueName="19" name="Make1" queryTableFieldId="19" dataDxfId="167"/>
    <tableColumn id="20" xr3:uid="{BBE1358C-9650-4BA2-816F-A0F485D12B5D}" uniqueName="20" name="Model1" queryTableFieldId="20" dataDxfId="166"/>
    <tableColumn id="21" xr3:uid="{B8EA1582-4544-44F0-ACC0-C3A4254E1187}" uniqueName="21" name="Reg State 1" queryTableFieldId="21" dataDxfId="165"/>
    <tableColumn id="22" xr3:uid="{60626B22-84B3-4581-A1E6-328A47C238C0}" uniqueName="22" name="Registration 2" queryTableFieldId="22" dataDxfId="164"/>
    <tableColumn id="23" xr3:uid="{50F54256-BC58-4084-8B74-A37BBB1ABFAC}" uniqueName="23" name="Reg State 2" queryTableFieldId="23" dataDxfId="163"/>
    <tableColumn id="24" xr3:uid="{CC671173-D7D6-468E-879A-67743CEB308C}" uniqueName="24" name="Make2" queryTableFieldId="24" dataDxfId="162"/>
    <tableColumn id="25" xr3:uid="{CB50913C-1698-4040-AB96-4AB67C5D506B}" uniqueName="25" name="Model2" queryTableFieldId="25" dataDxfId="161"/>
    <tableColumn id="26" xr3:uid="{D5B8F8B7-6C5A-4FCA-94CA-BB79942B43FA}" uniqueName="26" name="Reviewed By" queryTableFieldId="26" dataDxfId="160"/>
    <tableColumn id="27" xr3:uid="{397DFC85-E7D9-4AC3-A392-470EBD59ADDC}" uniqueName="27" name="CompleteCalc" queryTableFieldId="27" dataDxfId="159"/>
    <tableColumn id="28" xr3:uid="{6398B9BA-D786-4D37-8456-4989F08FFE13}" uniqueName="28" name="Officer of Record" queryTableFieldId="28" dataDxfId="158"/>
    <tableColumn id="29" xr3:uid="{C79915D4-CAC4-4428-9459-333C333CC7CC}" uniqueName="29" name="Squad" queryTableFieldId="29" dataDxfId="157"/>
    <tableColumn id="30" xr3:uid="{7D335CF8-A65B-47E1-8C2B-09B23E3EBB26}" uniqueName="30" name="Det_Assigned" queryTableFieldId="30" dataDxfId="156"/>
    <tableColumn id="31" xr3:uid="{138A5348-A97B-4075-89AA-DE75446ED7B0}" uniqueName="31" name="Case_Status" queryTableFieldId="31" dataDxfId="155"/>
    <tableColumn id="32" xr3:uid="{ED4BC83F-2C6C-471C-BD42-820A47F5DB38}" uniqueName="32" name="NIBRS Classification" queryTableFieldId="32" dataDxfId="154"/>
    <tableColumn id="33" xr3:uid="{1A7B8231-5DE9-4B60-AE2E-E5DD1A93ACFB}" uniqueName="33" name="CASE_NUMBER_LENGTH" queryTableFieldId="33" dataDxfId="153"/>
    <tableColumn id="34" xr3:uid="{1E951FEA-8A03-416D-991A-739972E90E50}" uniqueName="34" name="Incident Date" queryTableFieldId="34" dataDxfId="152"/>
    <tableColumn id="35" xr3:uid="{F5D6FE3C-855B-4968-A6D8-530D0099E6A7}" uniqueName="35" name="Incident Time" queryTableFieldId="35" dataDxfId="151"/>
    <tableColumn id="36" xr3:uid="{422F4B77-C6E4-4AF6-B230-60BAFCA168F6}" uniqueName="36" name="Incident Date_Between" queryTableFieldId="36" dataDxfId="150"/>
    <tableColumn id="37" xr3:uid="{A269ABB3-EA8B-4246-8CA1-5739789AEA4A}" uniqueName="37" name="Incident Time_Between" queryTableFieldId="37" dataDxfId="149"/>
    <tableColumn id="38" xr3:uid="{ED7D542B-9121-461C-8C4C-37BC34622310}" uniqueName="38" name="Report Date" queryTableFieldId="38" dataDxfId="148"/>
    <tableColumn id="39" xr3:uid="{9411CF40-5E43-4C0A-B407-1CA08CA231FC}" uniqueName="39" name="Report Time" queryTableFieldId="39" dataDxfId="147"/>
    <tableColumn id="40" xr3:uid="{6908A8E6-DABE-47C0-BF2B-7E554846CBFA}" uniqueName="40" name="Year" queryTableFieldId="40" dataDxfId="146"/>
    <tableColumn id="41" xr3:uid="{7FFEA673-85EB-4487-8263-9FED808FD47B}" uniqueName="41" name="Week of Year" queryTableFieldId="41" dataDxfId="145"/>
    <tableColumn id="42" xr3:uid="{2B455EAA-349B-46EF-8BA1-1159A0E3B466}" uniqueName="42" name="Week of Month" queryTableFieldId="42" dataDxfId="144"/>
    <tableColumn id="43" xr3:uid="{4A0161CA-AAD8-49D0-B710-16322512E0E0}" uniqueName="43" name="Day" queryTableFieldId="43" dataDxfId="143"/>
    <tableColumn id="44" xr3:uid="{861F7B9B-2B79-44E6-A0D9-EC4BF3C2FBB0}" uniqueName="44" name="Day of Year" queryTableFieldId="44" dataDxfId="142"/>
    <tableColumn id="45" xr3:uid="{354C645C-DC94-4AFE-8030-5BB7261A3CE4}" uniqueName="45" name="INC_DATE_AND_TIME" queryTableFieldId="45" dataDxfId="141"/>
    <tableColumn id="46" xr3:uid="{BA40A361-8E8B-45B2-929F-BB81575255CC}" uniqueName="46" name="St#" queryTableFieldId="46" dataDxfId="140"/>
    <tableColumn id="49" xr3:uid="{C2F27E9D-41B0-4B90-B3A5-BF64896F104C}" uniqueName="49" name="Notes" queryTableFieldId="108"/>
    <tableColumn id="50" xr3:uid="{54F414B7-4DF3-4A76-98E5-DC7ABF2A3219}" uniqueName="50" name="VEHICLE" queryTableFieldId="50" dataDxfId="139"/>
    <tableColumn id="51" xr3:uid="{2F66C72F-E323-47C1-8F19-E0EA8E48568E}" uniqueName="51" name="Suspect" queryTableFieldId="51" dataDxfId="138"/>
    <tableColumn id="52" xr3:uid="{441B4C60-5216-44D7-9024-94C0C88854FE}" uniqueName="52" name="TOTAL_STOLEN_AMOUNT" queryTableFieldId="52" dataDxfId="137"/>
    <tableColumn id="53" xr3:uid="{16930ECB-AF0C-4A03-8BD5-C1D7464E3E4E}" uniqueName="53" name="REPORT_CYCLE" queryTableFieldId="53" dataDxfId="136"/>
    <tableColumn id="48" xr3:uid="{2CE119B8-6F22-4E73-BE49-BA6E7E271EE8}" uniqueName="48" name="TIME_OF_DAY" queryTableFieldId="48" dataDxfId="135"/>
  </tableColumns>
  <tableStyleInfo name="TableStyleLight18 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DF54B57-68F8-4564-A385-4EE252F6D53D}" name="Sex_Off_7D_1" displayName="Sex_Off_7D_1" ref="A1:O2" tableType="queryTable" totalsRowShown="0" headerRowDxfId="134" dataDxfId="133">
  <autoFilter ref="A1:O2" xr:uid="{5DF54B57-68F8-4564-A385-4EE252F6D5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287D0217-4903-49B3-A4F0-16FEAA5CD77E}" uniqueName="1" name="BLOCK" queryTableFieldId="1" dataDxfId="132"/>
    <tableColumn id="2" xr3:uid="{62DDED00-CB1A-4B86-A5D8-3E8F5280B54B}" uniqueName="2" name="INC_DATE" queryTableFieldId="2" dataDxfId="131"/>
    <tableColumn id="3" xr3:uid="{B027949E-736D-4594-8856-8E306A45B9F6}" uniqueName="3" name="Day Name" queryTableFieldId="3" dataDxfId="130"/>
    <tableColumn id="4" xr3:uid="{A441ADF8-C3A7-4618-BC57-35111A1237C1}" uniqueName="4" name="TIME_OF_DAY" queryTableFieldId="4" dataDxfId="129"/>
    <tableColumn id="5" xr3:uid="{31DAB1C8-4B00-4237-A579-6A4E95043230}" uniqueName="5" name="Suspect" queryTableFieldId="5" dataDxfId="128"/>
    <tableColumn id="6" xr3:uid="{555586C9-9DFB-4E1A-9E15-EF4AFC09E94E}" uniqueName="6" name="Vehicle Involved" queryTableFieldId="6" dataDxfId="127"/>
    <tableColumn id="7" xr3:uid="{209B663B-3F30-46E6-99E3-F90A3DEDA1FD}" uniqueName="7" name="Type of Offense" queryTableFieldId="7" dataDxfId="126"/>
    <tableColumn id="8" xr3:uid="{98D1E15F-18C3-4E5C-91EE-9F770FAE415E}" uniqueName="8" name="Victim-Offender Relationship" queryTableFieldId="8" dataDxfId="125"/>
    <tableColumn id="9" xr3:uid="{123DBFC7-D70D-4E56-A8C0-8E380ABE88E1}" uniqueName="9" name="Location Type" queryTableFieldId="9" dataDxfId="124"/>
    <tableColumn id="10" xr3:uid="{CA50429D-1600-47EA-8D94-1486C692AEB6}" uniqueName="10" name="Method of Coercion" queryTableFieldId="10" dataDxfId="123"/>
    <tableColumn id="11" xr3:uid="{E3EBA9C4-C641-46FA-A10A-B156F31D6524}" uniqueName="11" name="Multiple Offenders vs. Single Offender" queryTableFieldId="11" dataDxfId="122"/>
    <tableColumn id="12" xr3:uid="{BE3A6A66-85C5-4640-9A62-8FF04C4A99C7}" uniqueName="12" name="Repeat Offender or Known Suspect" queryTableFieldId="12" dataDxfId="121"/>
    <tableColumn id="13" xr3:uid="{2077C0F8-546B-4884-A172-5D82E70F7FCE}" uniqueName="13" name="Use of Technology" queryTableFieldId="13" dataDxfId="120"/>
    <tableColumn id="14" xr3:uid="{FA663CFA-09BA-47F0-9FA0-6C02EB9BCDCB}" uniqueName="14" name="Victim Demographics" queryTableFieldId="14" dataDxfId="119"/>
    <tableColumn id="15" xr3:uid="{0FABAC51-9926-48BA-BB25-12654F76B43E}" uniqueName="15" name="Narrative" queryTableFieldId="15" dataDxfId="118"/>
  </tableColumns>
  <tableStyleInfo name="TableStyleLight18 3"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50CC6F-DCE6-452D-A909-6929E27084A0}" name="RMS" displayName="RMS" ref="A1:BB56" tableType="queryTable" totalsRowShown="0" headerRowDxfId="64" dataDxfId="63">
  <autoFilter ref="A1:BB56" xr:uid="{D550CC6F-DCE6-452D-A909-6929E27084A0}"/>
  <tableColumns count="54">
    <tableColumn id="2" xr3:uid="{44FCA4CC-88A9-477D-BDE5-12693C806E40}" uniqueName="2" name="Case Number" queryTableFieldId="2" dataDxfId="62"/>
    <tableColumn id="7" xr3:uid="{03BB4329-208C-43BB-9F71-11AFA4528CE6}" uniqueName="7" name="INC_DATE" queryTableFieldId="7" dataDxfId="61"/>
    <tableColumn id="54" xr3:uid="{165C8692-9BB8-4D28-8F08-09AA303A976B}" uniqueName="54" name="TOD" queryTableFieldId="58" dataDxfId="60"/>
    <tableColumn id="3" xr3:uid="{F2137223-DEDB-4658-A927-EB8ED2FDA935}" uniqueName="3" name="Start of Hour" queryTableFieldId="3" dataDxfId="59"/>
    <tableColumn id="4" xr3:uid="{3A5902F8-646F-4C79-9832-504A95FEDA11}" uniqueName="4" name="INC_TIME" queryTableFieldId="4" dataDxfId="58"/>
    <tableColumn id="5" xr3:uid="{211AE67A-F3D7-472A-A2CE-D2EF8D421D9B}" uniqueName="5" name="Day Name" queryTableFieldId="5" dataDxfId="57"/>
    <tableColumn id="6" xr3:uid="{5B78E475-7973-4083-A139-2A1985C77DCE}" uniqueName="6" name="Month Name" queryTableFieldId="6" dataDxfId="56"/>
    <tableColumn id="48" xr3:uid="{A02B67F4-B89C-4213-B0E7-358561BEA86F}" uniqueName="48" name="BLOCK" queryTableFieldId="48" dataDxfId="55"/>
    <tableColumn id="8" xr3:uid="{05BF2A86-4391-4220-83EF-73B9FCF08990}" uniqueName="8" name="Location" queryTableFieldId="8" dataDxfId="54"/>
    <tableColumn id="10" xr3:uid="{DB7AE489-1745-4C44-B015-1D4D27FDB808}" uniqueName="10" name="ALL_INCIDENTS" queryTableFieldId="10" dataDxfId="53"/>
    <tableColumn id="9" xr3:uid="{97CE1EDD-9A1C-495F-87B9-52301EC1582D}" uniqueName="9" name="Incident Type_1" queryTableFieldId="9" dataDxfId="52"/>
    <tableColumn id="11" xr3:uid="{27E213E9-EBF1-4296-B80A-C7461277703A}" uniqueName="11" name="Incident Type_2" queryTableFieldId="11" dataDxfId="51"/>
    <tableColumn id="12" xr3:uid="{3F5E6AA4-9407-49FC-BD3F-26FC0BBF51A9}" uniqueName="12" name="Incident Type_3" queryTableFieldId="12" dataDxfId="50"/>
    <tableColumn id="13" xr3:uid="{89D83CC3-B580-4909-B9D3-377B730265A9}" uniqueName="13" name="FullAddress" queryTableFieldId="13" dataDxfId="49"/>
    <tableColumn id="14" xr3:uid="{4AB717ED-DB53-4035-9A1B-38621BE8BBEC}" uniqueName="14" name="Grid" queryTableFieldId="14" dataDxfId="48"/>
    <tableColumn id="15" xr3:uid="{79A4F1BD-2F75-411A-8606-201C023AC518}" uniqueName="15" name="Zone" queryTableFieldId="15" dataDxfId="47"/>
    <tableColumn id="16" xr3:uid="{7BDB45EE-B890-42AE-A626-BEC72DD55809}" uniqueName="16" name="Narrative" queryTableFieldId="16" dataDxfId="46"/>
    <tableColumn id="17" xr3:uid="{6E46094B-C238-4E4B-8CF0-33B1C949D155}" uniqueName="17" name="Total Value Stolen" queryTableFieldId="17" dataDxfId="45"/>
    <tableColumn id="18" xr3:uid="{F1AAFA53-1000-4DA6-96F2-3B8D3F453DE4}" uniqueName="18" name="Total Value Recover" queryTableFieldId="18" dataDxfId="44"/>
    <tableColumn id="19" xr3:uid="{A7668209-656A-4DE3-A4DB-C90E35DE19B7}" uniqueName="19" name="Registration 1" queryTableFieldId="19" dataDxfId="43"/>
    <tableColumn id="20" xr3:uid="{E93B6F92-83EA-49B6-868F-A4361EB8F6A5}" uniqueName="20" name="Make1" queryTableFieldId="20" dataDxfId="42"/>
    <tableColumn id="21" xr3:uid="{0A46FEDE-287F-4CF8-9994-5FAE8F2B93F3}" uniqueName="21" name="Model1" queryTableFieldId="21" dataDxfId="41"/>
    <tableColumn id="22" xr3:uid="{248C17A7-2152-4ACF-AA7E-00C193710E30}" uniqueName="22" name="Reg State 1" queryTableFieldId="22" dataDxfId="40"/>
    <tableColumn id="23" xr3:uid="{1736ECF6-A1AB-4267-97F9-E2C763C811A3}" uniqueName="23" name="Registration 2" queryTableFieldId="23" dataDxfId="39"/>
    <tableColumn id="24" xr3:uid="{D1FF29AA-CA84-43CA-B3C7-6A124C741C22}" uniqueName="24" name="Reg State 2" queryTableFieldId="24" dataDxfId="38"/>
    <tableColumn id="25" xr3:uid="{B44423E7-0441-4F08-81E9-561BD22194B4}" uniqueName="25" name="Make2" queryTableFieldId="25" dataDxfId="37"/>
    <tableColumn id="26" xr3:uid="{E5B1AD77-5FC3-48E1-BE22-A37742734CE4}" uniqueName="26" name="Model2" queryTableFieldId="26" dataDxfId="36"/>
    <tableColumn id="27" xr3:uid="{04570661-C8A1-4CB7-BC81-CD0CC7AA6C2C}" uniqueName="27" name="Reviewed By" queryTableFieldId="27" dataDxfId="35"/>
    <tableColumn id="28" xr3:uid="{2402CC72-D7CD-4291-9308-37FCDFD47235}" uniqueName="28" name="CompleteCalc" queryTableFieldId="28" dataDxfId="34"/>
    <tableColumn id="29" xr3:uid="{97C93936-0888-4B87-AEE7-5FB42E889DBB}" uniqueName="29" name="Officer of Record" queryTableFieldId="29" dataDxfId="33"/>
    <tableColumn id="30" xr3:uid="{5F987847-35CD-4ADD-8169-84EEE704FB72}" uniqueName="30" name="Squad" queryTableFieldId="30" dataDxfId="32"/>
    <tableColumn id="31" xr3:uid="{18F1D4D9-3B69-45C7-8C1B-ED08B53ADE36}" uniqueName="31" name="Det_Assigned" queryTableFieldId="31" dataDxfId="31"/>
    <tableColumn id="32" xr3:uid="{37CE981E-0410-4C00-9CC9-6DB14BE71E52}" uniqueName="32" name="Case_Status" queryTableFieldId="32" dataDxfId="30"/>
    <tableColumn id="33" xr3:uid="{A296ED98-C924-4CEE-9D8D-2E0B0F170F4F}" uniqueName="33" name="NIBRS Classification" queryTableFieldId="33" dataDxfId="29"/>
    <tableColumn id="34" xr3:uid="{B2E0D652-6E51-455C-98FF-78513E71D3F3}" uniqueName="34" name="CASE_NUMBER_LENGTH" queryTableFieldId="34" dataDxfId="28"/>
    <tableColumn id="35" xr3:uid="{F76FD9DB-C0B6-4358-BB0D-6F30009DBDC9}" uniqueName="35" name="Incident Date" queryTableFieldId="35" dataDxfId="27"/>
    <tableColumn id="36" xr3:uid="{6DB80E98-21A1-4613-8B00-0CA94C245A6E}" uniqueName="36" name="Incident Time" queryTableFieldId="36" dataDxfId="26"/>
    <tableColumn id="37" xr3:uid="{18C5F72D-0250-481A-8C66-AC58BFC515B6}" uniqueName="37" name="Incident Date_Between" queryTableFieldId="37" dataDxfId="25"/>
    <tableColumn id="38" xr3:uid="{7DDE8351-1C6F-4B6C-B5AF-CE654188B56D}" uniqueName="38" name="Incident Time_Between" queryTableFieldId="38" dataDxfId="24"/>
    <tableColumn id="39" xr3:uid="{B889D510-0178-4515-B6DF-D74842365A11}" uniqueName="39" name="Report Date" queryTableFieldId="39" dataDxfId="23"/>
    <tableColumn id="40" xr3:uid="{904B52E1-4948-4DC1-8369-6F5F74CA9FEE}" uniqueName="40" name="Report Time" queryTableFieldId="40" dataDxfId="22"/>
    <tableColumn id="41" xr3:uid="{ECCAEC12-29F6-4496-B9DA-1F79B28933A0}" uniqueName="41" name="Year" queryTableFieldId="41" dataDxfId="21"/>
    <tableColumn id="42" xr3:uid="{8D188BA5-9D2C-4EA6-B3C7-6F7B5D893259}" uniqueName="42" name="Week of Year" queryTableFieldId="42" dataDxfId="20"/>
    <tableColumn id="43" xr3:uid="{573882D3-19EF-4C3A-831F-3BCA8C0B7EE7}" uniqueName="43" name="Week of Month" queryTableFieldId="43" dataDxfId="19"/>
    <tableColumn id="44" xr3:uid="{4DAA9272-1173-4452-908F-FBDD139C09FE}" uniqueName="44" name="Day" queryTableFieldId="44" dataDxfId="18"/>
    <tableColumn id="45" xr3:uid="{1C45F28A-7AE7-44D7-95AF-7AFC1B34894C}" uniqueName="45" name="Day of Year" queryTableFieldId="45" dataDxfId="17"/>
    <tableColumn id="46" xr3:uid="{8183F443-A230-44BF-AF2D-5B02C666974D}" uniqueName="46" name="INC_DATE_AND_TIME" queryTableFieldId="46" dataDxfId="16"/>
    <tableColumn id="47" xr3:uid="{CAB89C0D-09F2-4E1F-B615-D08C211E827D}" uniqueName="47" name="St#" queryTableFieldId="47" dataDxfId="15"/>
    <tableColumn id="50" xr3:uid="{1E85E18C-90BE-495B-9307-D2F92A9FEBC0}" uniqueName="50" name="Notes" queryTableFieldId="109"/>
    <tableColumn id="51" xr3:uid="{3E625E7E-2F91-49AA-87A0-F81329A82682}" uniqueName="51" name="VEHICLE" queryTableFieldId="51" dataDxfId="14"/>
    <tableColumn id="52" xr3:uid="{68DEB93E-19FB-4A3B-A0BE-2035844F2AFF}" uniqueName="52" name="Suspect" queryTableFieldId="52" dataDxfId="13"/>
    <tableColumn id="53" xr3:uid="{4BA995B7-ED04-474D-B011-54A71CC743BB}" uniqueName="53" name="TOTAL_STOLEN_AMOUNT" queryTableFieldId="53" dataDxfId="12"/>
    <tableColumn id="1" xr3:uid="{6482645D-3FB7-4065-AAC6-2C2B65059DD4}" uniqueName="1" name="REPORT_CYCLE" queryTableFieldId="54" dataDxfId="11"/>
    <tableColumn id="49" xr3:uid="{A5C6798E-126A-447D-8DF6-D8268BE7006F}" uniqueName="49" name="TIME_OF_DAY" queryTableFieldId="49" dataDxfId="10"/>
  </tableColumns>
  <tableStyleInfo name="TableStyleLight18 3"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C77E981-624B-4750-9390-1B1C1ACBE2F8}" name="_7Day_28Day_250414_" displayName="_7Day_28Day_250414_" ref="A1:G53" totalsRowShown="0" headerRowDxfId="9" dataDxfId="8">
  <autoFilter ref="A1:G53" xr:uid="{FC77E981-624B-4750-9390-1B1C1ACBE2F8}"/>
  <tableColumns count="7">
    <tableColumn id="1" xr3:uid="{C2077B8A-7848-45BC-80C0-09EA31469A71}" name="Report_Due_Date" dataDxfId="7"/>
    <tableColumn id="2" xr3:uid="{FD915C28-FAFC-45F9-A51F-115DE8D4C365}" name="7_Day_Start" dataDxfId="6"/>
    <tableColumn id="3" xr3:uid="{B72998EF-7A6B-4A03-8A36-1DE4719FBBE0}" name="7_Day_End" dataDxfId="5"/>
    <tableColumn id="4" xr3:uid="{8036B9F5-2CED-4D6B-9BD1-0772683EAF00}" name="28_Day_Start" dataDxfId="4"/>
    <tableColumn id="5" xr3:uid="{3D318415-2E7E-4770-ADB7-937F1DE183E2}" name="28_Day_End" dataDxfId="3"/>
    <tableColumn id="6" xr3:uid="{7B8B2D79-5155-4A65-86BB-524E8C2DA487}" name="Report_Name" dataDxfId="2"/>
    <tableColumn id="7" xr3:uid="{162878D3-B867-46F0-8059-C535B1BF9949}" name="Is_Due" dataDxfId="1">
      <calculatedColumnFormula>_7Day_28Day_250414_[[#This Row],[Report_Due_Date]]=TODAY()+MOD(2-WEEKDAY(TODAY(),2),7)+IF(WEEKDAY(TODAY(),2)=2,7,0)</calculatedColumnFormula>
    </tableColumn>
  </tableColumns>
  <tableStyleInfo name="TableStyleLight15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6.bin"/><Relationship Id="rId7" Type="http://schemas.openxmlformats.org/officeDocument/2006/relationships/table" Target="../tables/table17.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F805C-7395-4B3F-93BE-BDFC93BAE616}">
  <dimension ref="A1:AV3"/>
  <sheetViews>
    <sheetView workbookViewId="0">
      <selection activeCell="E19" sqref="E19"/>
    </sheetView>
  </sheetViews>
  <sheetFormatPr defaultRowHeight="14.4" x14ac:dyDescent="0.3"/>
  <cols>
    <col min="1" max="1" width="14.44140625" bestFit="1" customWidth="1"/>
    <col min="2" max="2" width="19.5546875" bestFit="1" customWidth="1"/>
    <col min="3" max="3" width="23.88671875" bestFit="1" customWidth="1"/>
    <col min="4" max="4" width="17.21875" bestFit="1" customWidth="1"/>
    <col min="5" max="5" width="43.6640625" bestFit="1" customWidth="1"/>
    <col min="6" max="8" width="16.77734375" bestFit="1" customWidth="1"/>
    <col min="9" max="9" width="36.88671875" bestFit="1" customWidth="1"/>
    <col min="10" max="10" width="6.6640625" bestFit="1" customWidth="1"/>
    <col min="11" max="11" width="7.44140625" bestFit="1" customWidth="1"/>
    <col min="12" max="12" width="80.88671875" bestFit="1" customWidth="1"/>
    <col min="13" max="13" width="18.5546875" bestFit="1" customWidth="1"/>
    <col min="14" max="14" width="20.109375" bestFit="1" customWidth="1"/>
    <col min="15" max="15" width="14.6640625" bestFit="1" customWidth="1"/>
    <col min="16" max="16" width="10.77734375" bestFit="1" customWidth="1"/>
    <col min="17" max="17" width="9.6640625" bestFit="1" customWidth="1"/>
    <col min="18" max="18" width="12.5546875" bestFit="1" customWidth="1"/>
    <col min="19" max="19" width="14.6640625" bestFit="1" customWidth="1"/>
    <col min="20" max="20" width="12.5546875" bestFit="1" customWidth="1"/>
    <col min="21" max="21" width="9" bestFit="1" customWidth="1"/>
    <col min="22" max="22" width="9.6640625" bestFit="1" customWidth="1"/>
    <col min="23" max="23" width="13.88671875" bestFit="1" customWidth="1"/>
    <col min="24" max="24" width="14.77734375" bestFit="1" customWidth="1"/>
    <col min="25" max="25" width="23.21875" bestFit="1" customWidth="1"/>
    <col min="26" max="26" width="8.5546875" bestFit="1" customWidth="1"/>
    <col min="27" max="27" width="25" bestFit="1" customWidth="1"/>
    <col min="28" max="28" width="17" bestFit="1" customWidth="1"/>
    <col min="29" max="29" width="19.88671875" bestFit="1" customWidth="1"/>
    <col min="30" max="30" width="24.21875" bestFit="1" customWidth="1"/>
    <col min="31" max="31" width="6.88671875" bestFit="1" customWidth="1"/>
    <col min="32" max="32" width="5.88671875" bestFit="1" customWidth="1"/>
    <col min="33" max="33" width="80.88671875" bestFit="1" customWidth="1"/>
    <col min="34" max="34" width="32.88671875" bestFit="1" customWidth="1"/>
    <col min="35" max="36" width="80.88671875" bestFit="1" customWidth="1"/>
    <col min="37" max="37" width="11.6640625" bestFit="1" customWidth="1"/>
    <col min="38" max="38" width="22.77734375" bestFit="1" customWidth="1"/>
    <col min="39" max="39" width="14" bestFit="1" customWidth="1"/>
    <col min="40" max="40" width="11.5546875" bestFit="1" customWidth="1"/>
    <col min="41" max="41" width="11.88671875" bestFit="1" customWidth="1"/>
    <col min="42" max="42" width="14.44140625" bestFit="1" customWidth="1"/>
    <col min="43" max="43" width="14.33203125" bestFit="1" customWidth="1"/>
    <col min="44" max="44" width="16.5546875" bestFit="1" customWidth="1"/>
    <col min="45" max="45" width="6.44140625" bestFit="1" customWidth="1"/>
    <col min="46" max="46" width="12.77734375" bestFit="1" customWidth="1"/>
    <col min="47" max="47" width="22" bestFit="1" customWidth="1"/>
    <col min="48" max="48" width="16.109375" bestFit="1" customWidth="1"/>
  </cols>
  <sheetData>
    <row r="1" spans="1:48" x14ac:dyDescent="0.3">
      <c r="A1" t="s">
        <v>0</v>
      </c>
      <c r="B1" t="s">
        <v>7</v>
      </c>
      <c r="C1" t="s">
        <v>53</v>
      </c>
      <c r="D1" t="s">
        <v>8</v>
      </c>
      <c r="E1" t="s">
        <v>10</v>
      </c>
      <c r="F1" t="s">
        <v>9</v>
      </c>
      <c r="G1" t="s">
        <v>11</v>
      </c>
      <c r="H1" t="s">
        <v>12</v>
      </c>
      <c r="I1" t="s">
        <v>13</v>
      </c>
      <c r="J1" t="s">
        <v>14</v>
      </c>
      <c r="K1" t="s">
        <v>15</v>
      </c>
      <c r="L1" t="s">
        <v>16</v>
      </c>
      <c r="M1" t="s">
        <v>17</v>
      </c>
      <c r="N1" t="s">
        <v>18</v>
      </c>
      <c r="O1" t="s">
        <v>19</v>
      </c>
      <c r="P1" t="s">
        <v>20</v>
      </c>
      <c r="Q1" t="s">
        <v>21</v>
      </c>
      <c r="R1" t="s">
        <v>22</v>
      </c>
      <c r="S1" t="s">
        <v>23</v>
      </c>
      <c r="T1" t="s">
        <v>24</v>
      </c>
      <c r="U1" t="s">
        <v>25</v>
      </c>
      <c r="V1" t="s">
        <v>26</v>
      </c>
      <c r="W1" t="s">
        <v>27</v>
      </c>
      <c r="X1" t="s">
        <v>28</v>
      </c>
      <c r="Y1" t="s">
        <v>29</v>
      </c>
      <c r="Z1" t="s">
        <v>30</v>
      </c>
      <c r="AA1" t="s">
        <v>31</v>
      </c>
      <c r="AB1" t="s">
        <v>32</v>
      </c>
      <c r="AC1" t="s">
        <v>33</v>
      </c>
      <c r="AD1" t="s">
        <v>34</v>
      </c>
      <c r="AE1" t="s">
        <v>41</v>
      </c>
      <c r="AF1" t="s">
        <v>47</v>
      </c>
      <c r="AG1" t="s">
        <v>460</v>
      </c>
      <c r="AH1" t="s">
        <v>49</v>
      </c>
      <c r="AI1" t="s">
        <v>50</v>
      </c>
      <c r="AJ1" t="s">
        <v>51</v>
      </c>
      <c r="AK1" t="s">
        <v>1</v>
      </c>
      <c r="AL1" t="s">
        <v>2</v>
      </c>
      <c r="AM1" t="s">
        <v>3</v>
      </c>
      <c r="AN1" t="s">
        <v>4</v>
      </c>
      <c r="AO1" t="s">
        <v>5</v>
      </c>
      <c r="AP1" t="s">
        <v>6</v>
      </c>
      <c r="AQ1" t="s">
        <v>42</v>
      </c>
      <c r="AR1" t="s">
        <v>43</v>
      </c>
      <c r="AS1" t="s">
        <v>44</v>
      </c>
      <c r="AT1" t="s">
        <v>45</v>
      </c>
      <c r="AU1" t="s">
        <v>46</v>
      </c>
      <c r="AV1" t="s">
        <v>52</v>
      </c>
    </row>
    <row r="2" spans="1:48" x14ac:dyDescent="0.3">
      <c r="A2" t="s">
        <v>718</v>
      </c>
      <c r="B2" t="s">
        <v>719</v>
      </c>
      <c r="C2" t="s">
        <v>173</v>
      </c>
      <c r="D2" t="s">
        <v>720</v>
      </c>
      <c r="E2" t="s">
        <v>721</v>
      </c>
      <c r="F2" t="s">
        <v>59</v>
      </c>
      <c r="G2" t="s">
        <v>362</v>
      </c>
      <c r="H2" t="s">
        <v>722</v>
      </c>
      <c r="I2" t="s">
        <v>723</v>
      </c>
      <c r="J2" t="s">
        <v>593</v>
      </c>
      <c r="K2">
        <v>7</v>
      </c>
      <c r="L2" t="s">
        <v>724</v>
      </c>
      <c r="O2" t="s">
        <v>725</v>
      </c>
      <c r="P2" t="s">
        <v>501</v>
      </c>
      <c r="Q2" t="s">
        <v>726</v>
      </c>
      <c r="R2" t="s">
        <v>66</v>
      </c>
      <c r="W2" t="s">
        <v>727</v>
      </c>
      <c r="X2" t="s">
        <v>68</v>
      </c>
      <c r="Y2" t="s">
        <v>90</v>
      </c>
      <c r="Z2" t="s">
        <v>91</v>
      </c>
      <c r="AD2">
        <v>9</v>
      </c>
      <c r="AE2">
        <v>2025</v>
      </c>
      <c r="AF2">
        <v>120</v>
      </c>
      <c r="AG2" t="s">
        <v>724</v>
      </c>
      <c r="AH2" t="s">
        <v>728</v>
      </c>
      <c r="AI2" t="s">
        <v>729</v>
      </c>
      <c r="AJ2" t="s">
        <v>730</v>
      </c>
      <c r="AK2" s="1">
        <v>45755</v>
      </c>
      <c r="AL2" t="s">
        <v>163</v>
      </c>
      <c r="AM2" s="41">
        <v>0</v>
      </c>
      <c r="AN2" s="41">
        <v>3.2638888888888891E-2</v>
      </c>
      <c r="AO2" t="s">
        <v>452</v>
      </c>
      <c r="AP2" t="s">
        <v>599</v>
      </c>
      <c r="AQ2">
        <v>15</v>
      </c>
      <c r="AR2">
        <v>2</v>
      </c>
      <c r="AS2">
        <v>8</v>
      </c>
      <c r="AT2">
        <v>98</v>
      </c>
      <c r="AU2" s="2">
        <v>45755.032638888886</v>
      </c>
      <c r="AV2" t="s">
        <v>731</v>
      </c>
    </row>
    <row r="3" spans="1:48" x14ac:dyDescent="0.3">
      <c r="A3" t="s">
        <v>800</v>
      </c>
      <c r="B3" t="s">
        <v>801</v>
      </c>
      <c r="C3" t="s">
        <v>110</v>
      </c>
      <c r="D3" t="s">
        <v>802</v>
      </c>
      <c r="E3" t="s">
        <v>59</v>
      </c>
      <c r="F3" t="s">
        <v>59</v>
      </c>
      <c r="G3" t="s">
        <v>60</v>
      </c>
      <c r="H3" t="s">
        <v>60</v>
      </c>
      <c r="I3" t="s">
        <v>803</v>
      </c>
      <c r="J3" t="s">
        <v>156</v>
      </c>
      <c r="K3">
        <v>8</v>
      </c>
      <c r="L3" t="s">
        <v>804</v>
      </c>
      <c r="O3" t="s">
        <v>805</v>
      </c>
      <c r="P3" t="s">
        <v>556</v>
      </c>
      <c r="Q3" t="s">
        <v>806</v>
      </c>
      <c r="R3" t="s">
        <v>66</v>
      </c>
      <c r="W3" t="s">
        <v>417</v>
      </c>
      <c r="X3" t="s">
        <v>68</v>
      </c>
      <c r="Y3" t="s">
        <v>245</v>
      </c>
      <c r="Z3" t="s">
        <v>207</v>
      </c>
      <c r="AA3" t="s">
        <v>525</v>
      </c>
      <c r="AB3" t="s">
        <v>124</v>
      </c>
      <c r="AD3">
        <v>9</v>
      </c>
      <c r="AE3">
        <v>2025</v>
      </c>
      <c r="AF3">
        <v>283</v>
      </c>
      <c r="AG3" t="s">
        <v>804</v>
      </c>
      <c r="AH3" t="s">
        <v>807</v>
      </c>
      <c r="AI3" t="s">
        <v>808</v>
      </c>
      <c r="AJ3" t="s">
        <v>809</v>
      </c>
      <c r="AK3" s="1">
        <v>45756</v>
      </c>
      <c r="AL3" t="s">
        <v>98</v>
      </c>
      <c r="AM3" s="41">
        <v>0.95833333333333337</v>
      </c>
      <c r="AN3" s="41">
        <v>0.96527777777777779</v>
      </c>
      <c r="AO3" t="s">
        <v>453</v>
      </c>
      <c r="AP3" t="s">
        <v>599</v>
      </c>
      <c r="AQ3">
        <v>15</v>
      </c>
      <c r="AR3">
        <v>2</v>
      </c>
      <c r="AS3">
        <v>9</v>
      </c>
      <c r="AT3">
        <v>99</v>
      </c>
      <c r="AU3" s="2">
        <v>45756.965277777781</v>
      </c>
      <c r="AV3" t="s">
        <v>731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499E5-BE59-4192-82FA-3011DED28634}">
  <dimension ref="A1:AV18"/>
  <sheetViews>
    <sheetView workbookViewId="0"/>
  </sheetViews>
  <sheetFormatPr defaultRowHeight="14.4" x14ac:dyDescent="0.3"/>
  <cols>
    <col min="1" max="1" width="14.44140625" bestFit="1" customWidth="1"/>
    <col min="2" max="2" width="33.109375" bestFit="1" customWidth="1"/>
    <col min="3" max="3" width="23.88671875" bestFit="1" customWidth="1"/>
    <col min="4" max="4" width="33.109375" bestFit="1" customWidth="1"/>
    <col min="5" max="5" width="60.33203125" bestFit="1" customWidth="1"/>
    <col min="6" max="6" width="19.77734375" bestFit="1" customWidth="1"/>
    <col min="7" max="7" width="22.77734375" bestFit="1" customWidth="1"/>
    <col min="8" max="8" width="20.21875" bestFit="1" customWidth="1"/>
    <col min="9" max="9" width="52.88671875" bestFit="1" customWidth="1"/>
    <col min="10" max="10" width="6.6640625" bestFit="1" customWidth="1"/>
    <col min="11" max="11" width="7.44140625" bestFit="1" customWidth="1"/>
    <col min="12" max="12" width="80.88671875" bestFit="1" customWidth="1"/>
    <col min="13" max="13" width="18.5546875" bestFit="1" customWidth="1"/>
    <col min="14" max="14" width="20.109375" bestFit="1" customWidth="1"/>
    <col min="15" max="15" width="14.6640625" bestFit="1" customWidth="1"/>
    <col min="16" max="16" width="10.77734375" bestFit="1" customWidth="1"/>
    <col min="17" max="17" width="9.6640625" bestFit="1" customWidth="1"/>
    <col min="18" max="18" width="12.5546875" bestFit="1" customWidth="1"/>
    <col min="19" max="19" width="14.6640625" bestFit="1" customWidth="1"/>
    <col min="20" max="20" width="12.5546875" bestFit="1" customWidth="1"/>
    <col min="21" max="21" width="9" bestFit="1" customWidth="1"/>
    <col min="22" max="22" width="9.6640625" bestFit="1" customWidth="1"/>
    <col min="23" max="23" width="13.88671875" bestFit="1" customWidth="1"/>
    <col min="24" max="24" width="14.77734375" bestFit="1" customWidth="1"/>
    <col min="25" max="25" width="24.6640625" bestFit="1" customWidth="1"/>
    <col min="26" max="26" width="8.5546875" bestFit="1" customWidth="1"/>
    <col min="27" max="27" width="25" bestFit="1" customWidth="1"/>
    <col min="28" max="28" width="26.109375" bestFit="1" customWidth="1"/>
    <col min="29" max="29" width="42.44140625" bestFit="1" customWidth="1"/>
    <col min="30" max="30" width="24.21875" bestFit="1" customWidth="1"/>
    <col min="31" max="31" width="6.88671875" bestFit="1" customWidth="1"/>
    <col min="32" max="32" width="5.88671875" bestFit="1" customWidth="1"/>
    <col min="33" max="33" width="80.88671875" bestFit="1" customWidth="1"/>
    <col min="34" max="34" width="32.88671875" bestFit="1" customWidth="1"/>
    <col min="35" max="36" width="80.88671875" bestFit="1" customWidth="1"/>
    <col min="37" max="37" width="11.6640625" bestFit="1" customWidth="1"/>
    <col min="38" max="38" width="22.77734375" bestFit="1" customWidth="1"/>
    <col min="39" max="39" width="14" bestFit="1" customWidth="1"/>
    <col min="40" max="40" width="11.5546875" bestFit="1" customWidth="1"/>
    <col min="41" max="41" width="11.88671875" bestFit="1" customWidth="1"/>
    <col min="42" max="42" width="14.44140625" bestFit="1" customWidth="1"/>
    <col min="43" max="43" width="14.33203125" bestFit="1" customWidth="1"/>
    <col min="44" max="44" width="16.5546875" bestFit="1" customWidth="1"/>
    <col min="45" max="45" width="6.44140625" bestFit="1" customWidth="1"/>
    <col min="46" max="46" width="12.77734375" bestFit="1" customWidth="1"/>
    <col min="47" max="47" width="22" bestFit="1" customWidth="1"/>
    <col min="48" max="48" width="16.109375" bestFit="1" customWidth="1"/>
  </cols>
  <sheetData>
    <row r="1" spans="1:48" x14ac:dyDescent="0.3">
      <c r="A1" t="s">
        <v>0</v>
      </c>
      <c r="B1" t="s">
        <v>7</v>
      </c>
      <c r="C1" t="s">
        <v>53</v>
      </c>
      <c r="D1" t="s">
        <v>8</v>
      </c>
      <c r="E1" t="s">
        <v>10</v>
      </c>
      <c r="F1" t="s">
        <v>9</v>
      </c>
      <c r="G1" t="s">
        <v>11</v>
      </c>
      <c r="H1" t="s">
        <v>12</v>
      </c>
      <c r="I1" t="s">
        <v>13</v>
      </c>
      <c r="J1" t="s">
        <v>14</v>
      </c>
      <c r="K1" t="s">
        <v>15</v>
      </c>
      <c r="L1" t="s">
        <v>16</v>
      </c>
      <c r="M1" t="s">
        <v>17</v>
      </c>
      <c r="N1" t="s">
        <v>18</v>
      </c>
      <c r="O1" t="s">
        <v>19</v>
      </c>
      <c r="P1" t="s">
        <v>20</v>
      </c>
      <c r="Q1" t="s">
        <v>21</v>
      </c>
      <c r="R1" t="s">
        <v>22</v>
      </c>
      <c r="S1" t="s">
        <v>23</v>
      </c>
      <c r="T1" t="s">
        <v>24</v>
      </c>
      <c r="U1" t="s">
        <v>25</v>
      </c>
      <c r="V1" t="s">
        <v>26</v>
      </c>
      <c r="W1" t="s">
        <v>27</v>
      </c>
      <c r="X1" t="s">
        <v>28</v>
      </c>
      <c r="Y1" t="s">
        <v>29</v>
      </c>
      <c r="Z1" t="s">
        <v>30</v>
      </c>
      <c r="AA1" t="s">
        <v>31</v>
      </c>
      <c r="AB1" t="s">
        <v>32</v>
      </c>
      <c r="AC1" t="s">
        <v>33</v>
      </c>
      <c r="AD1" t="s">
        <v>34</v>
      </c>
      <c r="AE1" t="s">
        <v>41</v>
      </c>
      <c r="AF1" t="s">
        <v>47</v>
      </c>
      <c r="AG1" t="s">
        <v>460</v>
      </c>
      <c r="AH1" t="s">
        <v>49</v>
      </c>
      <c r="AI1" t="s">
        <v>50</v>
      </c>
      <c r="AJ1" t="s">
        <v>51</v>
      </c>
      <c r="AK1" t="s">
        <v>1</v>
      </c>
      <c r="AL1" t="s">
        <v>2</v>
      </c>
      <c r="AM1" t="s">
        <v>3</v>
      </c>
      <c r="AN1" t="s">
        <v>4</v>
      </c>
      <c r="AO1" t="s">
        <v>5</v>
      </c>
      <c r="AP1" t="s">
        <v>6</v>
      </c>
      <c r="AQ1" t="s">
        <v>42</v>
      </c>
      <c r="AR1" t="s">
        <v>43</v>
      </c>
      <c r="AS1" t="s">
        <v>44</v>
      </c>
      <c r="AT1" t="s">
        <v>45</v>
      </c>
      <c r="AU1" t="s">
        <v>46</v>
      </c>
      <c r="AV1" t="s">
        <v>52</v>
      </c>
    </row>
    <row r="2" spans="1:48" x14ac:dyDescent="0.3">
      <c r="A2" t="s">
        <v>538</v>
      </c>
      <c r="B2" t="s">
        <v>358</v>
      </c>
      <c r="C2" t="s">
        <v>305</v>
      </c>
      <c r="D2" t="s">
        <v>539</v>
      </c>
      <c r="E2" t="s">
        <v>540</v>
      </c>
      <c r="F2" t="s">
        <v>441</v>
      </c>
      <c r="G2" t="s">
        <v>133</v>
      </c>
      <c r="H2" t="s">
        <v>60</v>
      </c>
      <c r="I2" t="s">
        <v>541</v>
      </c>
      <c r="J2" t="s">
        <v>364</v>
      </c>
      <c r="K2">
        <v>9</v>
      </c>
      <c r="L2" t="s">
        <v>542</v>
      </c>
      <c r="O2" t="s">
        <v>543</v>
      </c>
      <c r="P2" t="s">
        <v>544</v>
      </c>
      <c r="Q2" t="s">
        <v>545</v>
      </c>
      <c r="R2" t="s">
        <v>66</v>
      </c>
      <c r="X2" t="s">
        <v>68</v>
      </c>
      <c r="Y2" t="s">
        <v>546</v>
      </c>
      <c r="Z2" t="s">
        <v>547</v>
      </c>
      <c r="AD2">
        <v>9</v>
      </c>
      <c r="AE2">
        <v>2025</v>
      </c>
      <c r="AF2">
        <v>414</v>
      </c>
      <c r="AG2" t="s">
        <v>542</v>
      </c>
      <c r="AH2" t="s">
        <v>548</v>
      </c>
      <c r="AI2" t="s">
        <v>60</v>
      </c>
      <c r="AJ2" t="s">
        <v>60</v>
      </c>
      <c r="AK2" s="1">
        <v>45734</v>
      </c>
      <c r="AL2" t="s">
        <v>294</v>
      </c>
      <c r="AM2" s="41">
        <v>0.20833333333333334</v>
      </c>
      <c r="AN2" s="41">
        <v>0.22916666666666666</v>
      </c>
      <c r="AO2" t="s">
        <v>452</v>
      </c>
      <c r="AP2" t="s">
        <v>462</v>
      </c>
      <c r="AQ2">
        <v>12</v>
      </c>
      <c r="AR2">
        <v>4</v>
      </c>
      <c r="AS2">
        <v>18</v>
      </c>
      <c r="AT2">
        <v>77</v>
      </c>
      <c r="AU2" s="2">
        <v>45734.229166666664</v>
      </c>
      <c r="AV2" t="s">
        <v>549</v>
      </c>
    </row>
    <row r="3" spans="1:48" x14ac:dyDescent="0.3">
      <c r="A3" t="s">
        <v>550</v>
      </c>
      <c r="B3" t="s">
        <v>551</v>
      </c>
      <c r="C3" t="s">
        <v>305</v>
      </c>
      <c r="D3" t="s">
        <v>552</v>
      </c>
      <c r="E3" t="s">
        <v>214</v>
      </c>
      <c r="F3" t="s">
        <v>214</v>
      </c>
      <c r="G3" t="s">
        <v>60</v>
      </c>
      <c r="H3" t="s">
        <v>60</v>
      </c>
      <c r="I3" t="s">
        <v>553</v>
      </c>
      <c r="J3" t="s">
        <v>262</v>
      </c>
      <c r="K3">
        <v>6</v>
      </c>
      <c r="L3" t="s">
        <v>554</v>
      </c>
      <c r="O3" t="s">
        <v>555</v>
      </c>
      <c r="P3" t="s">
        <v>556</v>
      </c>
      <c r="R3" t="s">
        <v>66</v>
      </c>
      <c r="W3" t="s">
        <v>469</v>
      </c>
      <c r="X3" t="s">
        <v>68</v>
      </c>
      <c r="Y3" t="s">
        <v>148</v>
      </c>
      <c r="Z3" t="s">
        <v>91</v>
      </c>
      <c r="AA3" t="s">
        <v>181</v>
      </c>
      <c r="AB3" t="s">
        <v>182</v>
      </c>
      <c r="AD3">
        <v>9</v>
      </c>
      <c r="AE3">
        <v>2025</v>
      </c>
      <c r="AF3">
        <v>171</v>
      </c>
      <c r="AG3" t="s">
        <v>554</v>
      </c>
      <c r="AH3" t="s">
        <v>557</v>
      </c>
      <c r="AI3" t="s">
        <v>558</v>
      </c>
      <c r="AJ3" t="s">
        <v>559</v>
      </c>
      <c r="AK3" s="1">
        <v>45737</v>
      </c>
      <c r="AL3" t="s">
        <v>294</v>
      </c>
      <c r="AM3" s="41">
        <v>0.29166666666666669</v>
      </c>
      <c r="AN3" s="41">
        <v>0.32500000000000001</v>
      </c>
      <c r="AO3" t="s">
        <v>455</v>
      </c>
      <c r="AP3" t="s">
        <v>462</v>
      </c>
      <c r="AQ3">
        <v>12</v>
      </c>
      <c r="AR3">
        <v>4</v>
      </c>
      <c r="AS3">
        <v>21</v>
      </c>
      <c r="AT3">
        <v>80</v>
      </c>
      <c r="AU3" s="2">
        <v>45737.324999999997</v>
      </c>
      <c r="AV3" t="s">
        <v>549</v>
      </c>
    </row>
    <row r="4" spans="1:48" x14ac:dyDescent="0.3">
      <c r="A4" t="s">
        <v>560</v>
      </c>
      <c r="B4" t="s">
        <v>561</v>
      </c>
      <c r="C4" t="s">
        <v>305</v>
      </c>
      <c r="D4" t="s">
        <v>562</v>
      </c>
      <c r="E4" t="s">
        <v>563</v>
      </c>
      <c r="F4" t="s">
        <v>59</v>
      </c>
      <c r="G4" t="s">
        <v>564</v>
      </c>
      <c r="H4" t="s">
        <v>60</v>
      </c>
      <c r="I4" t="s">
        <v>565</v>
      </c>
      <c r="J4" t="s">
        <v>251</v>
      </c>
      <c r="K4">
        <v>5</v>
      </c>
      <c r="L4" t="s">
        <v>566</v>
      </c>
      <c r="O4" t="s">
        <v>567</v>
      </c>
      <c r="P4" t="s">
        <v>118</v>
      </c>
      <c r="Q4" t="s">
        <v>568</v>
      </c>
      <c r="R4" t="s">
        <v>66</v>
      </c>
      <c r="W4" t="s">
        <v>569</v>
      </c>
      <c r="X4" t="s">
        <v>68</v>
      </c>
      <c r="Y4" t="s">
        <v>106</v>
      </c>
      <c r="Z4" t="s">
        <v>70</v>
      </c>
      <c r="AA4" t="s">
        <v>123</v>
      </c>
      <c r="AB4" t="s">
        <v>124</v>
      </c>
      <c r="AD4">
        <v>9</v>
      </c>
      <c r="AE4">
        <v>2025</v>
      </c>
      <c r="AF4">
        <v>24</v>
      </c>
      <c r="AG4" t="s">
        <v>566</v>
      </c>
      <c r="AH4" t="s">
        <v>570</v>
      </c>
      <c r="AI4" t="s">
        <v>571</v>
      </c>
      <c r="AJ4" t="s">
        <v>572</v>
      </c>
      <c r="AK4" s="1">
        <v>45739</v>
      </c>
      <c r="AL4" t="s">
        <v>294</v>
      </c>
      <c r="AM4" s="41">
        <v>0.16666666666666666</v>
      </c>
      <c r="AN4" s="41">
        <v>0.1736111111111111</v>
      </c>
      <c r="AO4" t="s">
        <v>459</v>
      </c>
      <c r="AP4" t="s">
        <v>462</v>
      </c>
      <c r="AQ4">
        <v>13</v>
      </c>
      <c r="AR4">
        <v>5</v>
      </c>
      <c r="AS4">
        <v>23</v>
      </c>
      <c r="AT4">
        <v>82</v>
      </c>
      <c r="AU4" s="2">
        <v>45739.173611111109</v>
      </c>
      <c r="AV4" t="s">
        <v>549</v>
      </c>
    </row>
    <row r="5" spans="1:48" x14ac:dyDescent="0.3">
      <c r="A5" t="s">
        <v>679</v>
      </c>
      <c r="B5" t="s">
        <v>358</v>
      </c>
      <c r="C5" t="s">
        <v>151</v>
      </c>
      <c r="D5" t="s">
        <v>359</v>
      </c>
      <c r="E5" t="s">
        <v>687</v>
      </c>
      <c r="F5" t="s">
        <v>348</v>
      </c>
      <c r="G5" t="s">
        <v>83</v>
      </c>
      <c r="H5" t="s">
        <v>688</v>
      </c>
      <c r="I5" t="s">
        <v>363</v>
      </c>
      <c r="J5" t="s">
        <v>364</v>
      </c>
      <c r="K5">
        <v>9</v>
      </c>
      <c r="L5" t="s">
        <v>689</v>
      </c>
      <c r="O5" t="s">
        <v>690</v>
      </c>
      <c r="P5" t="s">
        <v>523</v>
      </c>
      <c r="Q5" t="s">
        <v>691</v>
      </c>
      <c r="R5" t="s">
        <v>66</v>
      </c>
      <c r="W5" t="s">
        <v>158</v>
      </c>
      <c r="X5" t="s">
        <v>68</v>
      </c>
      <c r="Y5" t="s">
        <v>648</v>
      </c>
      <c r="Z5" t="s">
        <v>352</v>
      </c>
      <c r="AA5" t="s">
        <v>161</v>
      </c>
      <c r="AB5" t="s">
        <v>124</v>
      </c>
      <c r="AD5">
        <v>9</v>
      </c>
      <c r="AE5">
        <v>2025</v>
      </c>
      <c r="AF5">
        <v>450</v>
      </c>
      <c r="AG5" t="s">
        <v>689</v>
      </c>
      <c r="AH5" t="s">
        <v>692</v>
      </c>
      <c r="AI5" t="s">
        <v>693</v>
      </c>
      <c r="AJ5" t="s">
        <v>694</v>
      </c>
      <c r="AK5" s="1">
        <v>45741</v>
      </c>
      <c r="AL5" t="s">
        <v>142</v>
      </c>
      <c r="AM5" s="41">
        <v>0.45833333333333331</v>
      </c>
      <c r="AN5" s="41">
        <v>0.48402777777777778</v>
      </c>
      <c r="AO5" t="s">
        <v>452</v>
      </c>
      <c r="AP5" t="s">
        <v>462</v>
      </c>
      <c r="AQ5">
        <v>13</v>
      </c>
      <c r="AR5">
        <v>5</v>
      </c>
      <c r="AS5">
        <v>25</v>
      </c>
      <c r="AT5">
        <v>84</v>
      </c>
      <c r="AU5" s="2">
        <v>45741.484027777777</v>
      </c>
      <c r="AV5" t="s">
        <v>582</v>
      </c>
    </row>
    <row r="6" spans="1:48" x14ac:dyDescent="0.3">
      <c r="A6" t="s">
        <v>574</v>
      </c>
      <c r="B6" t="s">
        <v>486</v>
      </c>
      <c r="C6" t="s">
        <v>110</v>
      </c>
      <c r="D6" t="s">
        <v>575</v>
      </c>
      <c r="E6" t="s">
        <v>576</v>
      </c>
      <c r="F6" t="s">
        <v>166</v>
      </c>
      <c r="G6" t="s">
        <v>577</v>
      </c>
      <c r="H6" t="s">
        <v>361</v>
      </c>
      <c r="I6" t="s">
        <v>578</v>
      </c>
      <c r="J6" t="s">
        <v>262</v>
      </c>
      <c r="K6">
        <v>6</v>
      </c>
      <c r="L6" t="s">
        <v>579</v>
      </c>
      <c r="W6" t="s">
        <v>417</v>
      </c>
      <c r="X6" t="s">
        <v>68</v>
      </c>
      <c r="Y6" t="s">
        <v>580</v>
      </c>
      <c r="Z6" t="s">
        <v>122</v>
      </c>
      <c r="AA6" t="s">
        <v>379</v>
      </c>
      <c r="AB6" t="s">
        <v>124</v>
      </c>
      <c r="AD6">
        <v>9</v>
      </c>
      <c r="AE6">
        <v>2025</v>
      </c>
      <c r="AF6">
        <v>211</v>
      </c>
      <c r="AG6" t="s">
        <v>579</v>
      </c>
      <c r="AI6" t="s">
        <v>60</v>
      </c>
      <c r="AJ6" t="s">
        <v>581</v>
      </c>
      <c r="AK6" s="1">
        <v>45743</v>
      </c>
      <c r="AL6" t="s">
        <v>98</v>
      </c>
      <c r="AM6" s="41">
        <v>0.91666666666666663</v>
      </c>
      <c r="AN6" s="41">
        <v>0.94666666666666666</v>
      </c>
      <c r="AO6" t="s">
        <v>537</v>
      </c>
      <c r="AP6" t="s">
        <v>462</v>
      </c>
      <c r="AQ6">
        <v>13</v>
      </c>
      <c r="AR6">
        <v>5</v>
      </c>
      <c r="AS6">
        <v>27</v>
      </c>
      <c r="AT6">
        <v>86</v>
      </c>
      <c r="AU6" s="2">
        <v>45743.946527777778</v>
      </c>
      <c r="AV6" t="s">
        <v>582</v>
      </c>
    </row>
    <row r="7" spans="1:48" x14ac:dyDescent="0.3">
      <c r="A7" t="s">
        <v>583</v>
      </c>
      <c r="B7" t="s">
        <v>531</v>
      </c>
      <c r="C7" t="s">
        <v>110</v>
      </c>
      <c r="D7" t="s">
        <v>584</v>
      </c>
      <c r="E7" t="s">
        <v>133</v>
      </c>
      <c r="F7" t="s">
        <v>133</v>
      </c>
      <c r="G7" t="s">
        <v>60</v>
      </c>
      <c r="H7" t="s">
        <v>60</v>
      </c>
      <c r="I7" t="s">
        <v>585</v>
      </c>
      <c r="J7" t="s">
        <v>284</v>
      </c>
      <c r="K7">
        <v>8</v>
      </c>
      <c r="L7" t="s">
        <v>586</v>
      </c>
      <c r="M7">
        <v>50300</v>
      </c>
      <c r="W7" t="s">
        <v>158</v>
      </c>
      <c r="X7" t="s">
        <v>68</v>
      </c>
      <c r="Y7" t="s">
        <v>481</v>
      </c>
      <c r="Z7" t="s">
        <v>352</v>
      </c>
      <c r="AA7" t="s">
        <v>587</v>
      </c>
      <c r="AB7" t="s">
        <v>124</v>
      </c>
      <c r="AD7">
        <v>9</v>
      </c>
      <c r="AE7">
        <v>2025</v>
      </c>
      <c r="AF7">
        <v>2</v>
      </c>
      <c r="AG7" t="s">
        <v>586</v>
      </c>
      <c r="AI7" t="s">
        <v>588</v>
      </c>
      <c r="AJ7" t="s">
        <v>589</v>
      </c>
      <c r="AK7" s="1">
        <v>45743</v>
      </c>
      <c r="AL7" t="s">
        <v>98</v>
      </c>
      <c r="AM7" s="41">
        <v>0.95833333333333337</v>
      </c>
      <c r="AN7" s="41">
        <v>0.97916666666666663</v>
      </c>
      <c r="AO7" t="s">
        <v>537</v>
      </c>
      <c r="AP7" t="s">
        <v>462</v>
      </c>
      <c r="AQ7">
        <v>13</v>
      </c>
      <c r="AR7">
        <v>5</v>
      </c>
      <c r="AS7">
        <v>27</v>
      </c>
      <c r="AT7">
        <v>86</v>
      </c>
      <c r="AU7" s="2">
        <v>45743.979166666664</v>
      </c>
      <c r="AV7" t="s">
        <v>582</v>
      </c>
    </row>
    <row r="8" spans="1:48" x14ac:dyDescent="0.3">
      <c r="A8" t="s">
        <v>629</v>
      </c>
      <c r="B8" t="s">
        <v>630</v>
      </c>
      <c r="C8" t="s">
        <v>110</v>
      </c>
      <c r="D8" t="s">
        <v>631</v>
      </c>
      <c r="E8" t="s">
        <v>214</v>
      </c>
      <c r="F8" t="s">
        <v>214</v>
      </c>
      <c r="G8" t="s">
        <v>60</v>
      </c>
      <c r="H8" t="s">
        <v>60</v>
      </c>
      <c r="I8" t="s">
        <v>632</v>
      </c>
      <c r="J8" t="s">
        <v>427</v>
      </c>
      <c r="K8">
        <v>8</v>
      </c>
      <c r="L8" t="s">
        <v>633</v>
      </c>
      <c r="O8" t="s">
        <v>634</v>
      </c>
      <c r="P8" t="s">
        <v>635</v>
      </c>
      <c r="Q8" t="s">
        <v>636</v>
      </c>
      <c r="R8" t="s">
        <v>66</v>
      </c>
      <c r="W8" t="s">
        <v>569</v>
      </c>
      <c r="X8" t="s">
        <v>68</v>
      </c>
      <c r="Y8" t="s">
        <v>637</v>
      </c>
      <c r="Z8" t="s">
        <v>638</v>
      </c>
      <c r="AD8">
        <v>9</v>
      </c>
      <c r="AE8">
        <v>2025</v>
      </c>
      <c r="AF8">
        <v>296</v>
      </c>
      <c r="AG8" t="s">
        <v>633</v>
      </c>
      <c r="AH8" t="s">
        <v>639</v>
      </c>
      <c r="AI8" t="s">
        <v>60</v>
      </c>
      <c r="AJ8" t="s">
        <v>640</v>
      </c>
      <c r="AK8" s="1">
        <v>45744</v>
      </c>
      <c r="AL8" t="s">
        <v>98</v>
      </c>
      <c r="AM8" s="41">
        <v>0.83333333333333337</v>
      </c>
      <c r="AN8" s="41">
        <v>0.85416666666666663</v>
      </c>
      <c r="AO8" t="s">
        <v>455</v>
      </c>
      <c r="AP8" t="s">
        <v>462</v>
      </c>
      <c r="AQ8">
        <v>13</v>
      </c>
      <c r="AR8">
        <v>5</v>
      </c>
      <c r="AS8">
        <v>28</v>
      </c>
      <c r="AT8">
        <v>87</v>
      </c>
      <c r="AU8" s="2">
        <v>45744.854166666664</v>
      </c>
      <c r="AV8" t="s">
        <v>582</v>
      </c>
    </row>
    <row r="9" spans="1:48" x14ac:dyDescent="0.3">
      <c r="A9" t="s">
        <v>695</v>
      </c>
      <c r="B9" t="s">
        <v>696</v>
      </c>
      <c r="C9" t="s">
        <v>305</v>
      </c>
      <c r="D9" t="s">
        <v>697</v>
      </c>
      <c r="E9" t="s">
        <v>698</v>
      </c>
      <c r="F9" t="s">
        <v>177</v>
      </c>
      <c r="G9" t="s">
        <v>699</v>
      </c>
      <c r="H9" t="s">
        <v>60</v>
      </c>
      <c r="I9" t="s">
        <v>700</v>
      </c>
      <c r="J9" t="s">
        <v>274</v>
      </c>
      <c r="K9">
        <v>6</v>
      </c>
      <c r="L9" t="s">
        <v>701</v>
      </c>
      <c r="O9" t="s">
        <v>702</v>
      </c>
      <c r="P9" t="s">
        <v>635</v>
      </c>
      <c r="Q9" t="s">
        <v>636</v>
      </c>
      <c r="R9" t="s">
        <v>66</v>
      </c>
      <c r="W9" t="s">
        <v>569</v>
      </c>
      <c r="X9" t="s">
        <v>68</v>
      </c>
      <c r="Y9" t="s">
        <v>580</v>
      </c>
      <c r="Z9" t="s">
        <v>122</v>
      </c>
      <c r="AD9">
        <v>9</v>
      </c>
      <c r="AE9">
        <v>2025</v>
      </c>
      <c r="AF9">
        <v>15</v>
      </c>
      <c r="AG9" t="s">
        <v>701</v>
      </c>
      <c r="AH9" t="s">
        <v>703</v>
      </c>
      <c r="AI9" t="s">
        <v>704</v>
      </c>
      <c r="AJ9" t="s">
        <v>705</v>
      </c>
      <c r="AK9" s="1">
        <v>45745</v>
      </c>
      <c r="AL9" t="s">
        <v>294</v>
      </c>
      <c r="AM9" s="41">
        <v>0.16666666666666666</v>
      </c>
      <c r="AN9" s="41">
        <v>0.20515046296296297</v>
      </c>
      <c r="AO9" t="s">
        <v>456</v>
      </c>
      <c r="AP9" t="s">
        <v>462</v>
      </c>
      <c r="AQ9">
        <v>13</v>
      </c>
      <c r="AR9">
        <v>5</v>
      </c>
      <c r="AS9">
        <v>29</v>
      </c>
      <c r="AT9">
        <v>88</v>
      </c>
      <c r="AU9" s="2">
        <v>45745.204861111109</v>
      </c>
      <c r="AV9" t="s">
        <v>582</v>
      </c>
    </row>
    <row r="10" spans="1:48" x14ac:dyDescent="0.3">
      <c r="A10" t="s">
        <v>616</v>
      </c>
      <c r="B10" t="s">
        <v>212</v>
      </c>
      <c r="C10" t="s">
        <v>110</v>
      </c>
      <c r="D10" t="s">
        <v>607</v>
      </c>
      <c r="E10" t="s">
        <v>59</v>
      </c>
      <c r="F10" t="s">
        <v>59</v>
      </c>
      <c r="G10" t="s">
        <v>60</v>
      </c>
      <c r="H10" t="s">
        <v>60</v>
      </c>
      <c r="I10" t="s">
        <v>608</v>
      </c>
      <c r="J10" t="s">
        <v>216</v>
      </c>
      <c r="K10">
        <v>9</v>
      </c>
      <c r="L10" t="s">
        <v>617</v>
      </c>
      <c r="M10">
        <v>5</v>
      </c>
      <c r="N10">
        <v>0</v>
      </c>
      <c r="O10" t="s">
        <v>618</v>
      </c>
      <c r="P10" t="s">
        <v>254</v>
      </c>
      <c r="Q10" t="s">
        <v>619</v>
      </c>
      <c r="R10" t="s">
        <v>66</v>
      </c>
      <c r="W10" t="s">
        <v>469</v>
      </c>
      <c r="X10" t="s">
        <v>68</v>
      </c>
      <c r="Y10" t="s">
        <v>612</v>
      </c>
      <c r="Z10" t="s">
        <v>613</v>
      </c>
      <c r="AA10" t="s">
        <v>161</v>
      </c>
      <c r="AB10" t="s">
        <v>124</v>
      </c>
      <c r="AC10" t="s">
        <v>614</v>
      </c>
      <c r="AD10">
        <v>9</v>
      </c>
      <c r="AE10">
        <v>2025</v>
      </c>
      <c r="AF10">
        <v>310</v>
      </c>
      <c r="AG10" t="s">
        <v>617</v>
      </c>
      <c r="AH10" t="s">
        <v>620</v>
      </c>
      <c r="AI10" t="s">
        <v>60</v>
      </c>
      <c r="AJ10" t="s">
        <v>60</v>
      </c>
      <c r="AK10" s="1">
        <v>45747</v>
      </c>
      <c r="AL10" t="s">
        <v>98</v>
      </c>
      <c r="AM10" s="41">
        <v>0.83333333333333337</v>
      </c>
      <c r="AN10" s="41">
        <v>0.83333333333333337</v>
      </c>
      <c r="AO10" t="s">
        <v>451</v>
      </c>
      <c r="AP10" t="s">
        <v>462</v>
      </c>
      <c r="AQ10">
        <v>14</v>
      </c>
      <c r="AR10">
        <v>6</v>
      </c>
      <c r="AS10">
        <v>31</v>
      </c>
      <c r="AT10">
        <v>90</v>
      </c>
      <c r="AU10" s="2">
        <v>45747.833333333336</v>
      </c>
      <c r="AV10" t="s">
        <v>582</v>
      </c>
    </row>
    <row r="11" spans="1:48" x14ac:dyDescent="0.3">
      <c r="A11" t="s">
        <v>606</v>
      </c>
      <c r="B11" t="s">
        <v>212</v>
      </c>
      <c r="C11" t="s">
        <v>96</v>
      </c>
      <c r="D11" t="s">
        <v>607</v>
      </c>
      <c r="E11" t="s">
        <v>59</v>
      </c>
      <c r="F11" t="s">
        <v>59</v>
      </c>
      <c r="G11" t="s">
        <v>60</v>
      </c>
      <c r="H11" t="s">
        <v>60</v>
      </c>
      <c r="I11" t="s">
        <v>608</v>
      </c>
      <c r="J11" t="s">
        <v>216</v>
      </c>
      <c r="L11" t="s">
        <v>609</v>
      </c>
      <c r="M11">
        <v>2</v>
      </c>
      <c r="N11">
        <v>0</v>
      </c>
      <c r="O11" t="s">
        <v>610</v>
      </c>
      <c r="P11" t="s">
        <v>254</v>
      </c>
      <c r="Q11" t="s">
        <v>611</v>
      </c>
      <c r="R11" t="s">
        <v>66</v>
      </c>
      <c r="W11" t="s">
        <v>469</v>
      </c>
      <c r="X11" t="s">
        <v>68</v>
      </c>
      <c r="Y11" t="s">
        <v>612</v>
      </c>
      <c r="Z11" t="s">
        <v>613</v>
      </c>
      <c r="AA11" t="s">
        <v>161</v>
      </c>
      <c r="AB11" t="s">
        <v>124</v>
      </c>
      <c r="AC11" t="s">
        <v>614</v>
      </c>
      <c r="AD11">
        <v>9</v>
      </c>
      <c r="AE11">
        <v>2025</v>
      </c>
      <c r="AF11">
        <v>310</v>
      </c>
      <c r="AG11" t="s">
        <v>609</v>
      </c>
      <c r="AH11" t="s">
        <v>615</v>
      </c>
      <c r="AI11" t="s">
        <v>60</v>
      </c>
      <c r="AJ11" t="s">
        <v>60</v>
      </c>
      <c r="AK11" s="1">
        <v>45747</v>
      </c>
      <c r="AL11" t="s">
        <v>79</v>
      </c>
      <c r="AM11" s="41">
        <v>0.75</v>
      </c>
      <c r="AN11" s="41">
        <v>0.75</v>
      </c>
      <c r="AO11" t="s">
        <v>451</v>
      </c>
      <c r="AP11" t="s">
        <v>462</v>
      </c>
      <c r="AQ11">
        <v>14</v>
      </c>
      <c r="AR11">
        <v>6</v>
      </c>
      <c r="AS11">
        <v>31</v>
      </c>
      <c r="AT11">
        <v>90</v>
      </c>
      <c r="AU11" s="2">
        <v>45747.75</v>
      </c>
      <c r="AV11" t="s">
        <v>582</v>
      </c>
    </row>
    <row r="12" spans="1:48" x14ac:dyDescent="0.3">
      <c r="A12" t="s">
        <v>590</v>
      </c>
      <c r="B12" t="s">
        <v>258</v>
      </c>
      <c r="C12" t="s">
        <v>77</v>
      </c>
      <c r="D12" t="s">
        <v>591</v>
      </c>
      <c r="E12" t="s">
        <v>133</v>
      </c>
      <c r="F12" t="s">
        <v>133</v>
      </c>
      <c r="G12" t="s">
        <v>60</v>
      </c>
      <c r="H12" t="s">
        <v>60</v>
      </c>
      <c r="I12" t="s">
        <v>592</v>
      </c>
      <c r="J12" t="s">
        <v>593</v>
      </c>
      <c r="K12">
        <v>7</v>
      </c>
      <c r="L12" t="s">
        <v>594</v>
      </c>
      <c r="W12" t="s">
        <v>569</v>
      </c>
      <c r="X12" t="s">
        <v>68</v>
      </c>
      <c r="Y12" t="s">
        <v>595</v>
      </c>
      <c r="Z12" t="s">
        <v>91</v>
      </c>
      <c r="AD12">
        <v>9</v>
      </c>
      <c r="AE12">
        <v>2025</v>
      </c>
      <c r="AF12">
        <v>100</v>
      </c>
      <c r="AG12" t="s">
        <v>594</v>
      </c>
      <c r="AI12" t="s">
        <v>596</v>
      </c>
      <c r="AJ12" t="s">
        <v>597</v>
      </c>
      <c r="AK12" s="1">
        <v>45747</v>
      </c>
      <c r="AL12" t="s">
        <v>55</v>
      </c>
      <c r="AM12" s="41">
        <v>0.5</v>
      </c>
      <c r="AN12" s="41">
        <v>0.5</v>
      </c>
      <c r="AO12" t="s">
        <v>451</v>
      </c>
      <c r="AP12" t="s">
        <v>462</v>
      </c>
      <c r="AQ12">
        <v>14</v>
      </c>
      <c r="AR12">
        <v>6</v>
      </c>
      <c r="AS12">
        <v>31</v>
      </c>
      <c r="AT12">
        <v>90</v>
      </c>
      <c r="AU12" s="2">
        <v>45747.5</v>
      </c>
      <c r="AV12" t="s">
        <v>582</v>
      </c>
    </row>
    <row r="13" spans="1:48" x14ac:dyDescent="0.3">
      <c r="A13" t="s">
        <v>706</v>
      </c>
      <c r="B13" t="s">
        <v>707</v>
      </c>
      <c r="C13" t="s">
        <v>96</v>
      </c>
      <c r="D13" t="s">
        <v>707</v>
      </c>
      <c r="E13" t="s">
        <v>708</v>
      </c>
      <c r="F13" t="s">
        <v>59</v>
      </c>
      <c r="G13" t="s">
        <v>83</v>
      </c>
      <c r="H13" t="s">
        <v>709</v>
      </c>
      <c r="I13" t="s">
        <v>710</v>
      </c>
      <c r="J13" t="s">
        <v>135</v>
      </c>
      <c r="K13">
        <v>7</v>
      </c>
      <c r="L13" t="s">
        <v>711</v>
      </c>
      <c r="O13" t="s">
        <v>712</v>
      </c>
      <c r="P13" t="s">
        <v>713</v>
      </c>
      <c r="Q13" t="s">
        <v>714</v>
      </c>
      <c r="R13" t="s">
        <v>66</v>
      </c>
      <c r="W13" t="s">
        <v>469</v>
      </c>
      <c r="X13" t="s">
        <v>68</v>
      </c>
      <c r="Y13" t="s">
        <v>715</v>
      </c>
      <c r="Z13" t="s">
        <v>91</v>
      </c>
      <c r="AD13">
        <v>9</v>
      </c>
      <c r="AE13">
        <v>2025</v>
      </c>
      <c r="AG13" t="s">
        <v>711</v>
      </c>
      <c r="AH13" t="s">
        <v>716</v>
      </c>
      <c r="AI13" t="s">
        <v>60</v>
      </c>
      <c r="AJ13" t="s">
        <v>717</v>
      </c>
      <c r="AK13" s="1">
        <v>45747</v>
      </c>
      <c r="AL13" t="s">
        <v>79</v>
      </c>
      <c r="AM13" s="41">
        <v>0.75</v>
      </c>
      <c r="AN13" s="41">
        <v>0.77777777777777779</v>
      </c>
      <c r="AO13" t="s">
        <v>451</v>
      </c>
      <c r="AP13" t="s">
        <v>462</v>
      </c>
      <c r="AQ13">
        <v>14</v>
      </c>
      <c r="AR13">
        <v>6</v>
      </c>
      <c r="AS13">
        <v>31</v>
      </c>
      <c r="AT13">
        <v>90</v>
      </c>
      <c r="AU13" s="2">
        <v>45747.777777777781</v>
      </c>
      <c r="AV13" t="s">
        <v>582</v>
      </c>
    </row>
    <row r="14" spans="1:48" x14ac:dyDescent="0.3">
      <c r="A14" t="s">
        <v>621</v>
      </c>
      <c r="B14" t="s">
        <v>57</v>
      </c>
      <c r="C14" t="s">
        <v>110</v>
      </c>
      <c r="D14" t="s">
        <v>622</v>
      </c>
      <c r="E14" t="s">
        <v>59</v>
      </c>
      <c r="F14" t="s">
        <v>59</v>
      </c>
      <c r="G14" t="s">
        <v>60</v>
      </c>
      <c r="H14" t="s">
        <v>60</v>
      </c>
      <c r="I14" t="s">
        <v>623</v>
      </c>
      <c r="J14" t="s">
        <v>328</v>
      </c>
      <c r="K14">
        <v>7</v>
      </c>
      <c r="L14" t="s">
        <v>624</v>
      </c>
      <c r="O14" t="s">
        <v>625</v>
      </c>
      <c r="P14" t="s">
        <v>626</v>
      </c>
      <c r="Q14" t="s">
        <v>627</v>
      </c>
      <c r="R14" t="s">
        <v>66</v>
      </c>
      <c r="W14" t="s">
        <v>67</v>
      </c>
      <c r="X14" t="s">
        <v>68</v>
      </c>
      <c r="Y14" t="s">
        <v>331</v>
      </c>
      <c r="Z14" t="s">
        <v>70</v>
      </c>
      <c r="AA14" t="s">
        <v>161</v>
      </c>
      <c r="AB14" t="s">
        <v>72</v>
      </c>
      <c r="AD14">
        <v>9</v>
      </c>
      <c r="AE14">
        <v>2025</v>
      </c>
      <c r="AF14">
        <v>77</v>
      </c>
      <c r="AG14" t="s">
        <v>624</v>
      </c>
      <c r="AH14" t="s">
        <v>628</v>
      </c>
      <c r="AI14" t="s">
        <v>60</v>
      </c>
      <c r="AJ14" t="s">
        <v>60</v>
      </c>
      <c r="AK14" s="1">
        <v>45748</v>
      </c>
      <c r="AL14" t="s">
        <v>98</v>
      </c>
      <c r="AM14" s="41">
        <v>0.83333333333333337</v>
      </c>
      <c r="AN14" s="41">
        <v>0.85324074074074074</v>
      </c>
      <c r="AO14" t="s">
        <v>452</v>
      </c>
      <c r="AP14" t="s">
        <v>599</v>
      </c>
      <c r="AQ14">
        <v>14</v>
      </c>
      <c r="AR14">
        <v>1</v>
      </c>
      <c r="AS14">
        <v>1</v>
      </c>
      <c r="AT14">
        <v>91</v>
      </c>
      <c r="AU14" s="2">
        <v>45748.852777777778</v>
      </c>
      <c r="AV14" t="s">
        <v>605</v>
      </c>
    </row>
    <row r="15" spans="1:48" x14ac:dyDescent="0.3">
      <c r="A15" t="s">
        <v>598</v>
      </c>
      <c r="B15" t="s">
        <v>600</v>
      </c>
      <c r="C15" t="s">
        <v>77</v>
      </c>
      <c r="D15" t="s">
        <v>601</v>
      </c>
      <c r="E15" t="s">
        <v>133</v>
      </c>
      <c r="F15" t="s">
        <v>133</v>
      </c>
      <c r="G15" t="s">
        <v>60</v>
      </c>
      <c r="H15" t="s">
        <v>60</v>
      </c>
      <c r="I15" t="s">
        <v>602</v>
      </c>
      <c r="J15" t="s">
        <v>146</v>
      </c>
      <c r="K15">
        <v>5</v>
      </c>
      <c r="L15" t="s">
        <v>603</v>
      </c>
      <c r="W15" t="s">
        <v>158</v>
      </c>
      <c r="X15" t="s">
        <v>68</v>
      </c>
      <c r="Y15" t="s">
        <v>604</v>
      </c>
      <c r="Z15" t="s">
        <v>207</v>
      </c>
      <c r="AA15" t="s">
        <v>525</v>
      </c>
      <c r="AB15" t="s">
        <v>124</v>
      </c>
      <c r="AD15">
        <v>9</v>
      </c>
      <c r="AE15">
        <v>2025</v>
      </c>
      <c r="AF15">
        <v>75</v>
      </c>
      <c r="AG15" t="s">
        <v>603</v>
      </c>
      <c r="AI15" t="s">
        <v>60</v>
      </c>
      <c r="AJ15" t="s">
        <v>60</v>
      </c>
      <c r="AK15" s="1">
        <v>45748</v>
      </c>
      <c r="AL15" t="s">
        <v>55</v>
      </c>
      <c r="AM15" s="41">
        <v>0.5</v>
      </c>
      <c r="AN15" s="41">
        <v>0.5</v>
      </c>
      <c r="AO15" t="s">
        <v>452</v>
      </c>
      <c r="AP15" t="s">
        <v>599</v>
      </c>
      <c r="AQ15">
        <v>14</v>
      </c>
      <c r="AR15">
        <v>1</v>
      </c>
      <c r="AS15">
        <v>1</v>
      </c>
      <c r="AT15">
        <v>91</v>
      </c>
      <c r="AU15" s="2">
        <v>45748.5</v>
      </c>
      <c r="AV15" t="s">
        <v>605</v>
      </c>
    </row>
    <row r="16" spans="1:48" x14ac:dyDescent="0.3">
      <c r="A16" t="s">
        <v>641</v>
      </c>
      <c r="B16" t="s">
        <v>642</v>
      </c>
      <c r="C16" t="s">
        <v>110</v>
      </c>
      <c r="D16" t="s">
        <v>643</v>
      </c>
      <c r="E16" t="s">
        <v>644</v>
      </c>
      <c r="F16" t="s">
        <v>645</v>
      </c>
      <c r="G16" t="s">
        <v>413</v>
      </c>
      <c r="H16" t="s">
        <v>401</v>
      </c>
      <c r="I16" t="s">
        <v>646</v>
      </c>
      <c r="J16" t="s">
        <v>102</v>
      </c>
      <c r="K16">
        <v>8</v>
      </c>
      <c r="L16" t="s">
        <v>647</v>
      </c>
      <c r="W16" t="s">
        <v>158</v>
      </c>
      <c r="X16" t="s">
        <v>68</v>
      </c>
      <c r="Y16" t="s">
        <v>648</v>
      </c>
      <c r="Z16" t="s">
        <v>352</v>
      </c>
      <c r="AA16" t="s">
        <v>353</v>
      </c>
      <c r="AB16" t="s">
        <v>419</v>
      </c>
      <c r="AD16">
        <v>9</v>
      </c>
      <c r="AE16">
        <v>2025</v>
      </c>
      <c r="AF16">
        <v>260</v>
      </c>
      <c r="AG16" t="s">
        <v>647</v>
      </c>
      <c r="AI16" t="s">
        <v>60</v>
      </c>
      <c r="AJ16" t="s">
        <v>60</v>
      </c>
      <c r="AK16" s="1">
        <v>45749</v>
      </c>
      <c r="AL16" t="s">
        <v>98</v>
      </c>
      <c r="AM16" s="41">
        <v>0.875</v>
      </c>
      <c r="AN16" s="41">
        <v>0.89930555555555558</v>
      </c>
      <c r="AO16" t="s">
        <v>453</v>
      </c>
      <c r="AP16" t="s">
        <v>599</v>
      </c>
      <c r="AQ16">
        <v>14</v>
      </c>
      <c r="AR16">
        <v>1</v>
      </c>
      <c r="AS16">
        <v>2</v>
      </c>
      <c r="AT16">
        <v>92</v>
      </c>
      <c r="AU16" s="2">
        <v>45749.899305555555</v>
      </c>
      <c r="AV16" t="s">
        <v>605</v>
      </c>
    </row>
    <row r="17" spans="1:48" x14ac:dyDescent="0.3">
      <c r="A17" t="s">
        <v>718</v>
      </c>
      <c r="B17" t="s">
        <v>719</v>
      </c>
      <c r="C17" t="s">
        <v>173</v>
      </c>
      <c r="D17" t="s">
        <v>720</v>
      </c>
      <c r="E17" t="s">
        <v>721</v>
      </c>
      <c r="F17" t="s">
        <v>59</v>
      </c>
      <c r="G17" t="s">
        <v>362</v>
      </c>
      <c r="H17" t="s">
        <v>722</v>
      </c>
      <c r="I17" t="s">
        <v>723</v>
      </c>
      <c r="J17" t="s">
        <v>593</v>
      </c>
      <c r="K17">
        <v>7</v>
      </c>
      <c r="L17" t="s">
        <v>724</v>
      </c>
      <c r="O17" t="s">
        <v>725</v>
      </c>
      <c r="P17" t="s">
        <v>501</v>
      </c>
      <c r="Q17" t="s">
        <v>726</v>
      </c>
      <c r="R17" t="s">
        <v>66</v>
      </c>
      <c r="W17" t="s">
        <v>727</v>
      </c>
      <c r="X17" t="s">
        <v>68</v>
      </c>
      <c r="Y17" t="s">
        <v>90</v>
      </c>
      <c r="Z17" t="s">
        <v>91</v>
      </c>
      <c r="AD17">
        <v>9</v>
      </c>
      <c r="AE17">
        <v>2025</v>
      </c>
      <c r="AF17">
        <v>120</v>
      </c>
      <c r="AG17" t="s">
        <v>724</v>
      </c>
      <c r="AH17" t="s">
        <v>728</v>
      </c>
      <c r="AI17" t="s">
        <v>729</v>
      </c>
      <c r="AJ17" t="s">
        <v>730</v>
      </c>
      <c r="AK17" s="1">
        <v>45755</v>
      </c>
      <c r="AL17" t="s">
        <v>163</v>
      </c>
      <c r="AM17" s="41">
        <v>0</v>
      </c>
      <c r="AN17" s="41">
        <v>3.2638888888888891E-2</v>
      </c>
      <c r="AO17" t="s">
        <v>452</v>
      </c>
      <c r="AP17" t="s">
        <v>599</v>
      </c>
      <c r="AQ17">
        <v>15</v>
      </c>
      <c r="AR17">
        <v>2</v>
      </c>
      <c r="AS17">
        <v>8</v>
      </c>
      <c r="AT17">
        <v>98</v>
      </c>
      <c r="AU17" s="2">
        <v>45755.032638888886</v>
      </c>
      <c r="AV17" t="s">
        <v>731</v>
      </c>
    </row>
    <row r="18" spans="1:48" x14ac:dyDescent="0.3">
      <c r="A18" t="s">
        <v>800</v>
      </c>
      <c r="B18" t="s">
        <v>801</v>
      </c>
      <c r="C18" t="s">
        <v>110</v>
      </c>
      <c r="D18" t="s">
        <v>802</v>
      </c>
      <c r="E18" t="s">
        <v>59</v>
      </c>
      <c r="F18" t="s">
        <v>59</v>
      </c>
      <c r="G18" t="s">
        <v>60</v>
      </c>
      <c r="H18" t="s">
        <v>60</v>
      </c>
      <c r="I18" t="s">
        <v>803</v>
      </c>
      <c r="J18" t="s">
        <v>156</v>
      </c>
      <c r="K18">
        <v>8</v>
      </c>
      <c r="L18" t="s">
        <v>804</v>
      </c>
      <c r="O18" t="s">
        <v>805</v>
      </c>
      <c r="P18" t="s">
        <v>556</v>
      </c>
      <c r="Q18" t="s">
        <v>806</v>
      </c>
      <c r="R18" t="s">
        <v>66</v>
      </c>
      <c r="W18" t="s">
        <v>417</v>
      </c>
      <c r="X18" t="s">
        <v>68</v>
      </c>
      <c r="Y18" t="s">
        <v>245</v>
      </c>
      <c r="Z18" t="s">
        <v>207</v>
      </c>
      <c r="AA18" t="s">
        <v>525</v>
      </c>
      <c r="AB18" t="s">
        <v>124</v>
      </c>
      <c r="AD18">
        <v>9</v>
      </c>
      <c r="AE18">
        <v>2025</v>
      </c>
      <c r="AF18">
        <v>283</v>
      </c>
      <c r="AG18" t="s">
        <v>804</v>
      </c>
      <c r="AH18" t="s">
        <v>807</v>
      </c>
      <c r="AI18" t="s">
        <v>808</v>
      </c>
      <c r="AJ18" t="s">
        <v>809</v>
      </c>
      <c r="AK18" s="1">
        <v>45756</v>
      </c>
      <c r="AL18" t="s">
        <v>98</v>
      </c>
      <c r="AM18" s="41">
        <v>0.95833333333333337</v>
      </c>
      <c r="AN18" s="41">
        <v>0.96527777777777779</v>
      </c>
      <c r="AO18" t="s">
        <v>453</v>
      </c>
      <c r="AP18" t="s">
        <v>599</v>
      </c>
      <c r="AQ18">
        <v>15</v>
      </c>
      <c r="AR18">
        <v>2</v>
      </c>
      <c r="AS18">
        <v>9</v>
      </c>
      <c r="AT18">
        <v>99</v>
      </c>
      <c r="AU18" s="2">
        <v>45756.965277777781</v>
      </c>
      <c r="AV18" t="s">
        <v>731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92AC3-B238-49ED-B842-A56B8E4EAF1B}">
  <sheetPr codeName="Sheet1">
    <tabColor rgb="FF00B050"/>
  </sheetPr>
  <dimension ref="A1:AW122"/>
  <sheetViews>
    <sheetView workbookViewId="0">
      <selection sqref="A1:AS122"/>
    </sheetView>
  </sheetViews>
  <sheetFormatPr defaultRowHeight="14.4" x14ac:dyDescent="0.3"/>
  <cols>
    <col min="1" max="1" width="16.6640625" bestFit="1" customWidth="1"/>
    <col min="2" max="2" width="13.88671875" style="5" bestFit="1" customWidth="1"/>
    <col min="3" max="3" width="23.21875" style="5" bestFit="1" customWidth="1"/>
    <col min="4" max="4" width="16.21875" bestFit="1" customWidth="1"/>
    <col min="5" max="5" width="13.77734375" bestFit="1" customWidth="1"/>
    <col min="6" max="6" width="14.109375" bestFit="1" customWidth="1"/>
    <col min="7" max="7" width="16.6640625" bestFit="1" customWidth="1"/>
    <col min="8" max="9" width="33.6640625" bestFit="1" customWidth="1"/>
    <col min="10" max="10" width="36.109375" bestFit="1" customWidth="1"/>
    <col min="11" max="11" width="19" bestFit="1" customWidth="1"/>
    <col min="12" max="12" width="22.77734375" bestFit="1" customWidth="1"/>
    <col min="13" max="13" width="19" bestFit="1" customWidth="1"/>
    <col min="14" max="14" width="53.33203125" bestFit="1" customWidth="1"/>
    <col min="15" max="15" width="8.88671875" bestFit="1" customWidth="1"/>
    <col min="16" max="16" width="9.6640625" bestFit="1" customWidth="1"/>
    <col min="17" max="17" width="80.88671875" bestFit="1" customWidth="1"/>
    <col min="18" max="18" width="20.77734375" bestFit="1" customWidth="1"/>
    <col min="19" max="19" width="22.33203125" bestFit="1" customWidth="1"/>
    <col min="20" max="20" width="16.88671875" bestFit="1" customWidth="1"/>
    <col min="21" max="21" width="11.21875" bestFit="1" customWidth="1"/>
    <col min="22" max="22" width="11.88671875" bestFit="1" customWidth="1"/>
    <col min="23" max="23" width="14.77734375" bestFit="1" customWidth="1"/>
    <col min="24" max="24" width="16.88671875" bestFit="1" customWidth="1"/>
    <col min="25" max="25" width="14.77734375" bestFit="1" customWidth="1"/>
    <col min="26" max="26" width="11.21875" bestFit="1" customWidth="1"/>
    <col min="27" max="27" width="11.88671875" bestFit="1" customWidth="1"/>
    <col min="28" max="28" width="16.109375" bestFit="1" customWidth="1"/>
    <col min="29" max="29" width="23.21875" bestFit="1" customWidth="1"/>
    <col min="30" max="30" width="10.77734375" bestFit="1" customWidth="1"/>
    <col min="31" max="31" width="25" bestFit="1" customWidth="1"/>
    <col min="32" max="32" width="26.109375" bestFit="1" customWidth="1"/>
    <col min="33" max="33" width="42.44140625" bestFit="1" customWidth="1"/>
    <col min="34" max="34" width="9.109375" bestFit="1" customWidth="1"/>
    <col min="35" max="35" width="16.5546875" bestFit="1" customWidth="1"/>
    <col min="36" max="36" width="18.77734375" bestFit="1" customWidth="1"/>
    <col min="37" max="37" width="8.6640625" bestFit="1" customWidth="1"/>
    <col min="38" max="38" width="15" bestFit="1" customWidth="1"/>
    <col min="39" max="39" width="24.21875" bestFit="1" customWidth="1"/>
    <col min="40" max="40" width="8.109375" bestFit="1" customWidth="1"/>
    <col min="41" max="41" width="80.88671875" bestFit="1" customWidth="1"/>
    <col min="42" max="42" width="32.88671875" bestFit="1" customWidth="1"/>
    <col min="43" max="44" width="80.88671875" bestFit="1" customWidth="1"/>
    <col min="45" max="45" width="18.33203125" bestFit="1" customWidth="1"/>
    <col min="46" max="46" width="12.77734375" bestFit="1" customWidth="1"/>
    <col min="47" max="47" width="22" bestFit="1" customWidth="1"/>
    <col min="48" max="48" width="5.88671875" bestFit="1" customWidth="1"/>
    <col min="49" max="49" width="80.88671875" style="42" bestFit="1" customWidth="1"/>
    <col min="50" max="50" width="32.88671875" bestFit="1" customWidth="1"/>
    <col min="51" max="52" width="80.88671875" bestFit="1" customWidth="1"/>
    <col min="53" max="53" width="16.109375" bestFit="1" customWidth="1"/>
    <col min="54" max="54" width="23.21875" bestFit="1" customWidth="1"/>
    <col min="55" max="55" width="24.88671875" bestFit="1" customWidth="1"/>
  </cols>
  <sheetData>
    <row r="1" spans="1:49" x14ac:dyDescent="0.3">
      <c r="A1" s="40" t="s">
        <v>0</v>
      </c>
      <c r="B1" s="40" t="s">
        <v>1</v>
      </c>
      <c r="C1" s="40" t="s">
        <v>53</v>
      </c>
      <c r="D1" s="143" t="s">
        <v>3</v>
      </c>
      <c r="E1" s="143" t="s">
        <v>4</v>
      </c>
      <c r="F1" s="40" t="s">
        <v>5</v>
      </c>
      <c r="G1" s="40" t="s">
        <v>6</v>
      </c>
      <c r="H1" s="40" t="s">
        <v>7</v>
      </c>
      <c r="I1" s="40" t="s">
        <v>8</v>
      </c>
      <c r="J1" s="40" t="s">
        <v>10</v>
      </c>
      <c r="K1" s="40" t="s">
        <v>9</v>
      </c>
      <c r="L1" s="40" t="s">
        <v>11</v>
      </c>
      <c r="M1" s="40" t="s">
        <v>12</v>
      </c>
      <c r="N1" s="40" t="s">
        <v>13</v>
      </c>
      <c r="O1" s="40" t="s">
        <v>14</v>
      </c>
      <c r="P1" s="40" t="s">
        <v>15</v>
      </c>
      <c r="Q1" s="40" t="s">
        <v>16</v>
      </c>
      <c r="R1" s="40" t="s">
        <v>17</v>
      </c>
      <c r="S1" s="40" t="s">
        <v>18</v>
      </c>
      <c r="T1" s="40" t="s">
        <v>19</v>
      </c>
      <c r="U1" s="40" t="s">
        <v>20</v>
      </c>
      <c r="V1" s="40" t="s">
        <v>21</v>
      </c>
      <c r="W1" s="40" t="s">
        <v>22</v>
      </c>
      <c r="X1" s="40" t="s">
        <v>23</v>
      </c>
      <c r="Y1" s="40" t="s">
        <v>24</v>
      </c>
      <c r="Z1" s="40" t="s">
        <v>25</v>
      </c>
      <c r="AA1" s="40" t="s">
        <v>26</v>
      </c>
      <c r="AB1" s="40" t="s">
        <v>27</v>
      </c>
      <c r="AC1" s="40" t="s">
        <v>29</v>
      </c>
      <c r="AD1" s="40" t="s">
        <v>30</v>
      </c>
      <c r="AE1" s="40" t="s">
        <v>31</v>
      </c>
      <c r="AF1" s="40" t="s">
        <v>32</v>
      </c>
      <c r="AG1" s="40" t="s">
        <v>33</v>
      </c>
      <c r="AH1" s="40" t="s">
        <v>41</v>
      </c>
      <c r="AI1" s="40" t="s">
        <v>42</v>
      </c>
      <c r="AJ1" s="40" t="s">
        <v>43</v>
      </c>
      <c r="AK1" s="40" t="s">
        <v>44</v>
      </c>
      <c r="AL1" s="40" t="s">
        <v>45</v>
      </c>
      <c r="AM1" s="40" t="s">
        <v>46</v>
      </c>
      <c r="AN1" s="40" t="s">
        <v>47</v>
      </c>
      <c r="AO1" s="144" t="s">
        <v>460</v>
      </c>
      <c r="AP1" s="40" t="s">
        <v>49</v>
      </c>
      <c r="AQ1" s="40" t="s">
        <v>50</v>
      </c>
      <c r="AR1" s="40" t="s">
        <v>51</v>
      </c>
      <c r="AS1" s="40" t="s">
        <v>52</v>
      </c>
      <c r="AW1"/>
    </row>
    <row r="2" spans="1:49" x14ac:dyDescent="0.3">
      <c r="A2" t="s">
        <v>54</v>
      </c>
      <c r="B2" s="1">
        <v>45663</v>
      </c>
      <c r="C2" t="s">
        <v>77</v>
      </c>
      <c r="D2" s="5">
        <v>0.625</v>
      </c>
      <c r="E2" s="5">
        <v>0.64583333333333337</v>
      </c>
      <c r="F2" t="s">
        <v>451</v>
      </c>
      <c r="G2" t="s">
        <v>56</v>
      </c>
      <c r="H2" t="s">
        <v>57</v>
      </c>
      <c r="I2" t="s">
        <v>58</v>
      </c>
      <c r="J2" t="s">
        <v>59</v>
      </c>
      <c r="K2" t="s">
        <v>59</v>
      </c>
      <c r="L2" t="s">
        <v>60</v>
      </c>
      <c r="M2" t="s">
        <v>60</v>
      </c>
      <c r="N2" t="s">
        <v>61</v>
      </c>
      <c r="P2">
        <v>7</v>
      </c>
      <c r="Q2" t="s">
        <v>62</v>
      </c>
      <c r="T2" t="s">
        <v>63</v>
      </c>
      <c r="U2" t="s">
        <v>64</v>
      </c>
      <c r="V2" t="s">
        <v>65</v>
      </c>
      <c r="W2" t="s">
        <v>66</v>
      </c>
      <c r="AB2" t="s">
        <v>67</v>
      </c>
      <c r="AC2" t="s">
        <v>69</v>
      </c>
      <c r="AD2" t="s">
        <v>70</v>
      </c>
      <c r="AE2" t="s">
        <v>71</v>
      </c>
      <c r="AF2" t="s">
        <v>72</v>
      </c>
      <c r="AG2" t="s">
        <v>73</v>
      </c>
      <c r="AH2">
        <v>2025</v>
      </c>
      <c r="AI2">
        <v>2</v>
      </c>
      <c r="AJ2">
        <v>2</v>
      </c>
      <c r="AK2">
        <v>6</v>
      </c>
      <c r="AL2">
        <v>6</v>
      </c>
      <c r="AM2" s="2">
        <v>45663.645833333336</v>
      </c>
      <c r="AN2">
        <v>90</v>
      </c>
      <c r="AO2" t="s">
        <v>62</v>
      </c>
      <c r="AP2" t="s">
        <v>74</v>
      </c>
      <c r="AQ2" t="s">
        <v>75</v>
      </c>
      <c r="AR2" t="s">
        <v>76</v>
      </c>
      <c r="AS2" t="s">
        <v>515</v>
      </c>
      <c r="AW2"/>
    </row>
    <row r="3" spans="1:49" x14ac:dyDescent="0.3">
      <c r="A3" t="s">
        <v>78</v>
      </c>
      <c r="B3" s="1">
        <v>45682</v>
      </c>
      <c r="C3" t="s">
        <v>96</v>
      </c>
      <c r="D3" s="5">
        <v>0.75</v>
      </c>
      <c r="E3" s="5">
        <v>0.76875000000000004</v>
      </c>
      <c r="F3" t="s">
        <v>456</v>
      </c>
      <c r="G3" t="s">
        <v>56</v>
      </c>
      <c r="H3" t="s">
        <v>80</v>
      </c>
      <c r="I3" t="s">
        <v>81</v>
      </c>
      <c r="J3" t="s">
        <v>82</v>
      </c>
      <c r="K3" t="s">
        <v>59</v>
      </c>
      <c r="L3" t="s">
        <v>83</v>
      </c>
      <c r="M3" t="s">
        <v>60</v>
      </c>
      <c r="N3" t="s">
        <v>84</v>
      </c>
      <c r="O3" t="s">
        <v>85</v>
      </c>
      <c r="P3">
        <v>8</v>
      </c>
      <c r="Q3" t="s">
        <v>86</v>
      </c>
      <c r="T3" t="s">
        <v>87</v>
      </c>
      <c r="U3" t="s">
        <v>64</v>
      </c>
      <c r="V3" t="s">
        <v>88</v>
      </c>
      <c r="W3" t="s">
        <v>66</v>
      </c>
      <c r="AB3" t="s">
        <v>89</v>
      </c>
      <c r="AC3" t="s">
        <v>90</v>
      </c>
      <c r="AD3" t="s">
        <v>91</v>
      </c>
      <c r="AE3" t="s">
        <v>92</v>
      </c>
      <c r="AF3" t="s">
        <v>93</v>
      </c>
      <c r="AG3" t="s">
        <v>73</v>
      </c>
      <c r="AH3">
        <v>2025</v>
      </c>
      <c r="AI3">
        <v>4</v>
      </c>
      <c r="AJ3">
        <v>4</v>
      </c>
      <c r="AK3">
        <v>25</v>
      </c>
      <c r="AL3">
        <v>25</v>
      </c>
      <c r="AM3" s="2">
        <v>45682.768750000003</v>
      </c>
      <c r="AN3">
        <v>206</v>
      </c>
      <c r="AO3" t="s">
        <v>86</v>
      </c>
      <c r="AP3" t="s">
        <v>94</v>
      </c>
      <c r="AQ3" t="s">
        <v>95</v>
      </c>
      <c r="AR3" t="s">
        <v>60</v>
      </c>
      <c r="AS3" t="s">
        <v>512</v>
      </c>
      <c r="AW3"/>
    </row>
    <row r="4" spans="1:49" x14ac:dyDescent="0.3">
      <c r="A4" t="s">
        <v>97</v>
      </c>
      <c r="B4" s="1">
        <v>45683</v>
      </c>
      <c r="C4" t="s">
        <v>110</v>
      </c>
      <c r="D4" s="5">
        <v>0.83333333333333337</v>
      </c>
      <c r="E4" s="5">
        <v>0.84027777777777779</v>
      </c>
      <c r="F4" t="s">
        <v>459</v>
      </c>
      <c r="G4" t="s">
        <v>56</v>
      </c>
      <c r="H4" t="s">
        <v>99</v>
      </c>
      <c r="I4" t="s">
        <v>100</v>
      </c>
      <c r="J4" t="s">
        <v>82</v>
      </c>
      <c r="K4" t="s">
        <v>59</v>
      </c>
      <c r="L4" t="s">
        <v>83</v>
      </c>
      <c r="M4" t="s">
        <v>60</v>
      </c>
      <c r="N4" t="s">
        <v>101</v>
      </c>
      <c r="O4" t="s">
        <v>102</v>
      </c>
      <c r="P4">
        <v>9</v>
      </c>
      <c r="Q4" t="s">
        <v>103</v>
      </c>
      <c r="T4" t="s">
        <v>104</v>
      </c>
      <c r="U4" t="s">
        <v>64</v>
      </c>
      <c r="V4" t="s">
        <v>105</v>
      </c>
      <c r="W4" t="s">
        <v>66</v>
      </c>
      <c r="AB4" t="s">
        <v>67</v>
      </c>
      <c r="AC4" t="s">
        <v>106</v>
      </c>
      <c r="AD4" t="s">
        <v>70</v>
      </c>
      <c r="AE4" t="s">
        <v>107</v>
      </c>
      <c r="AF4" t="s">
        <v>72</v>
      </c>
      <c r="AG4" t="s">
        <v>73</v>
      </c>
      <c r="AH4">
        <v>2025</v>
      </c>
      <c r="AI4">
        <v>5</v>
      </c>
      <c r="AJ4">
        <v>5</v>
      </c>
      <c r="AK4">
        <v>26</v>
      </c>
      <c r="AL4">
        <v>26</v>
      </c>
      <c r="AM4" s="2">
        <v>45683.840277777781</v>
      </c>
      <c r="AN4">
        <v>5</v>
      </c>
      <c r="AO4" t="s">
        <v>103</v>
      </c>
      <c r="AP4" t="s">
        <v>108</v>
      </c>
      <c r="AQ4" t="s">
        <v>60</v>
      </c>
      <c r="AR4" t="s">
        <v>109</v>
      </c>
      <c r="AS4" t="s">
        <v>512</v>
      </c>
      <c r="AW4"/>
    </row>
    <row r="5" spans="1:49" x14ac:dyDescent="0.3">
      <c r="A5" t="s">
        <v>111</v>
      </c>
      <c r="B5" s="1">
        <v>45701</v>
      </c>
      <c r="C5" t="s">
        <v>96</v>
      </c>
      <c r="D5" s="5">
        <v>0.66666666666666663</v>
      </c>
      <c r="E5" s="5">
        <v>0.66666666666666663</v>
      </c>
      <c r="F5" t="s">
        <v>537</v>
      </c>
      <c r="G5" t="s">
        <v>112</v>
      </c>
      <c r="H5" t="s">
        <v>113</v>
      </c>
      <c r="I5" t="s">
        <v>113</v>
      </c>
      <c r="J5" t="s">
        <v>59</v>
      </c>
      <c r="K5" t="s">
        <v>59</v>
      </c>
      <c r="L5" t="s">
        <v>60</v>
      </c>
      <c r="M5" t="s">
        <v>60</v>
      </c>
      <c r="N5" t="s">
        <v>114</v>
      </c>
      <c r="O5" t="s">
        <v>115</v>
      </c>
      <c r="P5">
        <v>6</v>
      </c>
      <c r="Q5" t="s">
        <v>116</v>
      </c>
      <c r="T5" t="s">
        <v>117</v>
      </c>
      <c r="U5" t="s">
        <v>118</v>
      </c>
      <c r="V5" t="s">
        <v>119</v>
      </c>
      <c r="W5" t="s">
        <v>66</v>
      </c>
      <c r="AB5" t="s">
        <v>120</v>
      </c>
      <c r="AC5" t="s">
        <v>121</v>
      </c>
      <c r="AD5" t="s">
        <v>122</v>
      </c>
      <c r="AE5" t="s">
        <v>123</v>
      </c>
      <c r="AF5" t="s">
        <v>124</v>
      </c>
      <c r="AG5" t="s">
        <v>73</v>
      </c>
      <c r="AH5">
        <v>2025</v>
      </c>
      <c r="AI5">
        <v>7</v>
      </c>
      <c r="AJ5">
        <v>3</v>
      </c>
      <c r="AK5">
        <v>13</v>
      </c>
      <c r="AL5">
        <v>44</v>
      </c>
      <c r="AM5" s="2">
        <v>45701.666666666664</v>
      </c>
      <c r="AO5" t="s">
        <v>116</v>
      </c>
      <c r="AP5" t="s">
        <v>125</v>
      </c>
      <c r="AQ5" t="s">
        <v>126</v>
      </c>
      <c r="AR5" t="s">
        <v>127</v>
      </c>
      <c r="AS5" t="s">
        <v>509</v>
      </c>
      <c r="AW5"/>
    </row>
    <row r="6" spans="1:49" x14ac:dyDescent="0.3">
      <c r="A6" t="s">
        <v>54</v>
      </c>
      <c r="B6" s="1">
        <v>45663</v>
      </c>
      <c r="C6" t="s">
        <v>77</v>
      </c>
      <c r="D6" s="5">
        <v>0.625</v>
      </c>
      <c r="E6" s="5">
        <v>0.64583333333333337</v>
      </c>
      <c r="F6" t="s">
        <v>451</v>
      </c>
      <c r="G6" t="s">
        <v>56</v>
      </c>
      <c r="H6" t="s">
        <v>57</v>
      </c>
      <c r="I6" t="s">
        <v>58</v>
      </c>
      <c r="J6" t="s">
        <v>59</v>
      </c>
      <c r="K6" t="s">
        <v>59</v>
      </c>
      <c r="L6" t="s">
        <v>60</v>
      </c>
      <c r="M6" t="s">
        <v>60</v>
      </c>
      <c r="N6" t="s">
        <v>61</v>
      </c>
      <c r="P6">
        <v>7</v>
      </c>
      <c r="Q6" t="s">
        <v>62</v>
      </c>
      <c r="T6" t="s">
        <v>63</v>
      </c>
      <c r="U6" t="s">
        <v>64</v>
      </c>
      <c r="V6" t="s">
        <v>65</v>
      </c>
      <c r="W6" t="s">
        <v>66</v>
      </c>
      <c r="AB6" t="s">
        <v>67</v>
      </c>
      <c r="AC6" t="s">
        <v>69</v>
      </c>
      <c r="AD6" t="s">
        <v>70</v>
      </c>
      <c r="AE6" t="s">
        <v>71</v>
      </c>
      <c r="AF6" t="s">
        <v>72</v>
      </c>
      <c r="AG6" t="s">
        <v>73</v>
      </c>
      <c r="AH6">
        <v>2025</v>
      </c>
      <c r="AI6">
        <v>2</v>
      </c>
      <c r="AJ6">
        <v>2</v>
      </c>
      <c r="AK6">
        <v>6</v>
      </c>
      <c r="AL6">
        <v>6</v>
      </c>
      <c r="AM6" s="2">
        <v>45663.645833333336</v>
      </c>
      <c r="AN6">
        <v>90</v>
      </c>
      <c r="AO6" t="s">
        <v>62</v>
      </c>
      <c r="AP6" t="s">
        <v>74</v>
      </c>
      <c r="AQ6" t="s">
        <v>75</v>
      </c>
      <c r="AR6" t="s">
        <v>76</v>
      </c>
      <c r="AS6" t="s">
        <v>515</v>
      </c>
      <c r="AW6"/>
    </row>
    <row r="7" spans="1:49" x14ac:dyDescent="0.3">
      <c r="A7" t="s">
        <v>78</v>
      </c>
      <c r="B7" s="1">
        <v>45682</v>
      </c>
      <c r="C7" t="s">
        <v>96</v>
      </c>
      <c r="D7" s="5">
        <v>0.75</v>
      </c>
      <c r="E7" s="5">
        <v>0.76875000000000004</v>
      </c>
      <c r="F7" t="s">
        <v>456</v>
      </c>
      <c r="G7" t="s">
        <v>56</v>
      </c>
      <c r="H7" t="s">
        <v>80</v>
      </c>
      <c r="I7" t="s">
        <v>81</v>
      </c>
      <c r="J7" t="s">
        <v>82</v>
      </c>
      <c r="K7" t="s">
        <v>59</v>
      </c>
      <c r="L7" t="s">
        <v>83</v>
      </c>
      <c r="M7" t="s">
        <v>60</v>
      </c>
      <c r="N7" t="s">
        <v>84</v>
      </c>
      <c r="O7" t="s">
        <v>85</v>
      </c>
      <c r="P7">
        <v>8</v>
      </c>
      <c r="Q7" t="s">
        <v>86</v>
      </c>
      <c r="T7" t="s">
        <v>87</v>
      </c>
      <c r="U7" t="s">
        <v>64</v>
      </c>
      <c r="V7" t="s">
        <v>88</v>
      </c>
      <c r="W7" t="s">
        <v>66</v>
      </c>
      <c r="AB7" t="s">
        <v>89</v>
      </c>
      <c r="AC7" t="s">
        <v>90</v>
      </c>
      <c r="AD7" t="s">
        <v>91</v>
      </c>
      <c r="AE7" t="s">
        <v>92</v>
      </c>
      <c r="AF7" t="s">
        <v>93</v>
      </c>
      <c r="AG7" t="s">
        <v>73</v>
      </c>
      <c r="AH7">
        <v>2025</v>
      </c>
      <c r="AI7">
        <v>4</v>
      </c>
      <c r="AJ7">
        <v>4</v>
      </c>
      <c r="AK7">
        <v>25</v>
      </c>
      <c r="AL7">
        <v>25</v>
      </c>
      <c r="AM7" s="2">
        <v>45682.768750000003</v>
      </c>
      <c r="AN7">
        <v>206</v>
      </c>
      <c r="AO7" t="s">
        <v>86</v>
      </c>
      <c r="AP7" t="s">
        <v>94</v>
      </c>
      <c r="AQ7" t="s">
        <v>95</v>
      </c>
      <c r="AR7" t="s">
        <v>60</v>
      </c>
      <c r="AS7" t="s">
        <v>512</v>
      </c>
      <c r="AW7"/>
    </row>
    <row r="8" spans="1:49" x14ac:dyDescent="0.3">
      <c r="A8" t="s">
        <v>97</v>
      </c>
      <c r="B8" s="1">
        <v>45683</v>
      </c>
      <c r="C8" t="s">
        <v>110</v>
      </c>
      <c r="D8" s="5">
        <v>0.83333333333333337</v>
      </c>
      <c r="E8" s="5">
        <v>0.84027777777777779</v>
      </c>
      <c r="F8" t="s">
        <v>459</v>
      </c>
      <c r="G8" t="s">
        <v>56</v>
      </c>
      <c r="H8" t="s">
        <v>99</v>
      </c>
      <c r="I8" t="s">
        <v>100</v>
      </c>
      <c r="J8" t="s">
        <v>82</v>
      </c>
      <c r="K8" t="s">
        <v>59</v>
      </c>
      <c r="L8" t="s">
        <v>83</v>
      </c>
      <c r="M8" t="s">
        <v>60</v>
      </c>
      <c r="N8" t="s">
        <v>101</v>
      </c>
      <c r="O8" t="s">
        <v>102</v>
      </c>
      <c r="P8">
        <v>9</v>
      </c>
      <c r="Q8" t="s">
        <v>103</v>
      </c>
      <c r="T8" t="s">
        <v>104</v>
      </c>
      <c r="U8" t="s">
        <v>64</v>
      </c>
      <c r="V8" t="s">
        <v>105</v>
      </c>
      <c r="W8" t="s">
        <v>66</v>
      </c>
      <c r="AB8" t="s">
        <v>67</v>
      </c>
      <c r="AC8" t="s">
        <v>106</v>
      </c>
      <c r="AD8" t="s">
        <v>70</v>
      </c>
      <c r="AE8" t="s">
        <v>107</v>
      </c>
      <c r="AF8" t="s">
        <v>72</v>
      </c>
      <c r="AG8" t="s">
        <v>73</v>
      </c>
      <c r="AH8">
        <v>2025</v>
      </c>
      <c r="AI8">
        <v>5</v>
      </c>
      <c r="AJ8">
        <v>5</v>
      </c>
      <c r="AK8">
        <v>26</v>
      </c>
      <c r="AL8">
        <v>26</v>
      </c>
      <c r="AM8" s="2">
        <v>45683.840277777781</v>
      </c>
      <c r="AN8">
        <v>5</v>
      </c>
      <c r="AO8" t="s">
        <v>103</v>
      </c>
      <c r="AP8" t="s">
        <v>108</v>
      </c>
      <c r="AQ8" t="s">
        <v>60</v>
      </c>
      <c r="AR8" t="s">
        <v>109</v>
      </c>
      <c r="AS8" t="s">
        <v>512</v>
      </c>
      <c r="AW8"/>
    </row>
    <row r="9" spans="1:49" x14ac:dyDescent="0.3">
      <c r="A9" t="s">
        <v>111</v>
      </c>
      <c r="B9" s="1">
        <v>45701</v>
      </c>
      <c r="C9" t="s">
        <v>96</v>
      </c>
      <c r="D9" s="5">
        <v>0.66666666666666663</v>
      </c>
      <c r="E9" s="5">
        <v>0.66666666666666663</v>
      </c>
      <c r="F9" t="s">
        <v>537</v>
      </c>
      <c r="G9" t="s">
        <v>112</v>
      </c>
      <c r="H9" t="s">
        <v>113</v>
      </c>
      <c r="I9" t="s">
        <v>113</v>
      </c>
      <c r="J9" t="s">
        <v>59</v>
      </c>
      <c r="K9" t="s">
        <v>59</v>
      </c>
      <c r="L9" t="s">
        <v>60</v>
      </c>
      <c r="M9" t="s">
        <v>60</v>
      </c>
      <c r="N9" t="s">
        <v>114</v>
      </c>
      <c r="O9" t="s">
        <v>115</v>
      </c>
      <c r="P9">
        <v>6</v>
      </c>
      <c r="Q9" t="s">
        <v>116</v>
      </c>
      <c r="T9" t="s">
        <v>117</v>
      </c>
      <c r="U9" t="s">
        <v>118</v>
      </c>
      <c r="V9" t="s">
        <v>119</v>
      </c>
      <c r="W9" t="s">
        <v>66</v>
      </c>
      <c r="AB9" t="s">
        <v>120</v>
      </c>
      <c r="AC9" t="s">
        <v>121</v>
      </c>
      <c r="AD9" t="s">
        <v>122</v>
      </c>
      <c r="AE9" t="s">
        <v>123</v>
      </c>
      <c r="AF9" t="s">
        <v>124</v>
      </c>
      <c r="AG9" t="s">
        <v>73</v>
      </c>
      <c r="AH9">
        <v>2025</v>
      </c>
      <c r="AI9">
        <v>7</v>
      </c>
      <c r="AJ9">
        <v>3</v>
      </c>
      <c r="AK9">
        <v>13</v>
      </c>
      <c r="AL9">
        <v>44</v>
      </c>
      <c r="AM9" s="2">
        <v>45701.666666666664</v>
      </c>
      <c r="AO9" t="s">
        <v>116</v>
      </c>
      <c r="AP9" t="s">
        <v>125</v>
      </c>
      <c r="AQ9" t="s">
        <v>126</v>
      </c>
      <c r="AR9" t="s">
        <v>127</v>
      </c>
      <c r="AS9" t="s">
        <v>509</v>
      </c>
      <c r="AW9"/>
    </row>
    <row r="10" spans="1:49" x14ac:dyDescent="0.3">
      <c r="A10" t="s">
        <v>54</v>
      </c>
      <c r="B10" s="1">
        <v>45663</v>
      </c>
      <c r="C10" t="s">
        <v>77</v>
      </c>
      <c r="D10" s="5">
        <v>0.625</v>
      </c>
      <c r="E10" s="5">
        <v>0.64583333333333337</v>
      </c>
      <c r="F10" t="s">
        <v>451</v>
      </c>
      <c r="G10" t="s">
        <v>56</v>
      </c>
      <c r="H10" t="s">
        <v>57</v>
      </c>
      <c r="I10" t="s">
        <v>58</v>
      </c>
      <c r="J10" t="s">
        <v>59</v>
      </c>
      <c r="K10" t="s">
        <v>59</v>
      </c>
      <c r="L10" t="s">
        <v>60</v>
      </c>
      <c r="M10" t="s">
        <v>60</v>
      </c>
      <c r="N10" t="s">
        <v>61</v>
      </c>
      <c r="P10">
        <v>7</v>
      </c>
      <c r="Q10" t="s">
        <v>62</v>
      </c>
      <c r="T10" t="s">
        <v>63</v>
      </c>
      <c r="U10" t="s">
        <v>64</v>
      </c>
      <c r="V10" t="s">
        <v>65</v>
      </c>
      <c r="W10" t="s">
        <v>66</v>
      </c>
      <c r="AB10" t="s">
        <v>67</v>
      </c>
      <c r="AC10" t="s">
        <v>69</v>
      </c>
      <c r="AD10" t="s">
        <v>70</v>
      </c>
      <c r="AE10" t="s">
        <v>71</v>
      </c>
      <c r="AF10" t="s">
        <v>72</v>
      </c>
      <c r="AG10" t="s">
        <v>73</v>
      </c>
      <c r="AH10">
        <v>2025</v>
      </c>
      <c r="AI10">
        <v>2</v>
      </c>
      <c r="AJ10">
        <v>2</v>
      </c>
      <c r="AK10">
        <v>6</v>
      </c>
      <c r="AL10">
        <v>6</v>
      </c>
      <c r="AM10" s="2">
        <v>45663.645833333336</v>
      </c>
      <c r="AN10">
        <v>90</v>
      </c>
      <c r="AO10" t="s">
        <v>62</v>
      </c>
      <c r="AP10" t="s">
        <v>74</v>
      </c>
      <c r="AQ10" t="s">
        <v>75</v>
      </c>
      <c r="AR10" t="s">
        <v>76</v>
      </c>
      <c r="AS10" t="s">
        <v>515</v>
      </c>
      <c r="AW10"/>
    </row>
    <row r="11" spans="1:49" x14ac:dyDescent="0.3">
      <c r="A11" t="s">
        <v>78</v>
      </c>
      <c r="B11" s="1">
        <v>45682</v>
      </c>
      <c r="C11" t="s">
        <v>96</v>
      </c>
      <c r="D11" s="5">
        <v>0.75</v>
      </c>
      <c r="E11" s="5">
        <v>0.76875000000000004</v>
      </c>
      <c r="F11" t="s">
        <v>456</v>
      </c>
      <c r="G11" t="s">
        <v>56</v>
      </c>
      <c r="H11" t="s">
        <v>80</v>
      </c>
      <c r="I11" t="s">
        <v>81</v>
      </c>
      <c r="J11" t="s">
        <v>82</v>
      </c>
      <c r="K11" t="s">
        <v>59</v>
      </c>
      <c r="L11" t="s">
        <v>83</v>
      </c>
      <c r="M11" t="s">
        <v>60</v>
      </c>
      <c r="N11" t="s">
        <v>84</v>
      </c>
      <c r="O11" t="s">
        <v>85</v>
      </c>
      <c r="P11">
        <v>8</v>
      </c>
      <c r="Q11" t="s">
        <v>86</v>
      </c>
      <c r="T11" t="s">
        <v>87</v>
      </c>
      <c r="U11" t="s">
        <v>64</v>
      </c>
      <c r="V11" t="s">
        <v>88</v>
      </c>
      <c r="W11" t="s">
        <v>66</v>
      </c>
      <c r="AB11" t="s">
        <v>89</v>
      </c>
      <c r="AC11" t="s">
        <v>90</v>
      </c>
      <c r="AD11" t="s">
        <v>91</v>
      </c>
      <c r="AE11" t="s">
        <v>92</v>
      </c>
      <c r="AF11" t="s">
        <v>93</v>
      </c>
      <c r="AG11" t="s">
        <v>73</v>
      </c>
      <c r="AH11">
        <v>2025</v>
      </c>
      <c r="AI11">
        <v>4</v>
      </c>
      <c r="AJ11">
        <v>4</v>
      </c>
      <c r="AK11">
        <v>25</v>
      </c>
      <c r="AL11">
        <v>25</v>
      </c>
      <c r="AM11" s="2">
        <v>45682.768750000003</v>
      </c>
      <c r="AN11">
        <v>206</v>
      </c>
      <c r="AO11" t="s">
        <v>86</v>
      </c>
      <c r="AP11" t="s">
        <v>94</v>
      </c>
      <c r="AQ11" t="s">
        <v>95</v>
      </c>
      <c r="AR11" t="s">
        <v>60</v>
      </c>
      <c r="AS11" t="s">
        <v>512</v>
      </c>
      <c r="AW11"/>
    </row>
    <row r="12" spans="1:49" x14ac:dyDescent="0.3">
      <c r="A12" t="s">
        <v>97</v>
      </c>
      <c r="B12" s="1">
        <v>45683</v>
      </c>
      <c r="C12" t="s">
        <v>110</v>
      </c>
      <c r="D12" s="5">
        <v>0.83333333333333337</v>
      </c>
      <c r="E12" s="5">
        <v>0.84027777777777779</v>
      </c>
      <c r="F12" t="s">
        <v>459</v>
      </c>
      <c r="G12" t="s">
        <v>56</v>
      </c>
      <c r="H12" t="s">
        <v>99</v>
      </c>
      <c r="I12" t="s">
        <v>100</v>
      </c>
      <c r="J12" t="s">
        <v>82</v>
      </c>
      <c r="K12" t="s">
        <v>59</v>
      </c>
      <c r="L12" t="s">
        <v>83</v>
      </c>
      <c r="M12" t="s">
        <v>60</v>
      </c>
      <c r="N12" t="s">
        <v>101</v>
      </c>
      <c r="O12" t="s">
        <v>102</v>
      </c>
      <c r="P12">
        <v>9</v>
      </c>
      <c r="Q12" t="s">
        <v>103</v>
      </c>
      <c r="T12" t="s">
        <v>104</v>
      </c>
      <c r="U12" t="s">
        <v>64</v>
      </c>
      <c r="V12" t="s">
        <v>105</v>
      </c>
      <c r="W12" t="s">
        <v>66</v>
      </c>
      <c r="AB12" t="s">
        <v>67</v>
      </c>
      <c r="AC12" t="s">
        <v>106</v>
      </c>
      <c r="AD12" t="s">
        <v>70</v>
      </c>
      <c r="AE12" t="s">
        <v>107</v>
      </c>
      <c r="AF12" t="s">
        <v>72</v>
      </c>
      <c r="AG12" t="s">
        <v>73</v>
      </c>
      <c r="AH12">
        <v>2025</v>
      </c>
      <c r="AI12">
        <v>5</v>
      </c>
      <c r="AJ12">
        <v>5</v>
      </c>
      <c r="AK12">
        <v>26</v>
      </c>
      <c r="AL12">
        <v>26</v>
      </c>
      <c r="AM12" s="2">
        <v>45683.840277777781</v>
      </c>
      <c r="AN12">
        <v>5</v>
      </c>
      <c r="AO12" t="s">
        <v>103</v>
      </c>
      <c r="AP12" t="s">
        <v>108</v>
      </c>
      <c r="AQ12" t="s">
        <v>60</v>
      </c>
      <c r="AR12" t="s">
        <v>109</v>
      </c>
      <c r="AS12" t="s">
        <v>512</v>
      </c>
      <c r="AW12"/>
    </row>
    <row r="13" spans="1:49" x14ac:dyDescent="0.3">
      <c r="A13" t="s">
        <v>111</v>
      </c>
      <c r="B13" s="1">
        <v>45701</v>
      </c>
      <c r="C13" t="s">
        <v>96</v>
      </c>
      <c r="D13" s="5">
        <v>0.66666666666666663</v>
      </c>
      <c r="E13" s="5">
        <v>0.66666666666666663</v>
      </c>
      <c r="F13" t="s">
        <v>537</v>
      </c>
      <c r="G13" t="s">
        <v>112</v>
      </c>
      <c r="H13" t="s">
        <v>113</v>
      </c>
      <c r="I13" t="s">
        <v>113</v>
      </c>
      <c r="J13" t="s">
        <v>59</v>
      </c>
      <c r="K13" t="s">
        <v>59</v>
      </c>
      <c r="L13" t="s">
        <v>60</v>
      </c>
      <c r="M13" t="s">
        <v>60</v>
      </c>
      <c r="N13" t="s">
        <v>114</v>
      </c>
      <c r="O13" t="s">
        <v>115</v>
      </c>
      <c r="P13">
        <v>6</v>
      </c>
      <c r="Q13" t="s">
        <v>116</v>
      </c>
      <c r="T13" t="s">
        <v>117</v>
      </c>
      <c r="U13" t="s">
        <v>118</v>
      </c>
      <c r="V13" t="s">
        <v>119</v>
      </c>
      <c r="W13" t="s">
        <v>66</v>
      </c>
      <c r="AB13" t="s">
        <v>120</v>
      </c>
      <c r="AC13" t="s">
        <v>121</v>
      </c>
      <c r="AD13" t="s">
        <v>122</v>
      </c>
      <c r="AE13" t="s">
        <v>123</v>
      </c>
      <c r="AF13" t="s">
        <v>124</v>
      </c>
      <c r="AG13" t="s">
        <v>73</v>
      </c>
      <c r="AH13">
        <v>2025</v>
      </c>
      <c r="AI13">
        <v>7</v>
      </c>
      <c r="AJ13">
        <v>3</v>
      </c>
      <c r="AK13">
        <v>13</v>
      </c>
      <c r="AL13">
        <v>44</v>
      </c>
      <c r="AM13" s="2">
        <v>45701.666666666664</v>
      </c>
      <c r="AO13" t="s">
        <v>116</v>
      </c>
      <c r="AP13" t="s">
        <v>125</v>
      </c>
      <c r="AQ13" t="s">
        <v>126</v>
      </c>
      <c r="AR13" t="s">
        <v>127</v>
      </c>
      <c r="AS13" t="s">
        <v>509</v>
      </c>
      <c r="AW13"/>
    </row>
    <row r="14" spans="1:49" x14ac:dyDescent="0.3">
      <c r="A14" t="s">
        <v>54</v>
      </c>
      <c r="B14" s="1">
        <v>45663</v>
      </c>
      <c r="C14" t="s">
        <v>77</v>
      </c>
      <c r="D14" s="5">
        <v>0.625</v>
      </c>
      <c r="E14" s="5">
        <v>0.64583333333333337</v>
      </c>
      <c r="F14" t="s">
        <v>451</v>
      </c>
      <c r="G14" t="s">
        <v>56</v>
      </c>
      <c r="H14" t="s">
        <v>57</v>
      </c>
      <c r="I14" t="s">
        <v>58</v>
      </c>
      <c r="J14" t="s">
        <v>59</v>
      </c>
      <c r="K14" t="s">
        <v>59</v>
      </c>
      <c r="L14" t="s">
        <v>60</v>
      </c>
      <c r="M14" t="s">
        <v>60</v>
      </c>
      <c r="N14" t="s">
        <v>61</v>
      </c>
      <c r="P14">
        <v>7</v>
      </c>
      <c r="Q14" t="s">
        <v>62</v>
      </c>
      <c r="T14" t="s">
        <v>63</v>
      </c>
      <c r="U14" t="s">
        <v>64</v>
      </c>
      <c r="V14" t="s">
        <v>65</v>
      </c>
      <c r="W14" t="s">
        <v>66</v>
      </c>
      <c r="AB14" t="s">
        <v>67</v>
      </c>
      <c r="AC14" t="s">
        <v>69</v>
      </c>
      <c r="AD14" t="s">
        <v>70</v>
      </c>
      <c r="AE14" t="s">
        <v>71</v>
      </c>
      <c r="AF14" t="s">
        <v>72</v>
      </c>
      <c r="AG14" t="s">
        <v>73</v>
      </c>
      <c r="AH14">
        <v>2025</v>
      </c>
      <c r="AI14">
        <v>2</v>
      </c>
      <c r="AJ14">
        <v>2</v>
      </c>
      <c r="AK14">
        <v>6</v>
      </c>
      <c r="AL14">
        <v>6</v>
      </c>
      <c r="AM14" s="2">
        <v>45663.645833333336</v>
      </c>
      <c r="AN14">
        <v>90</v>
      </c>
      <c r="AO14" t="s">
        <v>62</v>
      </c>
      <c r="AP14" t="s">
        <v>74</v>
      </c>
      <c r="AQ14" t="s">
        <v>75</v>
      </c>
      <c r="AR14" t="s">
        <v>76</v>
      </c>
      <c r="AS14" t="s">
        <v>515</v>
      </c>
      <c r="AW14"/>
    </row>
    <row r="15" spans="1:49" x14ac:dyDescent="0.3">
      <c r="A15" t="s">
        <v>78</v>
      </c>
      <c r="B15" s="1">
        <v>45682</v>
      </c>
      <c r="C15" t="s">
        <v>96</v>
      </c>
      <c r="D15" s="5">
        <v>0.75</v>
      </c>
      <c r="E15" s="5">
        <v>0.76875000000000004</v>
      </c>
      <c r="F15" t="s">
        <v>456</v>
      </c>
      <c r="G15" t="s">
        <v>56</v>
      </c>
      <c r="H15" t="s">
        <v>80</v>
      </c>
      <c r="I15" t="s">
        <v>81</v>
      </c>
      <c r="J15" t="s">
        <v>82</v>
      </c>
      <c r="K15" t="s">
        <v>59</v>
      </c>
      <c r="L15" t="s">
        <v>83</v>
      </c>
      <c r="M15" t="s">
        <v>60</v>
      </c>
      <c r="N15" t="s">
        <v>84</v>
      </c>
      <c r="O15" t="s">
        <v>85</v>
      </c>
      <c r="P15">
        <v>8</v>
      </c>
      <c r="Q15" t="s">
        <v>86</v>
      </c>
      <c r="T15" t="s">
        <v>87</v>
      </c>
      <c r="U15" t="s">
        <v>64</v>
      </c>
      <c r="V15" t="s">
        <v>88</v>
      </c>
      <c r="W15" t="s">
        <v>66</v>
      </c>
      <c r="AB15" t="s">
        <v>89</v>
      </c>
      <c r="AC15" t="s">
        <v>90</v>
      </c>
      <c r="AD15" t="s">
        <v>91</v>
      </c>
      <c r="AE15" t="s">
        <v>92</v>
      </c>
      <c r="AF15" t="s">
        <v>93</v>
      </c>
      <c r="AG15" t="s">
        <v>73</v>
      </c>
      <c r="AH15">
        <v>2025</v>
      </c>
      <c r="AI15">
        <v>4</v>
      </c>
      <c r="AJ15">
        <v>4</v>
      </c>
      <c r="AK15">
        <v>25</v>
      </c>
      <c r="AL15">
        <v>25</v>
      </c>
      <c r="AM15" s="2">
        <v>45682.768750000003</v>
      </c>
      <c r="AN15">
        <v>206</v>
      </c>
      <c r="AO15" t="s">
        <v>86</v>
      </c>
      <c r="AP15" t="s">
        <v>94</v>
      </c>
      <c r="AQ15" t="s">
        <v>95</v>
      </c>
      <c r="AR15" t="s">
        <v>60</v>
      </c>
      <c r="AS15" t="s">
        <v>512</v>
      </c>
      <c r="AW15"/>
    </row>
    <row r="16" spans="1:49" x14ac:dyDescent="0.3">
      <c r="A16" t="s">
        <v>97</v>
      </c>
      <c r="B16" s="1">
        <v>45683</v>
      </c>
      <c r="C16" t="s">
        <v>110</v>
      </c>
      <c r="D16" s="5">
        <v>0.83333333333333337</v>
      </c>
      <c r="E16" s="5">
        <v>0.84027777777777779</v>
      </c>
      <c r="F16" t="s">
        <v>459</v>
      </c>
      <c r="G16" t="s">
        <v>56</v>
      </c>
      <c r="H16" t="s">
        <v>99</v>
      </c>
      <c r="I16" t="s">
        <v>100</v>
      </c>
      <c r="J16" t="s">
        <v>82</v>
      </c>
      <c r="K16" t="s">
        <v>59</v>
      </c>
      <c r="L16" t="s">
        <v>83</v>
      </c>
      <c r="M16" t="s">
        <v>60</v>
      </c>
      <c r="N16" t="s">
        <v>101</v>
      </c>
      <c r="O16" t="s">
        <v>102</v>
      </c>
      <c r="P16">
        <v>9</v>
      </c>
      <c r="Q16" t="s">
        <v>103</v>
      </c>
      <c r="T16" t="s">
        <v>104</v>
      </c>
      <c r="U16" t="s">
        <v>64</v>
      </c>
      <c r="V16" t="s">
        <v>105</v>
      </c>
      <c r="W16" t="s">
        <v>66</v>
      </c>
      <c r="AB16" t="s">
        <v>67</v>
      </c>
      <c r="AC16" t="s">
        <v>106</v>
      </c>
      <c r="AD16" t="s">
        <v>70</v>
      </c>
      <c r="AE16" t="s">
        <v>107</v>
      </c>
      <c r="AF16" t="s">
        <v>72</v>
      </c>
      <c r="AG16" t="s">
        <v>73</v>
      </c>
      <c r="AH16">
        <v>2025</v>
      </c>
      <c r="AI16">
        <v>5</v>
      </c>
      <c r="AJ16">
        <v>5</v>
      </c>
      <c r="AK16">
        <v>26</v>
      </c>
      <c r="AL16">
        <v>26</v>
      </c>
      <c r="AM16" s="2">
        <v>45683.840277777781</v>
      </c>
      <c r="AN16">
        <v>5</v>
      </c>
      <c r="AO16" t="s">
        <v>103</v>
      </c>
      <c r="AP16" t="s">
        <v>108</v>
      </c>
      <c r="AQ16" t="s">
        <v>60</v>
      </c>
      <c r="AR16" t="s">
        <v>109</v>
      </c>
      <c r="AS16" t="s">
        <v>512</v>
      </c>
      <c r="AW16"/>
    </row>
    <row r="17" spans="1:49" x14ac:dyDescent="0.3">
      <c r="A17" t="s">
        <v>111</v>
      </c>
      <c r="B17" s="1">
        <v>45701</v>
      </c>
      <c r="C17" t="s">
        <v>96</v>
      </c>
      <c r="D17" s="5">
        <v>0.66666666666666663</v>
      </c>
      <c r="E17" s="5">
        <v>0.66666666666666663</v>
      </c>
      <c r="F17" t="s">
        <v>537</v>
      </c>
      <c r="G17" t="s">
        <v>112</v>
      </c>
      <c r="H17" t="s">
        <v>113</v>
      </c>
      <c r="I17" t="s">
        <v>113</v>
      </c>
      <c r="J17" t="s">
        <v>59</v>
      </c>
      <c r="K17" t="s">
        <v>59</v>
      </c>
      <c r="L17" t="s">
        <v>60</v>
      </c>
      <c r="M17" t="s">
        <v>60</v>
      </c>
      <c r="N17" t="s">
        <v>114</v>
      </c>
      <c r="O17" t="s">
        <v>115</v>
      </c>
      <c r="P17">
        <v>6</v>
      </c>
      <c r="Q17" t="s">
        <v>116</v>
      </c>
      <c r="T17" t="s">
        <v>117</v>
      </c>
      <c r="U17" t="s">
        <v>118</v>
      </c>
      <c r="V17" t="s">
        <v>119</v>
      </c>
      <c r="W17" t="s">
        <v>66</v>
      </c>
      <c r="AB17" t="s">
        <v>120</v>
      </c>
      <c r="AC17" t="s">
        <v>121</v>
      </c>
      <c r="AD17" t="s">
        <v>122</v>
      </c>
      <c r="AE17" t="s">
        <v>123</v>
      </c>
      <c r="AF17" t="s">
        <v>72</v>
      </c>
      <c r="AG17" t="s">
        <v>73</v>
      </c>
      <c r="AH17">
        <v>2025</v>
      </c>
      <c r="AI17">
        <v>7</v>
      </c>
      <c r="AJ17">
        <v>3</v>
      </c>
      <c r="AK17">
        <v>13</v>
      </c>
      <c r="AL17">
        <v>44</v>
      </c>
      <c r="AM17" s="2">
        <v>45701.666666666664</v>
      </c>
      <c r="AO17" t="s">
        <v>116</v>
      </c>
      <c r="AP17" t="s">
        <v>125</v>
      </c>
      <c r="AQ17" t="s">
        <v>126</v>
      </c>
      <c r="AR17" t="s">
        <v>127</v>
      </c>
      <c r="AS17" t="s">
        <v>509</v>
      </c>
      <c r="AW17"/>
    </row>
    <row r="18" spans="1:49" x14ac:dyDescent="0.3">
      <c r="A18" t="s">
        <v>54</v>
      </c>
      <c r="B18" s="1">
        <v>45663</v>
      </c>
      <c r="C18" t="s">
        <v>77</v>
      </c>
      <c r="D18" s="5">
        <v>0.625</v>
      </c>
      <c r="E18" s="5">
        <v>0.64583333333333337</v>
      </c>
      <c r="F18" t="s">
        <v>451</v>
      </c>
      <c r="G18" t="s">
        <v>56</v>
      </c>
      <c r="H18" t="s">
        <v>57</v>
      </c>
      <c r="I18" t="s">
        <v>58</v>
      </c>
      <c r="J18" t="s">
        <v>59</v>
      </c>
      <c r="K18" t="s">
        <v>59</v>
      </c>
      <c r="L18" t="s">
        <v>60</v>
      </c>
      <c r="M18" t="s">
        <v>60</v>
      </c>
      <c r="N18" t="s">
        <v>61</v>
      </c>
      <c r="P18">
        <v>7</v>
      </c>
      <c r="Q18" t="s">
        <v>62</v>
      </c>
      <c r="T18" t="s">
        <v>63</v>
      </c>
      <c r="U18" t="s">
        <v>64</v>
      </c>
      <c r="V18" t="s">
        <v>65</v>
      </c>
      <c r="W18" t="s">
        <v>66</v>
      </c>
      <c r="AB18" t="s">
        <v>67</v>
      </c>
      <c r="AC18" t="s">
        <v>69</v>
      </c>
      <c r="AD18" t="s">
        <v>70</v>
      </c>
      <c r="AE18" t="s">
        <v>71</v>
      </c>
      <c r="AF18" t="s">
        <v>72</v>
      </c>
      <c r="AG18" t="s">
        <v>73</v>
      </c>
      <c r="AH18">
        <v>2025</v>
      </c>
      <c r="AI18">
        <v>2</v>
      </c>
      <c r="AJ18">
        <v>2</v>
      </c>
      <c r="AK18">
        <v>6</v>
      </c>
      <c r="AL18">
        <v>6</v>
      </c>
      <c r="AM18" s="2">
        <v>45663.645833333336</v>
      </c>
      <c r="AN18">
        <v>90</v>
      </c>
      <c r="AO18" t="s">
        <v>62</v>
      </c>
      <c r="AP18" t="s">
        <v>74</v>
      </c>
      <c r="AQ18" t="s">
        <v>75</v>
      </c>
      <c r="AR18" t="s">
        <v>76</v>
      </c>
      <c r="AS18" t="s">
        <v>515</v>
      </c>
      <c r="AW18"/>
    </row>
    <row r="19" spans="1:49" x14ac:dyDescent="0.3">
      <c r="A19" t="s">
        <v>78</v>
      </c>
      <c r="B19" s="1">
        <v>45682</v>
      </c>
      <c r="C19" t="s">
        <v>96</v>
      </c>
      <c r="D19" s="5">
        <v>0.75</v>
      </c>
      <c r="E19" s="5">
        <v>0.76875000000000004</v>
      </c>
      <c r="F19" t="s">
        <v>456</v>
      </c>
      <c r="G19" t="s">
        <v>56</v>
      </c>
      <c r="H19" t="s">
        <v>80</v>
      </c>
      <c r="I19" t="s">
        <v>81</v>
      </c>
      <c r="J19" t="s">
        <v>82</v>
      </c>
      <c r="K19" t="s">
        <v>59</v>
      </c>
      <c r="L19" t="s">
        <v>83</v>
      </c>
      <c r="M19" t="s">
        <v>60</v>
      </c>
      <c r="N19" t="s">
        <v>84</v>
      </c>
      <c r="O19" t="s">
        <v>85</v>
      </c>
      <c r="P19">
        <v>8</v>
      </c>
      <c r="Q19" t="s">
        <v>86</v>
      </c>
      <c r="T19" t="s">
        <v>87</v>
      </c>
      <c r="U19" t="s">
        <v>64</v>
      </c>
      <c r="V19" t="s">
        <v>88</v>
      </c>
      <c r="W19" t="s">
        <v>66</v>
      </c>
      <c r="AB19" t="s">
        <v>89</v>
      </c>
      <c r="AC19" t="s">
        <v>90</v>
      </c>
      <c r="AD19" t="s">
        <v>91</v>
      </c>
      <c r="AE19" t="s">
        <v>92</v>
      </c>
      <c r="AF19" t="s">
        <v>93</v>
      </c>
      <c r="AG19" t="s">
        <v>73</v>
      </c>
      <c r="AH19">
        <v>2025</v>
      </c>
      <c r="AI19">
        <v>4</v>
      </c>
      <c r="AJ19">
        <v>4</v>
      </c>
      <c r="AK19">
        <v>25</v>
      </c>
      <c r="AL19">
        <v>25</v>
      </c>
      <c r="AM19" s="2">
        <v>45682.768750000003</v>
      </c>
      <c r="AN19">
        <v>206</v>
      </c>
      <c r="AO19" t="s">
        <v>86</v>
      </c>
      <c r="AP19" t="s">
        <v>94</v>
      </c>
      <c r="AQ19" t="s">
        <v>95</v>
      </c>
      <c r="AR19" t="s">
        <v>60</v>
      </c>
      <c r="AS19" t="s">
        <v>512</v>
      </c>
      <c r="AW19"/>
    </row>
    <row r="20" spans="1:49" x14ac:dyDescent="0.3">
      <c r="A20" t="s">
        <v>97</v>
      </c>
      <c r="B20" s="1">
        <v>45683</v>
      </c>
      <c r="C20" t="s">
        <v>110</v>
      </c>
      <c r="D20" s="5">
        <v>0.83333333333333337</v>
      </c>
      <c r="E20" s="5">
        <v>0.84027777777777779</v>
      </c>
      <c r="F20" t="s">
        <v>459</v>
      </c>
      <c r="G20" t="s">
        <v>56</v>
      </c>
      <c r="H20" t="s">
        <v>99</v>
      </c>
      <c r="I20" t="s">
        <v>100</v>
      </c>
      <c r="J20" t="s">
        <v>82</v>
      </c>
      <c r="K20" t="s">
        <v>59</v>
      </c>
      <c r="L20" t="s">
        <v>83</v>
      </c>
      <c r="M20" t="s">
        <v>60</v>
      </c>
      <c r="N20" t="s">
        <v>101</v>
      </c>
      <c r="O20" t="s">
        <v>102</v>
      </c>
      <c r="P20">
        <v>9</v>
      </c>
      <c r="Q20" t="s">
        <v>103</v>
      </c>
      <c r="T20" t="s">
        <v>104</v>
      </c>
      <c r="U20" t="s">
        <v>64</v>
      </c>
      <c r="V20" t="s">
        <v>105</v>
      </c>
      <c r="W20" t="s">
        <v>66</v>
      </c>
      <c r="AB20" t="s">
        <v>67</v>
      </c>
      <c r="AC20" t="s">
        <v>106</v>
      </c>
      <c r="AD20" t="s">
        <v>70</v>
      </c>
      <c r="AE20" t="s">
        <v>107</v>
      </c>
      <c r="AF20" t="s">
        <v>72</v>
      </c>
      <c r="AG20" t="s">
        <v>73</v>
      </c>
      <c r="AH20">
        <v>2025</v>
      </c>
      <c r="AI20">
        <v>5</v>
      </c>
      <c r="AJ20">
        <v>5</v>
      </c>
      <c r="AK20">
        <v>26</v>
      </c>
      <c r="AL20">
        <v>26</v>
      </c>
      <c r="AM20" s="2">
        <v>45683.840277777781</v>
      </c>
      <c r="AN20">
        <v>5</v>
      </c>
      <c r="AO20" t="s">
        <v>103</v>
      </c>
      <c r="AP20" t="s">
        <v>108</v>
      </c>
      <c r="AQ20" t="s">
        <v>60</v>
      </c>
      <c r="AR20" t="s">
        <v>109</v>
      </c>
      <c r="AS20" t="s">
        <v>512</v>
      </c>
      <c r="AW20"/>
    </row>
    <row r="21" spans="1:49" x14ac:dyDescent="0.3">
      <c r="A21" t="s">
        <v>111</v>
      </c>
      <c r="B21" s="1">
        <v>45701</v>
      </c>
      <c r="C21" t="s">
        <v>96</v>
      </c>
      <c r="D21" s="5">
        <v>0.66666666666666663</v>
      </c>
      <c r="E21" s="5">
        <v>0.66666666666666663</v>
      </c>
      <c r="F21" t="s">
        <v>537</v>
      </c>
      <c r="G21" t="s">
        <v>112</v>
      </c>
      <c r="H21" t="s">
        <v>113</v>
      </c>
      <c r="I21" t="s">
        <v>113</v>
      </c>
      <c r="J21" t="s">
        <v>59</v>
      </c>
      <c r="K21" t="s">
        <v>59</v>
      </c>
      <c r="L21" t="s">
        <v>60</v>
      </c>
      <c r="M21" t="s">
        <v>60</v>
      </c>
      <c r="N21" t="s">
        <v>114</v>
      </c>
      <c r="O21" t="s">
        <v>115</v>
      </c>
      <c r="P21">
        <v>6</v>
      </c>
      <c r="Q21" t="s">
        <v>116</v>
      </c>
      <c r="T21" t="s">
        <v>117</v>
      </c>
      <c r="U21" t="s">
        <v>118</v>
      </c>
      <c r="V21" t="s">
        <v>119</v>
      </c>
      <c r="W21" t="s">
        <v>66</v>
      </c>
      <c r="AB21" t="s">
        <v>120</v>
      </c>
      <c r="AC21" t="s">
        <v>121</v>
      </c>
      <c r="AD21" t="s">
        <v>122</v>
      </c>
      <c r="AE21" t="s">
        <v>123</v>
      </c>
      <c r="AF21" t="s">
        <v>72</v>
      </c>
      <c r="AG21" t="s">
        <v>73</v>
      </c>
      <c r="AH21">
        <v>2025</v>
      </c>
      <c r="AI21">
        <v>7</v>
      </c>
      <c r="AJ21">
        <v>3</v>
      </c>
      <c r="AK21">
        <v>13</v>
      </c>
      <c r="AL21">
        <v>44</v>
      </c>
      <c r="AM21" s="2">
        <v>45701.666666666664</v>
      </c>
      <c r="AO21" t="s">
        <v>116</v>
      </c>
      <c r="AP21" t="s">
        <v>125</v>
      </c>
      <c r="AQ21" t="s">
        <v>126</v>
      </c>
      <c r="AR21" t="s">
        <v>127</v>
      </c>
      <c r="AS21" t="s">
        <v>509</v>
      </c>
      <c r="AW21"/>
    </row>
    <row r="22" spans="1:49" x14ac:dyDescent="0.3">
      <c r="A22" t="s">
        <v>54</v>
      </c>
      <c r="B22" s="1">
        <v>45663</v>
      </c>
      <c r="C22" t="s">
        <v>77</v>
      </c>
      <c r="D22" s="5">
        <v>0.625</v>
      </c>
      <c r="E22" s="5">
        <v>0.64583333333333337</v>
      </c>
      <c r="F22" t="s">
        <v>451</v>
      </c>
      <c r="G22" t="s">
        <v>56</v>
      </c>
      <c r="H22" t="s">
        <v>57</v>
      </c>
      <c r="I22" t="s">
        <v>58</v>
      </c>
      <c r="J22" t="s">
        <v>59</v>
      </c>
      <c r="K22" t="s">
        <v>59</v>
      </c>
      <c r="L22" t="s">
        <v>60</v>
      </c>
      <c r="M22" t="s">
        <v>60</v>
      </c>
      <c r="N22" t="s">
        <v>61</v>
      </c>
      <c r="P22">
        <v>7</v>
      </c>
      <c r="Q22" t="s">
        <v>62</v>
      </c>
      <c r="T22" t="s">
        <v>63</v>
      </c>
      <c r="U22" t="s">
        <v>64</v>
      </c>
      <c r="V22" t="s">
        <v>65</v>
      </c>
      <c r="W22" t="s">
        <v>66</v>
      </c>
      <c r="AB22" t="s">
        <v>67</v>
      </c>
      <c r="AC22" t="s">
        <v>69</v>
      </c>
      <c r="AD22" t="s">
        <v>70</v>
      </c>
      <c r="AE22" t="s">
        <v>71</v>
      </c>
      <c r="AF22" t="s">
        <v>72</v>
      </c>
      <c r="AG22" t="s">
        <v>73</v>
      </c>
      <c r="AH22">
        <v>2025</v>
      </c>
      <c r="AI22">
        <v>2</v>
      </c>
      <c r="AJ22">
        <v>2</v>
      </c>
      <c r="AK22">
        <v>6</v>
      </c>
      <c r="AL22">
        <v>6</v>
      </c>
      <c r="AM22" s="2">
        <v>45663.645833333336</v>
      </c>
      <c r="AN22">
        <v>90</v>
      </c>
      <c r="AO22" t="s">
        <v>62</v>
      </c>
      <c r="AP22" t="s">
        <v>74</v>
      </c>
      <c r="AQ22" t="s">
        <v>75</v>
      </c>
      <c r="AR22" t="s">
        <v>76</v>
      </c>
      <c r="AS22" t="s">
        <v>515</v>
      </c>
      <c r="AW22"/>
    </row>
    <row r="23" spans="1:49" x14ac:dyDescent="0.3">
      <c r="A23" t="s">
        <v>78</v>
      </c>
      <c r="B23" s="1">
        <v>45682</v>
      </c>
      <c r="C23" t="s">
        <v>96</v>
      </c>
      <c r="D23" s="5">
        <v>0.75</v>
      </c>
      <c r="E23" s="5">
        <v>0.76875000000000004</v>
      </c>
      <c r="F23" t="s">
        <v>456</v>
      </c>
      <c r="G23" t="s">
        <v>56</v>
      </c>
      <c r="H23" t="s">
        <v>80</v>
      </c>
      <c r="I23" t="s">
        <v>81</v>
      </c>
      <c r="J23" t="s">
        <v>82</v>
      </c>
      <c r="K23" t="s">
        <v>59</v>
      </c>
      <c r="L23" t="s">
        <v>83</v>
      </c>
      <c r="M23" t="s">
        <v>60</v>
      </c>
      <c r="N23" t="s">
        <v>84</v>
      </c>
      <c r="O23" t="s">
        <v>85</v>
      </c>
      <c r="P23">
        <v>8</v>
      </c>
      <c r="Q23" t="s">
        <v>86</v>
      </c>
      <c r="T23" t="s">
        <v>87</v>
      </c>
      <c r="U23" t="s">
        <v>64</v>
      </c>
      <c r="V23" t="s">
        <v>88</v>
      </c>
      <c r="W23" t="s">
        <v>66</v>
      </c>
      <c r="AB23" t="s">
        <v>89</v>
      </c>
      <c r="AC23" t="s">
        <v>90</v>
      </c>
      <c r="AD23" t="s">
        <v>91</v>
      </c>
      <c r="AE23" t="s">
        <v>92</v>
      </c>
      <c r="AF23" t="s">
        <v>93</v>
      </c>
      <c r="AG23" t="s">
        <v>73</v>
      </c>
      <c r="AH23">
        <v>2025</v>
      </c>
      <c r="AI23">
        <v>4</v>
      </c>
      <c r="AJ23">
        <v>4</v>
      </c>
      <c r="AK23">
        <v>25</v>
      </c>
      <c r="AL23">
        <v>25</v>
      </c>
      <c r="AM23" s="2">
        <v>45682.768750000003</v>
      </c>
      <c r="AN23">
        <v>206</v>
      </c>
      <c r="AO23" t="s">
        <v>86</v>
      </c>
      <c r="AP23" t="s">
        <v>94</v>
      </c>
      <c r="AQ23" t="s">
        <v>95</v>
      </c>
      <c r="AR23" t="s">
        <v>60</v>
      </c>
      <c r="AS23" t="s">
        <v>512</v>
      </c>
      <c r="AW23"/>
    </row>
    <row r="24" spans="1:49" x14ac:dyDescent="0.3">
      <c r="A24" t="s">
        <v>97</v>
      </c>
      <c r="B24" s="1">
        <v>45683</v>
      </c>
      <c r="C24" t="s">
        <v>110</v>
      </c>
      <c r="D24" s="5">
        <v>0.83333333333333337</v>
      </c>
      <c r="E24" s="5">
        <v>0.84027777777777779</v>
      </c>
      <c r="F24" t="s">
        <v>459</v>
      </c>
      <c r="G24" t="s">
        <v>56</v>
      </c>
      <c r="H24" t="s">
        <v>99</v>
      </c>
      <c r="I24" t="s">
        <v>100</v>
      </c>
      <c r="J24" t="s">
        <v>82</v>
      </c>
      <c r="K24" t="s">
        <v>59</v>
      </c>
      <c r="L24" t="s">
        <v>83</v>
      </c>
      <c r="M24" t="s">
        <v>60</v>
      </c>
      <c r="N24" t="s">
        <v>101</v>
      </c>
      <c r="O24" t="s">
        <v>102</v>
      </c>
      <c r="P24">
        <v>9</v>
      </c>
      <c r="Q24" t="s">
        <v>103</v>
      </c>
      <c r="T24" t="s">
        <v>104</v>
      </c>
      <c r="U24" t="s">
        <v>64</v>
      </c>
      <c r="V24" t="s">
        <v>105</v>
      </c>
      <c r="W24" t="s">
        <v>66</v>
      </c>
      <c r="AB24" t="s">
        <v>67</v>
      </c>
      <c r="AC24" t="s">
        <v>106</v>
      </c>
      <c r="AD24" t="s">
        <v>70</v>
      </c>
      <c r="AE24" t="s">
        <v>107</v>
      </c>
      <c r="AF24" t="s">
        <v>72</v>
      </c>
      <c r="AG24" t="s">
        <v>73</v>
      </c>
      <c r="AH24">
        <v>2025</v>
      </c>
      <c r="AI24">
        <v>5</v>
      </c>
      <c r="AJ24">
        <v>5</v>
      </c>
      <c r="AK24">
        <v>26</v>
      </c>
      <c r="AL24">
        <v>26</v>
      </c>
      <c r="AM24" s="2">
        <v>45683.840277777781</v>
      </c>
      <c r="AN24">
        <v>5</v>
      </c>
      <c r="AO24" t="s">
        <v>103</v>
      </c>
      <c r="AP24" t="s">
        <v>108</v>
      </c>
      <c r="AQ24" t="s">
        <v>60</v>
      </c>
      <c r="AR24" t="s">
        <v>109</v>
      </c>
      <c r="AS24" t="s">
        <v>512</v>
      </c>
      <c r="AW24"/>
    </row>
    <row r="25" spans="1:49" x14ac:dyDescent="0.3">
      <c r="A25" t="s">
        <v>111</v>
      </c>
      <c r="B25" s="1">
        <v>45701</v>
      </c>
      <c r="C25" t="s">
        <v>96</v>
      </c>
      <c r="D25" s="5">
        <v>0.66666666666666663</v>
      </c>
      <c r="E25" s="5">
        <v>0.66666666666666663</v>
      </c>
      <c r="F25" t="s">
        <v>537</v>
      </c>
      <c r="G25" t="s">
        <v>112</v>
      </c>
      <c r="H25" t="s">
        <v>113</v>
      </c>
      <c r="I25" t="s">
        <v>113</v>
      </c>
      <c r="J25" t="s">
        <v>59</v>
      </c>
      <c r="K25" t="s">
        <v>59</v>
      </c>
      <c r="L25" t="s">
        <v>60</v>
      </c>
      <c r="M25" t="s">
        <v>60</v>
      </c>
      <c r="N25" t="s">
        <v>114</v>
      </c>
      <c r="O25" t="s">
        <v>115</v>
      </c>
      <c r="P25">
        <v>6</v>
      </c>
      <c r="Q25" t="s">
        <v>116</v>
      </c>
      <c r="T25" t="s">
        <v>117</v>
      </c>
      <c r="U25" t="s">
        <v>118</v>
      </c>
      <c r="V25" t="s">
        <v>119</v>
      </c>
      <c r="W25" t="s">
        <v>66</v>
      </c>
      <c r="AB25" t="s">
        <v>120</v>
      </c>
      <c r="AC25" t="s">
        <v>121</v>
      </c>
      <c r="AD25" t="s">
        <v>122</v>
      </c>
      <c r="AE25" t="s">
        <v>123</v>
      </c>
      <c r="AF25" t="s">
        <v>72</v>
      </c>
      <c r="AG25" t="s">
        <v>73</v>
      </c>
      <c r="AH25">
        <v>2025</v>
      </c>
      <c r="AI25">
        <v>7</v>
      </c>
      <c r="AJ25">
        <v>3</v>
      </c>
      <c r="AK25">
        <v>13</v>
      </c>
      <c r="AL25">
        <v>44</v>
      </c>
      <c r="AM25" s="2">
        <v>45701.666666666664</v>
      </c>
      <c r="AO25" t="s">
        <v>116</v>
      </c>
      <c r="AP25" t="s">
        <v>125</v>
      </c>
      <c r="AQ25" t="s">
        <v>126</v>
      </c>
      <c r="AR25" t="s">
        <v>127</v>
      </c>
      <c r="AS25" t="s">
        <v>509</v>
      </c>
      <c r="AW25"/>
    </row>
    <row r="26" spans="1:49" x14ac:dyDescent="0.3">
      <c r="A26" t="s">
        <v>461</v>
      </c>
      <c r="B26" s="1">
        <v>45722</v>
      </c>
      <c r="C26" t="s">
        <v>110</v>
      </c>
      <c r="D26" s="5">
        <v>0.91666666666666663</v>
      </c>
      <c r="E26" s="5">
        <v>0.94149305555555551</v>
      </c>
      <c r="F26" t="s">
        <v>537</v>
      </c>
      <c r="G26" t="s">
        <v>462</v>
      </c>
      <c r="H26" t="s">
        <v>463</v>
      </c>
      <c r="I26" t="s">
        <v>464</v>
      </c>
      <c r="J26" t="s">
        <v>59</v>
      </c>
      <c r="K26" t="s">
        <v>59</v>
      </c>
      <c r="L26" t="s">
        <v>60</v>
      </c>
      <c r="M26" t="s">
        <v>60</v>
      </c>
      <c r="N26" t="s">
        <v>465</v>
      </c>
      <c r="O26" t="s">
        <v>85</v>
      </c>
      <c r="P26">
        <v>8</v>
      </c>
      <c r="Q26" t="s">
        <v>466</v>
      </c>
      <c r="T26" t="s">
        <v>467</v>
      </c>
      <c r="U26" t="s">
        <v>118</v>
      </c>
      <c r="V26" t="s">
        <v>468</v>
      </c>
      <c r="W26" t="s">
        <v>66</v>
      </c>
      <c r="AB26" t="s">
        <v>469</v>
      </c>
      <c r="AC26" t="s">
        <v>69</v>
      </c>
      <c r="AD26" t="s">
        <v>70</v>
      </c>
      <c r="AE26" t="s">
        <v>161</v>
      </c>
      <c r="AF26" t="s">
        <v>124</v>
      </c>
      <c r="AH26">
        <v>2025</v>
      </c>
      <c r="AI26">
        <v>10</v>
      </c>
      <c r="AJ26">
        <v>2</v>
      </c>
      <c r="AK26">
        <v>6</v>
      </c>
      <c r="AL26">
        <v>65</v>
      </c>
      <c r="AM26" s="2">
        <v>45722.940972222219</v>
      </c>
      <c r="AN26">
        <v>216</v>
      </c>
      <c r="AO26" t="s">
        <v>466</v>
      </c>
      <c r="AP26" t="s">
        <v>470</v>
      </c>
      <c r="AQ26" t="s">
        <v>471</v>
      </c>
      <c r="AR26" t="s">
        <v>472</v>
      </c>
      <c r="AS26" t="s">
        <v>506</v>
      </c>
      <c r="AW26"/>
    </row>
    <row r="27" spans="1:49" x14ac:dyDescent="0.3">
      <c r="A27" t="s">
        <v>473</v>
      </c>
      <c r="B27" s="1">
        <v>45725</v>
      </c>
      <c r="C27" t="s">
        <v>96</v>
      </c>
      <c r="D27" s="5">
        <v>0.79166666666666663</v>
      </c>
      <c r="E27" s="5">
        <v>0.8125</v>
      </c>
      <c r="F27" t="s">
        <v>459</v>
      </c>
      <c r="G27" t="s">
        <v>462</v>
      </c>
      <c r="H27" t="s">
        <v>474</v>
      </c>
      <c r="I27" t="s">
        <v>475</v>
      </c>
      <c r="J27" t="s">
        <v>59</v>
      </c>
      <c r="K27" t="s">
        <v>59</v>
      </c>
      <c r="L27" t="s">
        <v>60</v>
      </c>
      <c r="M27" t="s">
        <v>60</v>
      </c>
      <c r="N27" t="s">
        <v>476</v>
      </c>
      <c r="O27" t="s">
        <v>135</v>
      </c>
      <c r="P27">
        <v>7</v>
      </c>
      <c r="Q27" t="s">
        <v>477</v>
      </c>
      <c r="T27" t="s">
        <v>478</v>
      </c>
      <c r="U27" t="s">
        <v>479</v>
      </c>
      <c r="V27" t="s">
        <v>480</v>
      </c>
      <c r="W27" t="s">
        <v>66</v>
      </c>
      <c r="AB27" t="s">
        <v>158</v>
      </c>
      <c r="AC27" t="s">
        <v>481</v>
      </c>
      <c r="AD27" t="s">
        <v>352</v>
      </c>
      <c r="AH27">
        <v>2025</v>
      </c>
      <c r="AI27">
        <v>11</v>
      </c>
      <c r="AJ27">
        <v>3</v>
      </c>
      <c r="AK27">
        <v>9</v>
      </c>
      <c r="AL27">
        <v>68</v>
      </c>
      <c r="AM27" s="2">
        <v>45725.8125</v>
      </c>
      <c r="AN27">
        <v>282</v>
      </c>
      <c r="AO27" t="s">
        <v>477</v>
      </c>
      <c r="AP27" t="s">
        <v>482</v>
      </c>
      <c r="AQ27" t="s">
        <v>483</v>
      </c>
      <c r="AR27" t="s">
        <v>484</v>
      </c>
      <c r="AS27" t="s">
        <v>506</v>
      </c>
      <c r="AW27"/>
    </row>
    <row r="28" spans="1:49" x14ac:dyDescent="0.3">
      <c r="A28" t="s">
        <v>54</v>
      </c>
      <c r="B28" s="1">
        <v>45663</v>
      </c>
      <c r="C28" t="s">
        <v>77</v>
      </c>
      <c r="D28" s="5">
        <v>0.625</v>
      </c>
      <c r="E28" s="5">
        <v>0.64583333333333337</v>
      </c>
      <c r="F28" t="s">
        <v>451</v>
      </c>
      <c r="G28" t="s">
        <v>56</v>
      </c>
      <c r="H28" t="s">
        <v>57</v>
      </c>
      <c r="I28" t="s">
        <v>58</v>
      </c>
      <c r="J28" t="s">
        <v>59</v>
      </c>
      <c r="K28" t="s">
        <v>59</v>
      </c>
      <c r="L28" t="s">
        <v>60</v>
      </c>
      <c r="M28" t="s">
        <v>60</v>
      </c>
      <c r="N28" t="s">
        <v>61</v>
      </c>
      <c r="P28">
        <v>7</v>
      </c>
      <c r="Q28" t="s">
        <v>62</v>
      </c>
      <c r="T28" t="s">
        <v>63</v>
      </c>
      <c r="U28" t="s">
        <v>64</v>
      </c>
      <c r="V28" t="s">
        <v>65</v>
      </c>
      <c r="W28" t="s">
        <v>66</v>
      </c>
      <c r="AB28" t="s">
        <v>67</v>
      </c>
      <c r="AC28" t="s">
        <v>69</v>
      </c>
      <c r="AD28" t="s">
        <v>70</v>
      </c>
      <c r="AE28" t="s">
        <v>71</v>
      </c>
      <c r="AF28" t="s">
        <v>72</v>
      </c>
      <c r="AG28" t="s">
        <v>73</v>
      </c>
      <c r="AH28">
        <v>2025</v>
      </c>
      <c r="AI28">
        <v>2</v>
      </c>
      <c r="AJ28">
        <v>2</v>
      </c>
      <c r="AK28">
        <v>6</v>
      </c>
      <c r="AL28">
        <v>6</v>
      </c>
      <c r="AM28" s="2">
        <v>45663.645833333336</v>
      </c>
      <c r="AN28">
        <v>90</v>
      </c>
      <c r="AO28" t="s">
        <v>62</v>
      </c>
      <c r="AP28" t="s">
        <v>74</v>
      </c>
      <c r="AQ28" t="s">
        <v>75</v>
      </c>
      <c r="AR28" t="s">
        <v>76</v>
      </c>
      <c r="AS28" t="s">
        <v>515</v>
      </c>
      <c r="AW28"/>
    </row>
    <row r="29" spans="1:49" x14ac:dyDescent="0.3">
      <c r="A29" t="s">
        <v>78</v>
      </c>
      <c r="B29" s="1">
        <v>45682</v>
      </c>
      <c r="C29" t="s">
        <v>96</v>
      </c>
      <c r="D29" s="5">
        <v>0.75</v>
      </c>
      <c r="E29" s="5">
        <v>0.76875000000000004</v>
      </c>
      <c r="F29" t="s">
        <v>456</v>
      </c>
      <c r="G29" t="s">
        <v>56</v>
      </c>
      <c r="H29" t="s">
        <v>80</v>
      </c>
      <c r="I29" t="s">
        <v>81</v>
      </c>
      <c r="J29" t="s">
        <v>82</v>
      </c>
      <c r="K29" t="s">
        <v>59</v>
      </c>
      <c r="L29" t="s">
        <v>83</v>
      </c>
      <c r="M29" t="s">
        <v>60</v>
      </c>
      <c r="N29" t="s">
        <v>84</v>
      </c>
      <c r="O29" t="s">
        <v>85</v>
      </c>
      <c r="P29">
        <v>8</v>
      </c>
      <c r="Q29" t="s">
        <v>86</v>
      </c>
      <c r="T29" t="s">
        <v>87</v>
      </c>
      <c r="U29" t="s">
        <v>64</v>
      </c>
      <c r="V29" t="s">
        <v>88</v>
      </c>
      <c r="W29" t="s">
        <v>66</v>
      </c>
      <c r="AB29" t="s">
        <v>89</v>
      </c>
      <c r="AC29" t="s">
        <v>90</v>
      </c>
      <c r="AD29" t="s">
        <v>91</v>
      </c>
      <c r="AE29" t="s">
        <v>92</v>
      </c>
      <c r="AF29" t="s">
        <v>93</v>
      </c>
      <c r="AG29" t="s">
        <v>73</v>
      </c>
      <c r="AH29">
        <v>2025</v>
      </c>
      <c r="AI29">
        <v>4</v>
      </c>
      <c r="AJ29">
        <v>4</v>
      </c>
      <c r="AK29">
        <v>25</v>
      </c>
      <c r="AL29">
        <v>25</v>
      </c>
      <c r="AM29" s="2">
        <v>45682.768750000003</v>
      </c>
      <c r="AN29">
        <v>206</v>
      </c>
      <c r="AO29" t="s">
        <v>86</v>
      </c>
      <c r="AP29" t="s">
        <v>94</v>
      </c>
      <c r="AQ29" t="s">
        <v>95</v>
      </c>
      <c r="AR29" t="s">
        <v>60</v>
      </c>
      <c r="AS29" t="s">
        <v>512</v>
      </c>
      <c r="AW29"/>
    </row>
    <row r="30" spans="1:49" x14ac:dyDescent="0.3">
      <c r="A30" t="s">
        <v>97</v>
      </c>
      <c r="B30" s="1">
        <v>45683</v>
      </c>
      <c r="C30" t="s">
        <v>110</v>
      </c>
      <c r="D30" s="5">
        <v>0.83333333333333337</v>
      </c>
      <c r="E30" s="5">
        <v>0.84027777777777779</v>
      </c>
      <c r="F30" t="s">
        <v>459</v>
      </c>
      <c r="G30" t="s">
        <v>56</v>
      </c>
      <c r="H30" t="s">
        <v>99</v>
      </c>
      <c r="I30" t="s">
        <v>100</v>
      </c>
      <c r="J30" t="s">
        <v>82</v>
      </c>
      <c r="K30" t="s">
        <v>59</v>
      </c>
      <c r="L30" t="s">
        <v>83</v>
      </c>
      <c r="M30" t="s">
        <v>60</v>
      </c>
      <c r="N30" t="s">
        <v>101</v>
      </c>
      <c r="O30" t="s">
        <v>102</v>
      </c>
      <c r="P30">
        <v>9</v>
      </c>
      <c r="Q30" t="s">
        <v>103</v>
      </c>
      <c r="T30" t="s">
        <v>104</v>
      </c>
      <c r="U30" t="s">
        <v>64</v>
      </c>
      <c r="V30" t="s">
        <v>105</v>
      </c>
      <c r="W30" t="s">
        <v>66</v>
      </c>
      <c r="AB30" t="s">
        <v>67</v>
      </c>
      <c r="AC30" t="s">
        <v>106</v>
      </c>
      <c r="AD30" t="s">
        <v>70</v>
      </c>
      <c r="AE30" t="s">
        <v>107</v>
      </c>
      <c r="AF30" t="s">
        <v>72</v>
      </c>
      <c r="AG30" t="s">
        <v>73</v>
      </c>
      <c r="AH30">
        <v>2025</v>
      </c>
      <c r="AI30">
        <v>5</v>
      </c>
      <c r="AJ30">
        <v>5</v>
      </c>
      <c r="AK30">
        <v>26</v>
      </c>
      <c r="AL30">
        <v>26</v>
      </c>
      <c r="AM30" s="2">
        <v>45683.840277777781</v>
      </c>
      <c r="AN30">
        <v>5</v>
      </c>
      <c r="AO30" t="s">
        <v>103</v>
      </c>
      <c r="AP30" t="s">
        <v>108</v>
      </c>
      <c r="AQ30" t="s">
        <v>60</v>
      </c>
      <c r="AR30" t="s">
        <v>109</v>
      </c>
      <c r="AS30" t="s">
        <v>512</v>
      </c>
      <c r="AW30"/>
    </row>
    <row r="31" spans="1:49" x14ac:dyDescent="0.3">
      <c r="A31" t="s">
        <v>111</v>
      </c>
      <c r="B31" s="1">
        <v>45701</v>
      </c>
      <c r="C31" t="s">
        <v>96</v>
      </c>
      <c r="D31" s="5">
        <v>0.66666666666666663</v>
      </c>
      <c r="E31" s="5">
        <v>0.66666666666666663</v>
      </c>
      <c r="F31" t="s">
        <v>537</v>
      </c>
      <c r="G31" t="s">
        <v>112</v>
      </c>
      <c r="H31" t="s">
        <v>113</v>
      </c>
      <c r="I31" t="s">
        <v>113</v>
      </c>
      <c r="J31" t="s">
        <v>59</v>
      </c>
      <c r="K31" t="s">
        <v>59</v>
      </c>
      <c r="L31" t="s">
        <v>60</v>
      </c>
      <c r="M31" t="s">
        <v>60</v>
      </c>
      <c r="N31" t="s">
        <v>114</v>
      </c>
      <c r="O31" t="s">
        <v>115</v>
      </c>
      <c r="P31">
        <v>6</v>
      </c>
      <c r="Q31" t="s">
        <v>116</v>
      </c>
      <c r="T31" t="s">
        <v>117</v>
      </c>
      <c r="U31" t="s">
        <v>118</v>
      </c>
      <c r="V31" t="s">
        <v>119</v>
      </c>
      <c r="W31" t="s">
        <v>66</v>
      </c>
      <c r="AB31" t="s">
        <v>120</v>
      </c>
      <c r="AC31" t="s">
        <v>121</v>
      </c>
      <c r="AD31" t="s">
        <v>122</v>
      </c>
      <c r="AE31" t="s">
        <v>123</v>
      </c>
      <c r="AF31" t="s">
        <v>72</v>
      </c>
      <c r="AG31" t="s">
        <v>73</v>
      </c>
      <c r="AH31">
        <v>2025</v>
      </c>
      <c r="AI31">
        <v>7</v>
      </c>
      <c r="AJ31">
        <v>3</v>
      </c>
      <c r="AK31">
        <v>13</v>
      </c>
      <c r="AL31">
        <v>44</v>
      </c>
      <c r="AM31" s="2">
        <v>45701.666666666664</v>
      </c>
      <c r="AO31" t="s">
        <v>116</v>
      </c>
      <c r="AP31" t="s">
        <v>125</v>
      </c>
      <c r="AQ31" t="s">
        <v>126</v>
      </c>
      <c r="AR31" t="s">
        <v>127</v>
      </c>
      <c r="AS31" t="s">
        <v>509</v>
      </c>
      <c r="AW31"/>
    </row>
    <row r="32" spans="1:49" x14ac:dyDescent="0.3">
      <c r="A32" t="s">
        <v>461</v>
      </c>
      <c r="B32" s="1">
        <v>45722</v>
      </c>
      <c r="C32" t="s">
        <v>110</v>
      </c>
      <c r="D32" s="5">
        <v>0.91666666666666663</v>
      </c>
      <c r="E32" s="5">
        <v>0.94149305555555551</v>
      </c>
      <c r="F32" t="s">
        <v>537</v>
      </c>
      <c r="G32" t="s">
        <v>462</v>
      </c>
      <c r="H32" t="s">
        <v>463</v>
      </c>
      <c r="I32" t="s">
        <v>464</v>
      </c>
      <c r="J32" t="s">
        <v>59</v>
      </c>
      <c r="K32" t="s">
        <v>59</v>
      </c>
      <c r="L32" t="s">
        <v>60</v>
      </c>
      <c r="M32" t="s">
        <v>60</v>
      </c>
      <c r="N32" t="s">
        <v>465</v>
      </c>
      <c r="O32" t="s">
        <v>85</v>
      </c>
      <c r="P32">
        <v>8</v>
      </c>
      <c r="Q32" t="s">
        <v>466</v>
      </c>
      <c r="T32" t="s">
        <v>467</v>
      </c>
      <c r="U32" t="s">
        <v>118</v>
      </c>
      <c r="V32" t="s">
        <v>468</v>
      </c>
      <c r="W32" t="s">
        <v>66</v>
      </c>
      <c r="AB32" t="s">
        <v>469</v>
      </c>
      <c r="AC32" t="s">
        <v>69</v>
      </c>
      <c r="AD32" t="s">
        <v>70</v>
      </c>
      <c r="AE32" t="s">
        <v>161</v>
      </c>
      <c r="AF32" t="s">
        <v>124</v>
      </c>
      <c r="AH32">
        <v>2025</v>
      </c>
      <c r="AI32">
        <v>10</v>
      </c>
      <c r="AJ32">
        <v>2</v>
      </c>
      <c r="AK32">
        <v>6</v>
      </c>
      <c r="AL32">
        <v>65</v>
      </c>
      <c r="AM32" s="2">
        <v>45722.940972222219</v>
      </c>
      <c r="AN32">
        <v>216</v>
      </c>
      <c r="AO32" t="s">
        <v>466</v>
      </c>
      <c r="AP32" t="s">
        <v>470</v>
      </c>
      <c r="AQ32" t="s">
        <v>471</v>
      </c>
      <c r="AR32" t="s">
        <v>472</v>
      </c>
      <c r="AS32" t="s">
        <v>506</v>
      </c>
      <c r="AW32"/>
    </row>
    <row r="33" spans="1:49" x14ac:dyDescent="0.3">
      <c r="A33" t="s">
        <v>473</v>
      </c>
      <c r="B33" s="1">
        <v>45725</v>
      </c>
      <c r="C33" t="s">
        <v>96</v>
      </c>
      <c r="D33" s="5">
        <v>0.79166666666666663</v>
      </c>
      <c r="E33" s="5">
        <v>0.8125</v>
      </c>
      <c r="F33" t="s">
        <v>459</v>
      </c>
      <c r="G33" t="s">
        <v>462</v>
      </c>
      <c r="H33" t="s">
        <v>474</v>
      </c>
      <c r="I33" t="s">
        <v>475</v>
      </c>
      <c r="J33" t="s">
        <v>59</v>
      </c>
      <c r="K33" t="s">
        <v>59</v>
      </c>
      <c r="L33" t="s">
        <v>60</v>
      </c>
      <c r="M33" t="s">
        <v>60</v>
      </c>
      <c r="N33" t="s">
        <v>476</v>
      </c>
      <c r="O33" t="s">
        <v>135</v>
      </c>
      <c r="P33">
        <v>7</v>
      </c>
      <c r="Q33" t="s">
        <v>477</v>
      </c>
      <c r="T33" t="s">
        <v>478</v>
      </c>
      <c r="U33" t="s">
        <v>479</v>
      </c>
      <c r="V33" t="s">
        <v>480</v>
      </c>
      <c r="W33" t="s">
        <v>66</v>
      </c>
      <c r="AB33" t="s">
        <v>158</v>
      </c>
      <c r="AC33" t="s">
        <v>481</v>
      </c>
      <c r="AD33" t="s">
        <v>352</v>
      </c>
      <c r="AE33" t="s">
        <v>123</v>
      </c>
      <c r="AF33" t="s">
        <v>124</v>
      </c>
      <c r="AH33">
        <v>2025</v>
      </c>
      <c r="AI33">
        <v>11</v>
      </c>
      <c r="AJ33">
        <v>3</v>
      </c>
      <c r="AK33">
        <v>9</v>
      </c>
      <c r="AL33">
        <v>68</v>
      </c>
      <c r="AM33" s="2">
        <v>45725.8125</v>
      </c>
      <c r="AN33">
        <v>282</v>
      </c>
      <c r="AO33" t="s">
        <v>477</v>
      </c>
      <c r="AP33" t="s">
        <v>482</v>
      </c>
      <c r="AQ33" t="s">
        <v>483</v>
      </c>
      <c r="AR33" t="s">
        <v>484</v>
      </c>
      <c r="AS33" t="s">
        <v>506</v>
      </c>
      <c r="AW33"/>
    </row>
    <row r="34" spans="1:49" x14ac:dyDescent="0.3">
      <c r="A34" t="s">
        <v>54</v>
      </c>
      <c r="B34" s="1">
        <v>45663</v>
      </c>
      <c r="C34" t="s">
        <v>77</v>
      </c>
      <c r="D34" s="5">
        <v>0.625</v>
      </c>
      <c r="E34" s="5">
        <v>0.64583333333333337</v>
      </c>
      <c r="F34" t="s">
        <v>451</v>
      </c>
      <c r="G34" t="s">
        <v>56</v>
      </c>
      <c r="H34" t="s">
        <v>57</v>
      </c>
      <c r="I34" t="s">
        <v>58</v>
      </c>
      <c r="J34" t="s">
        <v>59</v>
      </c>
      <c r="K34" t="s">
        <v>59</v>
      </c>
      <c r="L34" t="s">
        <v>60</v>
      </c>
      <c r="M34" t="s">
        <v>60</v>
      </c>
      <c r="N34" t="s">
        <v>61</v>
      </c>
      <c r="P34">
        <v>7</v>
      </c>
      <c r="Q34" t="s">
        <v>62</v>
      </c>
      <c r="T34" t="s">
        <v>63</v>
      </c>
      <c r="U34" t="s">
        <v>64</v>
      </c>
      <c r="V34" t="s">
        <v>65</v>
      </c>
      <c r="W34" t="s">
        <v>66</v>
      </c>
      <c r="AB34" t="s">
        <v>67</v>
      </c>
      <c r="AC34" t="s">
        <v>69</v>
      </c>
      <c r="AD34" t="s">
        <v>70</v>
      </c>
      <c r="AE34" t="s">
        <v>71</v>
      </c>
      <c r="AF34" t="s">
        <v>72</v>
      </c>
      <c r="AG34" t="s">
        <v>73</v>
      </c>
      <c r="AH34">
        <v>2025</v>
      </c>
      <c r="AI34">
        <v>2</v>
      </c>
      <c r="AJ34">
        <v>2</v>
      </c>
      <c r="AK34">
        <v>6</v>
      </c>
      <c r="AL34">
        <v>6</v>
      </c>
      <c r="AM34" s="2">
        <v>45663.645833333336</v>
      </c>
      <c r="AN34">
        <v>90</v>
      </c>
      <c r="AO34" t="s">
        <v>62</v>
      </c>
      <c r="AP34" t="s">
        <v>74</v>
      </c>
      <c r="AQ34" t="s">
        <v>75</v>
      </c>
      <c r="AR34" t="s">
        <v>76</v>
      </c>
      <c r="AS34" t="s">
        <v>515</v>
      </c>
      <c r="AW34"/>
    </row>
    <row r="35" spans="1:49" x14ac:dyDescent="0.3">
      <c r="A35" t="s">
        <v>78</v>
      </c>
      <c r="B35" s="1">
        <v>45682</v>
      </c>
      <c r="C35" t="s">
        <v>96</v>
      </c>
      <c r="D35" s="5">
        <v>0.75</v>
      </c>
      <c r="E35" s="5">
        <v>0.76875000000000004</v>
      </c>
      <c r="F35" t="s">
        <v>456</v>
      </c>
      <c r="G35" t="s">
        <v>56</v>
      </c>
      <c r="H35" t="s">
        <v>80</v>
      </c>
      <c r="I35" t="s">
        <v>81</v>
      </c>
      <c r="J35" t="s">
        <v>82</v>
      </c>
      <c r="K35" t="s">
        <v>59</v>
      </c>
      <c r="L35" t="s">
        <v>83</v>
      </c>
      <c r="M35" t="s">
        <v>60</v>
      </c>
      <c r="N35" t="s">
        <v>84</v>
      </c>
      <c r="O35" t="s">
        <v>85</v>
      </c>
      <c r="P35">
        <v>8</v>
      </c>
      <c r="Q35" t="s">
        <v>86</v>
      </c>
      <c r="T35" t="s">
        <v>87</v>
      </c>
      <c r="U35" t="s">
        <v>64</v>
      </c>
      <c r="V35" t="s">
        <v>88</v>
      </c>
      <c r="W35" t="s">
        <v>66</v>
      </c>
      <c r="AB35" t="s">
        <v>89</v>
      </c>
      <c r="AC35" t="s">
        <v>90</v>
      </c>
      <c r="AD35" t="s">
        <v>91</v>
      </c>
      <c r="AE35" t="s">
        <v>92</v>
      </c>
      <c r="AF35" t="s">
        <v>93</v>
      </c>
      <c r="AG35" t="s">
        <v>73</v>
      </c>
      <c r="AH35">
        <v>2025</v>
      </c>
      <c r="AI35">
        <v>4</v>
      </c>
      <c r="AJ35">
        <v>4</v>
      </c>
      <c r="AK35">
        <v>25</v>
      </c>
      <c r="AL35">
        <v>25</v>
      </c>
      <c r="AM35" s="2">
        <v>45682.768750000003</v>
      </c>
      <c r="AN35">
        <v>206</v>
      </c>
      <c r="AO35" t="s">
        <v>86</v>
      </c>
      <c r="AP35" t="s">
        <v>94</v>
      </c>
      <c r="AQ35" t="s">
        <v>95</v>
      </c>
      <c r="AR35" t="s">
        <v>60</v>
      </c>
      <c r="AS35" t="s">
        <v>512</v>
      </c>
      <c r="AW35"/>
    </row>
    <row r="36" spans="1:49" x14ac:dyDescent="0.3">
      <c r="A36" t="s">
        <v>97</v>
      </c>
      <c r="B36" s="1">
        <v>45683</v>
      </c>
      <c r="C36" t="s">
        <v>110</v>
      </c>
      <c r="D36" s="5">
        <v>0.83333333333333337</v>
      </c>
      <c r="E36" s="5">
        <v>0.84027777777777779</v>
      </c>
      <c r="F36" t="s">
        <v>459</v>
      </c>
      <c r="G36" t="s">
        <v>56</v>
      </c>
      <c r="H36" t="s">
        <v>99</v>
      </c>
      <c r="I36" t="s">
        <v>100</v>
      </c>
      <c r="J36" t="s">
        <v>82</v>
      </c>
      <c r="K36" t="s">
        <v>59</v>
      </c>
      <c r="L36" t="s">
        <v>83</v>
      </c>
      <c r="M36" t="s">
        <v>60</v>
      </c>
      <c r="N36" t="s">
        <v>101</v>
      </c>
      <c r="O36" t="s">
        <v>102</v>
      </c>
      <c r="P36">
        <v>9</v>
      </c>
      <c r="Q36" t="s">
        <v>103</v>
      </c>
      <c r="T36" t="s">
        <v>104</v>
      </c>
      <c r="U36" t="s">
        <v>64</v>
      </c>
      <c r="V36" t="s">
        <v>105</v>
      </c>
      <c r="W36" t="s">
        <v>66</v>
      </c>
      <c r="AB36" t="s">
        <v>67</v>
      </c>
      <c r="AC36" t="s">
        <v>106</v>
      </c>
      <c r="AD36" t="s">
        <v>70</v>
      </c>
      <c r="AE36" t="s">
        <v>107</v>
      </c>
      <c r="AF36" t="s">
        <v>72</v>
      </c>
      <c r="AG36" t="s">
        <v>73</v>
      </c>
      <c r="AH36">
        <v>2025</v>
      </c>
      <c r="AI36">
        <v>5</v>
      </c>
      <c r="AJ36">
        <v>5</v>
      </c>
      <c r="AK36">
        <v>26</v>
      </c>
      <c r="AL36">
        <v>26</v>
      </c>
      <c r="AM36" s="2">
        <v>45683.840277777781</v>
      </c>
      <c r="AN36">
        <v>5</v>
      </c>
      <c r="AO36" t="s">
        <v>103</v>
      </c>
      <c r="AP36" t="s">
        <v>108</v>
      </c>
      <c r="AQ36" t="s">
        <v>60</v>
      </c>
      <c r="AR36" t="s">
        <v>109</v>
      </c>
      <c r="AS36" t="s">
        <v>512</v>
      </c>
      <c r="AW36"/>
    </row>
    <row r="37" spans="1:49" x14ac:dyDescent="0.3">
      <c r="A37" t="s">
        <v>111</v>
      </c>
      <c r="B37" s="1">
        <v>45701</v>
      </c>
      <c r="C37" t="s">
        <v>96</v>
      </c>
      <c r="D37" s="5">
        <v>0.66666666666666663</v>
      </c>
      <c r="E37" s="5">
        <v>0.66666666666666663</v>
      </c>
      <c r="F37" t="s">
        <v>537</v>
      </c>
      <c r="G37" t="s">
        <v>112</v>
      </c>
      <c r="H37" t="s">
        <v>113</v>
      </c>
      <c r="I37" t="s">
        <v>113</v>
      </c>
      <c r="J37" t="s">
        <v>59</v>
      </c>
      <c r="K37" t="s">
        <v>59</v>
      </c>
      <c r="L37" t="s">
        <v>60</v>
      </c>
      <c r="M37" t="s">
        <v>60</v>
      </c>
      <c r="N37" t="s">
        <v>114</v>
      </c>
      <c r="O37" t="s">
        <v>115</v>
      </c>
      <c r="P37">
        <v>6</v>
      </c>
      <c r="Q37" t="s">
        <v>116</v>
      </c>
      <c r="T37" t="s">
        <v>117</v>
      </c>
      <c r="U37" t="s">
        <v>118</v>
      </c>
      <c r="V37" t="s">
        <v>119</v>
      </c>
      <c r="W37" t="s">
        <v>66</v>
      </c>
      <c r="AB37" t="s">
        <v>120</v>
      </c>
      <c r="AC37" t="s">
        <v>121</v>
      </c>
      <c r="AD37" t="s">
        <v>122</v>
      </c>
      <c r="AE37" t="s">
        <v>123</v>
      </c>
      <c r="AF37" t="s">
        <v>72</v>
      </c>
      <c r="AG37" t="s">
        <v>73</v>
      </c>
      <c r="AH37">
        <v>2025</v>
      </c>
      <c r="AI37">
        <v>7</v>
      </c>
      <c r="AJ37">
        <v>3</v>
      </c>
      <c r="AK37">
        <v>13</v>
      </c>
      <c r="AL37">
        <v>44</v>
      </c>
      <c r="AM37" s="2">
        <v>45701.666666666664</v>
      </c>
      <c r="AO37" t="s">
        <v>116</v>
      </c>
      <c r="AP37" t="s">
        <v>125</v>
      </c>
      <c r="AQ37" t="s">
        <v>126</v>
      </c>
      <c r="AR37" t="s">
        <v>127</v>
      </c>
      <c r="AS37" t="s">
        <v>509</v>
      </c>
      <c r="AW37"/>
    </row>
    <row r="38" spans="1:49" x14ac:dyDescent="0.3">
      <c r="A38" t="s">
        <v>461</v>
      </c>
      <c r="B38" s="1">
        <v>45722</v>
      </c>
      <c r="C38" t="s">
        <v>110</v>
      </c>
      <c r="D38" s="5">
        <v>0.91666666666666663</v>
      </c>
      <c r="E38" s="5">
        <v>0.94149305555555551</v>
      </c>
      <c r="F38" t="s">
        <v>537</v>
      </c>
      <c r="G38" t="s">
        <v>462</v>
      </c>
      <c r="H38" t="s">
        <v>463</v>
      </c>
      <c r="I38" t="s">
        <v>464</v>
      </c>
      <c r="J38" t="s">
        <v>59</v>
      </c>
      <c r="K38" t="s">
        <v>59</v>
      </c>
      <c r="L38" t="s">
        <v>60</v>
      </c>
      <c r="M38" t="s">
        <v>60</v>
      </c>
      <c r="N38" t="s">
        <v>465</v>
      </c>
      <c r="O38" t="s">
        <v>85</v>
      </c>
      <c r="P38">
        <v>8</v>
      </c>
      <c r="Q38" t="s">
        <v>466</v>
      </c>
      <c r="T38" t="s">
        <v>467</v>
      </c>
      <c r="U38" t="s">
        <v>118</v>
      </c>
      <c r="V38" t="s">
        <v>468</v>
      </c>
      <c r="W38" t="s">
        <v>66</v>
      </c>
      <c r="AB38" t="s">
        <v>469</v>
      </c>
      <c r="AC38" t="s">
        <v>69</v>
      </c>
      <c r="AD38" t="s">
        <v>70</v>
      </c>
      <c r="AE38" t="s">
        <v>161</v>
      </c>
      <c r="AF38" t="s">
        <v>124</v>
      </c>
      <c r="AG38" t="s">
        <v>73</v>
      </c>
      <c r="AH38">
        <v>2025</v>
      </c>
      <c r="AI38">
        <v>10</v>
      </c>
      <c r="AJ38">
        <v>2</v>
      </c>
      <c r="AK38">
        <v>6</v>
      </c>
      <c r="AL38">
        <v>65</v>
      </c>
      <c r="AM38" s="2">
        <v>45722.940972222219</v>
      </c>
      <c r="AN38">
        <v>216</v>
      </c>
      <c r="AO38" t="s">
        <v>466</v>
      </c>
      <c r="AP38" t="s">
        <v>470</v>
      </c>
      <c r="AQ38" t="s">
        <v>471</v>
      </c>
      <c r="AR38" t="s">
        <v>472</v>
      </c>
      <c r="AS38" t="s">
        <v>506</v>
      </c>
      <c r="AW38"/>
    </row>
    <row r="39" spans="1:49" x14ac:dyDescent="0.3">
      <c r="A39" t="s">
        <v>473</v>
      </c>
      <c r="B39" s="1">
        <v>45725</v>
      </c>
      <c r="C39" t="s">
        <v>96</v>
      </c>
      <c r="D39" s="5">
        <v>0.79166666666666663</v>
      </c>
      <c r="E39" s="5">
        <v>0.8125</v>
      </c>
      <c r="F39" t="s">
        <v>459</v>
      </c>
      <c r="G39" t="s">
        <v>462</v>
      </c>
      <c r="H39" t="s">
        <v>474</v>
      </c>
      <c r="I39" t="s">
        <v>475</v>
      </c>
      <c r="J39" t="s">
        <v>59</v>
      </c>
      <c r="K39" t="s">
        <v>59</v>
      </c>
      <c r="L39" t="s">
        <v>60</v>
      </c>
      <c r="M39" t="s">
        <v>60</v>
      </c>
      <c r="N39" t="s">
        <v>476</v>
      </c>
      <c r="O39" t="s">
        <v>135</v>
      </c>
      <c r="P39">
        <v>7</v>
      </c>
      <c r="Q39" t="s">
        <v>477</v>
      </c>
      <c r="T39" t="s">
        <v>478</v>
      </c>
      <c r="U39" t="s">
        <v>479</v>
      </c>
      <c r="V39" t="s">
        <v>480</v>
      </c>
      <c r="W39" t="s">
        <v>66</v>
      </c>
      <c r="AB39" t="s">
        <v>158</v>
      </c>
      <c r="AC39" t="s">
        <v>481</v>
      </c>
      <c r="AD39" t="s">
        <v>352</v>
      </c>
      <c r="AE39" t="s">
        <v>123</v>
      </c>
      <c r="AF39" t="s">
        <v>72</v>
      </c>
      <c r="AG39" t="s">
        <v>73</v>
      </c>
      <c r="AH39">
        <v>2025</v>
      </c>
      <c r="AI39">
        <v>11</v>
      </c>
      <c r="AJ39">
        <v>3</v>
      </c>
      <c r="AK39">
        <v>9</v>
      </c>
      <c r="AL39">
        <v>68</v>
      </c>
      <c r="AM39" s="2">
        <v>45725.8125</v>
      </c>
      <c r="AN39">
        <v>282</v>
      </c>
      <c r="AO39" t="s">
        <v>477</v>
      </c>
      <c r="AP39" t="s">
        <v>482</v>
      </c>
      <c r="AQ39" t="s">
        <v>483</v>
      </c>
      <c r="AR39" t="s">
        <v>484</v>
      </c>
      <c r="AS39" t="s">
        <v>506</v>
      </c>
      <c r="AW39"/>
    </row>
    <row r="40" spans="1:49" x14ac:dyDescent="0.3">
      <c r="A40" t="s">
        <v>517</v>
      </c>
      <c r="B40" s="1">
        <v>45727</v>
      </c>
      <c r="C40" t="s">
        <v>77</v>
      </c>
      <c r="D40" s="5">
        <v>0.58333333333333337</v>
      </c>
      <c r="E40" s="5">
        <v>0.60416666666666663</v>
      </c>
      <c r="F40" t="s">
        <v>452</v>
      </c>
      <c r="G40" t="s">
        <v>462</v>
      </c>
      <c r="H40" t="s">
        <v>518</v>
      </c>
      <c r="I40" t="s">
        <v>519</v>
      </c>
      <c r="J40" t="s">
        <v>59</v>
      </c>
      <c r="K40" t="s">
        <v>59</v>
      </c>
      <c r="L40" t="s">
        <v>60</v>
      </c>
      <c r="M40" t="s">
        <v>60</v>
      </c>
      <c r="N40" t="s">
        <v>520</v>
      </c>
      <c r="O40" t="s">
        <v>85</v>
      </c>
      <c r="P40">
        <v>8</v>
      </c>
      <c r="Q40" t="s">
        <v>521</v>
      </c>
      <c r="T40" t="s">
        <v>522</v>
      </c>
      <c r="U40" t="s">
        <v>523</v>
      </c>
      <c r="V40" t="s">
        <v>524</v>
      </c>
      <c r="W40" t="s">
        <v>66</v>
      </c>
      <c r="AB40" t="s">
        <v>417</v>
      </c>
      <c r="AC40" t="s">
        <v>159</v>
      </c>
      <c r="AD40" t="s">
        <v>160</v>
      </c>
      <c r="AE40" t="s">
        <v>525</v>
      </c>
      <c r="AF40" t="s">
        <v>124</v>
      </c>
      <c r="AG40" t="s">
        <v>73</v>
      </c>
      <c r="AH40">
        <v>2025</v>
      </c>
      <c r="AI40">
        <v>11</v>
      </c>
      <c r="AJ40">
        <v>3</v>
      </c>
      <c r="AK40">
        <v>11</v>
      </c>
      <c r="AL40">
        <v>70</v>
      </c>
      <c r="AM40" s="2">
        <v>45727.604166666664</v>
      </c>
      <c r="AN40">
        <v>123</v>
      </c>
      <c r="AO40" t="s">
        <v>521</v>
      </c>
      <c r="AP40" t="s">
        <v>526</v>
      </c>
      <c r="AQ40" t="s">
        <v>527</v>
      </c>
      <c r="AR40" t="s">
        <v>528</v>
      </c>
      <c r="AS40" t="s">
        <v>529</v>
      </c>
      <c r="AW40"/>
    </row>
    <row r="41" spans="1:49" x14ac:dyDescent="0.3">
      <c r="A41" t="s">
        <v>461</v>
      </c>
      <c r="B41" s="1">
        <v>45722</v>
      </c>
      <c r="C41" t="s">
        <v>110</v>
      </c>
      <c r="D41" s="5">
        <v>0.91666666666666663</v>
      </c>
      <c r="E41" s="5">
        <v>0.94149305555555551</v>
      </c>
      <c r="F41" t="s">
        <v>537</v>
      </c>
      <c r="G41" t="s">
        <v>462</v>
      </c>
      <c r="H41" t="s">
        <v>463</v>
      </c>
      <c r="I41" t="s">
        <v>464</v>
      </c>
      <c r="J41" t="s">
        <v>59</v>
      </c>
      <c r="K41" t="s">
        <v>59</v>
      </c>
      <c r="L41" t="s">
        <v>60</v>
      </c>
      <c r="M41" t="s">
        <v>60</v>
      </c>
      <c r="N41" t="s">
        <v>465</v>
      </c>
      <c r="O41" t="s">
        <v>85</v>
      </c>
      <c r="P41">
        <v>8</v>
      </c>
      <c r="Q41" t="s">
        <v>466</v>
      </c>
      <c r="T41" t="s">
        <v>467</v>
      </c>
      <c r="U41" t="s">
        <v>118</v>
      </c>
      <c r="V41" t="s">
        <v>468</v>
      </c>
      <c r="W41" t="s">
        <v>66</v>
      </c>
      <c r="AB41" t="s">
        <v>469</v>
      </c>
      <c r="AC41" t="s">
        <v>69</v>
      </c>
      <c r="AD41" t="s">
        <v>70</v>
      </c>
      <c r="AE41" t="s">
        <v>161</v>
      </c>
      <c r="AF41" t="s">
        <v>124</v>
      </c>
      <c r="AG41" t="s">
        <v>73</v>
      </c>
      <c r="AH41">
        <v>2025</v>
      </c>
      <c r="AI41">
        <v>10</v>
      </c>
      <c r="AJ41">
        <v>2</v>
      </c>
      <c r="AK41">
        <v>6</v>
      </c>
      <c r="AL41">
        <v>65</v>
      </c>
      <c r="AM41" s="2">
        <v>45722.940972222219</v>
      </c>
      <c r="AN41">
        <v>216</v>
      </c>
      <c r="AO41" t="s">
        <v>466</v>
      </c>
      <c r="AP41" t="s">
        <v>470</v>
      </c>
      <c r="AQ41" t="s">
        <v>471</v>
      </c>
      <c r="AR41" t="s">
        <v>472</v>
      </c>
      <c r="AS41" t="s">
        <v>506</v>
      </c>
      <c r="AW41"/>
    </row>
    <row r="42" spans="1:49" x14ac:dyDescent="0.3">
      <c r="A42" t="s">
        <v>473</v>
      </c>
      <c r="B42" s="1">
        <v>45725</v>
      </c>
      <c r="C42" t="s">
        <v>96</v>
      </c>
      <c r="D42" s="5">
        <v>0.79166666666666663</v>
      </c>
      <c r="E42" s="5">
        <v>0.8125</v>
      </c>
      <c r="F42" t="s">
        <v>459</v>
      </c>
      <c r="G42" t="s">
        <v>462</v>
      </c>
      <c r="H42" t="s">
        <v>474</v>
      </c>
      <c r="I42" t="s">
        <v>475</v>
      </c>
      <c r="J42" t="s">
        <v>59</v>
      </c>
      <c r="K42" t="s">
        <v>59</v>
      </c>
      <c r="L42" t="s">
        <v>60</v>
      </c>
      <c r="M42" t="s">
        <v>60</v>
      </c>
      <c r="N42" t="s">
        <v>476</v>
      </c>
      <c r="O42" t="s">
        <v>135</v>
      </c>
      <c r="P42">
        <v>7</v>
      </c>
      <c r="Q42" t="s">
        <v>477</v>
      </c>
      <c r="T42" t="s">
        <v>478</v>
      </c>
      <c r="U42" t="s">
        <v>479</v>
      </c>
      <c r="V42" t="s">
        <v>480</v>
      </c>
      <c r="W42" t="s">
        <v>66</v>
      </c>
      <c r="AB42" t="s">
        <v>158</v>
      </c>
      <c r="AC42" t="s">
        <v>481</v>
      </c>
      <c r="AD42" t="s">
        <v>352</v>
      </c>
      <c r="AE42" t="s">
        <v>123</v>
      </c>
      <c r="AF42" t="s">
        <v>72</v>
      </c>
      <c r="AG42" t="s">
        <v>73</v>
      </c>
      <c r="AH42">
        <v>2025</v>
      </c>
      <c r="AI42">
        <v>11</v>
      </c>
      <c r="AJ42">
        <v>3</v>
      </c>
      <c r="AK42">
        <v>9</v>
      </c>
      <c r="AL42">
        <v>68</v>
      </c>
      <c r="AM42" s="2">
        <v>45725.8125</v>
      </c>
      <c r="AN42">
        <v>282</v>
      </c>
      <c r="AO42" t="s">
        <v>477</v>
      </c>
      <c r="AP42" t="s">
        <v>482</v>
      </c>
      <c r="AQ42" t="s">
        <v>483</v>
      </c>
      <c r="AR42" t="s">
        <v>484</v>
      </c>
      <c r="AS42" t="s">
        <v>506</v>
      </c>
      <c r="AW42"/>
    </row>
    <row r="43" spans="1:49" x14ac:dyDescent="0.3">
      <c r="A43" t="s">
        <v>517</v>
      </c>
      <c r="B43" s="1">
        <v>45727</v>
      </c>
      <c r="C43" t="s">
        <v>77</v>
      </c>
      <c r="D43" s="5">
        <v>0.58333333333333337</v>
      </c>
      <c r="E43" s="5">
        <v>0.60416666666666663</v>
      </c>
      <c r="F43" t="s">
        <v>452</v>
      </c>
      <c r="G43" t="s">
        <v>462</v>
      </c>
      <c r="H43" t="s">
        <v>518</v>
      </c>
      <c r="I43" t="s">
        <v>519</v>
      </c>
      <c r="J43" t="s">
        <v>59</v>
      </c>
      <c r="K43" t="s">
        <v>59</v>
      </c>
      <c r="L43" t="s">
        <v>60</v>
      </c>
      <c r="M43" t="s">
        <v>60</v>
      </c>
      <c r="N43" t="s">
        <v>520</v>
      </c>
      <c r="O43" t="s">
        <v>85</v>
      </c>
      <c r="P43">
        <v>8</v>
      </c>
      <c r="Q43" t="s">
        <v>521</v>
      </c>
      <c r="T43" t="s">
        <v>522</v>
      </c>
      <c r="U43" t="s">
        <v>523</v>
      </c>
      <c r="V43" t="s">
        <v>524</v>
      </c>
      <c r="W43" t="s">
        <v>66</v>
      </c>
      <c r="AB43" t="s">
        <v>417</v>
      </c>
      <c r="AC43" t="s">
        <v>159</v>
      </c>
      <c r="AD43" t="s">
        <v>160</v>
      </c>
      <c r="AE43" t="s">
        <v>525</v>
      </c>
      <c r="AF43" t="s">
        <v>124</v>
      </c>
      <c r="AG43" t="s">
        <v>73</v>
      </c>
      <c r="AH43">
        <v>2025</v>
      </c>
      <c r="AI43">
        <v>11</v>
      </c>
      <c r="AJ43">
        <v>3</v>
      </c>
      <c r="AK43">
        <v>11</v>
      </c>
      <c r="AL43">
        <v>70</v>
      </c>
      <c r="AM43" s="2">
        <v>45727.604166666664</v>
      </c>
      <c r="AN43">
        <v>123</v>
      </c>
      <c r="AO43" t="s">
        <v>521</v>
      </c>
      <c r="AP43" t="s">
        <v>526</v>
      </c>
      <c r="AQ43" t="s">
        <v>527</v>
      </c>
      <c r="AR43" t="s">
        <v>528</v>
      </c>
      <c r="AS43" t="s">
        <v>529</v>
      </c>
      <c r="AW43"/>
    </row>
    <row r="44" spans="1:49" x14ac:dyDescent="0.3">
      <c r="A44" t="s">
        <v>54</v>
      </c>
      <c r="B44" s="1">
        <v>45663</v>
      </c>
      <c r="C44" t="s">
        <v>77</v>
      </c>
      <c r="D44" s="5">
        <v>0.625</v>
      </c>
      <c r="E44" s="5">
        <v>0.64583333333333337</v>
      </c>
      <c r="F44" t="s">
        <v>451</v>
      </c>
      <c r="G44" t="s">
        <v>56</v>
      </c>
      <c r="H44" t="s">
        <v>57</v>
      </c>
      <c r="I44" t="s">
        <v>58</v>
      </c>
      <c r="J44" t="s">
        <v>59</v>
      </c>
      <c r="K44" t="s">
        <v>59</v>
      </c>
      <c r="L44" t="s">
        <v>60</v>
      </c>
      <c r="M44" t="s">
        <v>60</v>
      </c>
      <c r="N44" t="s">
        <v>61</v>
      </c>
      <c r="P44">
        <v>7</v>
      </c>
      <c r="Q44" t="s">
        <v>62</v>
      </c>
      <c r="T44" t="s">
        <v>63</v>
      </c>
      <c r="U44" t="s">
        <v>64</v>
      </c>
      <c r="V44" t="s">
        <v>65</v>
      </c>
      <c r="W44" t="s">
        <v>66</v>
      </c>
      <c r="AB44" t="s">
        <v>67</v>
      </c>
      <c r="AC44" t="s">
        <v>69</v>
      </c>
      <c r="AD44" t="s">
        <v>70</v>
      </c>
      <c r="AE44" t="s">
        <v>71</v>
      </c>
      <c r="AF44" t="s">
        <v>72</v>
      </c>
      <c r="AG44" t="s">
        <v>73</v>
      </c>
      <c r="AH44">
        <v>2025</v>
      </c>
      <c r="AI44">
        <v>2</v>
      </c>
      <c r="AJ44">
        <v>2</v>
      </c>
      <c r="AK44">
        <v>6</v>
      </c>
      <c r="AL44">
        <v>6</v>
      </c>
      <c r="AM44" s="2">
        <v>45663.645833333336</v>
      </c>
      <c r="AN44">
        <v>90</v>
      </c>
      <c r="AO44" t="s">
        <v>62</v>
      </c>
      <c r="AP44" t="s">
        <v>74</v>
      </c>
      <c r="AQ44" t="s">
        <v>75</v>
      </c>
      <c r="AR44" t="s">
        <v>76</v>
      </c>
      <c r="AS44" t="s">
        <v>515</v>
      </c>
      <c r="AW44"/>
    </row>
    <row r="45" spans="1:49" x14ac:dyDescent="0.3">
      <c r="A45" t="s">
        <v>78</v>
      </c>
      <c r="B45" s="1">
        <v>45682</v>
      </c>
      <c r="C45" t="s">
        <v>96</v>
      </c>
      <c r="D45" s="5">
        <v>0.75</v>
      </c>
      <c r="E45" s="5">
        <v>0.76875000000000004</v>
      </c>
      <c r="F45" t="s">
        <v>456</v>
      </c>
      <c r="G45" t="s">
        <v>56</v>
      </c>
      <c r="H45" t="s">
        <v>80</v>
      </c>
      <c r="I45" t="s">
        <v>81</v>
      </c>
      <c r="J45" t="s">
        <v>82</v>
      </c>
      <c r="K45" t="s">
        <v>59</v>
      </c>
      <c r="L45" t="s">
        <v>83</v>
      </c>
      <c r="M45" t="s">
        <v>60</v>
      </c>
      <c r="N45" t="s">
        <v>84</v>
      </c>
      <c r="O45" t="s">
        <v>85</v>
      </c>
      <c r="P45">
        <v>8</v>
      </c>
      <c r="Q45" t="s">
        <v>86</v>
      </c>
      <c r="T45" t="s">
        <v>87</v>
      </c>
      <c r="U45" t="s">
        <v>64</v>
      </c>
      <c r="V45" t="s">
        <v>88</v>
      </c>
      <c r="W45" t="s">
        <v>66</v>
      </c>
      <c r="AB45" t="s">
        <v>89</v>
      </c>
      <c r="AC45" t="s">
        <v>90</v>
      </c>
      <c r="AD45" t="s">
        <v>91</v>
      </c>
      <c r="AE45" t="s">
        <v>92</v>
      </c>
      <c r="AF45" t="s">
        <v>93</v>
      </c>
      <c r="AG45" t="s">
        <v>73</v>
      </c>
      <c r="AH45">
        <v>2025</v>
      </c>
      <c r="AI45">
        <v>4</v>
      </c>
      <c r="AJ45">
        <v>4</v>
      </c>
      <c r="AK45">
        <v>25</v>
      </c>
      <c r="AL45">
        <v>25</v>
      </c>
      <c r="AM45" s="2">
        <v>45682.768750000003</v>
      </c>
      <c r="AN45">
        <v>206</v>
      </c>
      <c r="AO45" t="s">
        <v>86</v>
      </c>
      <c r="AP45" t="s">
        <v>94</v>
      </c>
      <c r="AQ45" t="s">
        <v>95</v>
      </c>
      <c r="AR45" t="s">
        <v>60</v>
      </c>
      <c r="AS45" t="s">
        <v>512</v>
      </c>
      <c r="AW45"/>
    </row>
    <row r="46" spans="1:49" x14ac:dyDescent="0.3">
      <c r="A46" t="s">
        <v>97</v>
      </c>
      <c r="B46" s="1">
        <v>45683</v>
      </c>
      <c r="C46" t="s">
        <v>110</v>
      </c>
      <c r="D46" s="5">
        <v>0.83333333333333337</v>
      </c>
      <c r="E46" s="5">
        <v>0.84027777777777779</v>
      </c>
      <c r="F46" t="s">
        <v>459</v>
      </c>
      <c r="G46" t="s">
        <v>56</v>
      </c>
      <c r="H46" t="s">
        <v>99</v>
      </c>
      <c r="I46" t="s">
        <v>100</v>
      </c>
      <c r="J46" t="s">
        <v>82</v>
      </c>
      <c r="K46" t="s">
        <v>59</v>
      </c>
      <c r="L46" t="s">
        <v>83</v>
      </c>
      <c r="M46" t="s">
        <v>60</v>
      </c>
      <c r="N46" t="s">
        <v>101</v>
      </c>
      <c r="O46" t="s">
        <v>102</v>
      </c>
      <c r="P46">
        <v>9</v>
      </c>
      <c r="Q46" t="s">
        <v>103</v>
      </c>
      <c r="T46" t="s">
        <v>104</v>
      </c>
      <c r="U46" t="s">
        <v>64</v>
      </c>
      <c r="V46" t="s">
        <v>105</v>
      </c>
      <c r="W46" t="s">
        <v>66</v>
      </c>
      <c r="AB46" t="s">
        <v>67</v>
      </c>
      <c r="AC46" t="s">
        <v>106</v>
      </c>
      <c r="AD46" t="s">
        <v>70</v>
      </c>
      <c r="AE46" t="s">
        <v>107</v>
      </c>
      <c r="AF46" t="s">
        <v>72</v>
      </c>
      <c r="AG46" t="s">
        <v>73</v>
      </c>
      <c r="AH46">
        <v>2025</v>
      </c>
      <c r="AI46">
        <v>5</v>
      </c>
      <c r="AJ46">
        <v>5</v>
      </c>
      <c r="AK46">
        <v>26</v>
      </c>
      <c r="AL46">
        <v>26</v>
      </c>
      <c r="AM46" s="2">
        <v>45683.840277777781</v>
      </c>
      <c r="AN46">
        <v>5</v>
      </c>
      <c r="AO46" t="s">
        <v>103</v>
      </c>
      <c r="AP46" t="s">
        <v>108</v>
      </c>
      <c r="AQ46" t="s">
        <v>60</v>
      </c>
      <c r="AR46" t="s">
        <v>109</v>
      </c>
      <c r="AS46" t="s">
        <v>512</v>
      </c>
      <c r="AW46"/>
    </row>
    <row r="47" spans="1:49" x14ac:dyDescent="0.3">
      <c r="A47" t="s">
        <v>111</v>
      </c>
      <c r="B47" s="1">
        <v>45701</v>
      </c>
      <c r="C47" t="s">
        <v>96</v>
      </c>
      <c r="D47" s="5">
        <v>0.66666666666666663</v>
      </c>
      <c r="E47" s="5">
        <v>0.66666666666666663</v>
      </c>
      <c r="F47" t="s">
        <v>537</v>
      </c>
      <c r="G47" t="s">
        <v>112</v>
      </c>
      <c r="H47" t="s">
        <v>113</v>
      </c>
      <c r="I47" t="s">
        <v>113</v>
      </c>
      <c r="J47" t="s">
        <v>59</v>
      </c>
      <c r="K47" t="s">
        <v>59</v>
      </c>
      <c r="L47" t="s">
        <v>60</v>
      </c>
      <c r="M47" t="s">
        <v>60</v>
      </c>
      <c r="N47" t="s">
        <v>114</v>
      </c>
      <c r="O47" t="s">
        <v>115</v>
      </c>
      <c r="P47">
        <v>6</v>
      </c>
      <c r="Q47" t="s">
        <v>116</v>
      </c>
      <c r="T47" t="s">
        <v>117</v>
      </c>
      <c r="U47" t="s">
        <v>118</v>
      </c>
      <c r="V47" t="s">
        <v>119</v>
      </c>
      <c r="W47" t="s">
        <v>66</v>
      </c>
      <c r="AB47" t="s">
        <v>120</v>
      </c>
      <c r="AC47" t="s">
        <v>121</v>
      </c>
      <c r="AD47" t="s">
        <v>122</v>
      </c>
      <c r="AE47" t="s">
        <v>123</v>
      </c>
      <c r="AF47" t="s">
        <v>72</v>
      </c>
      <c r="AG47" t="s">
        <v>73</v>
      </c>
      <c r="AH47">
        <v>2025</v>
      </c>
      <c r="AI47">
        <v>7</v>
      </c>
      <c r="AJ47">
        <v>3</v>
      </c>
      <c r="AK47">
        <v>13</v>
      </c>
      <c r="AL47">
        <v>44</v>
      </c>
      <c r="AM47" s="2">
        <v>45701.666666666664</v>
      </c>
      <c r="AO47" t="s">
        <v>116</v>
      </c>
      <c r="AP47" t="s">
        <v>125</v>
      </c>
      <c r="AQ47" t="s">
        <v>126</v>
      </c>
      <c r="AR47" t="s">
        <v>127</v>
      </c>
      <c r="AS47" t="s">
        <v>509</v>
      </c>
      <c r="AW47"/>
    </row>
    <row r="48" spans="1:49" x14ac:dyDescent="0.3">
      <c r="A48" t="s">
        <v>461</v>
      </c>
      <c r="B48" s="1">
        <v>45722</v>
      </c>
      <c r="C48" t="s">
        <v>110</v>
      </c>
      <c r="D48" s="5">
        <v>0.91666666666666663</v>
      </c>
      <c r="E48" s="5">
        <v>0.94149305555555551</v>
      </c>
      <c r="F48" t="s">
        <v>537</v>
      </c>
      <c r="G48" t="s">
        <v>462</v>
      </c>
      <c r="H48" t="s">
        <v>463</v>
      </c>
      <c r="I48" t="s">
        <v>464</v>
      </c>
      <c r="J48" t="s">
        <v>59</v>
      </c>
      <c r="K48" t="s">
        <v>59</v>
      </c>
      <c r="L48" t="s">
        <v>60</v>
      </c>
      <c r="M48" t="s">
        <v>60</v>
      </c>
      <c r="N48" t="s">
        <v>465</v>
      </c>
      <c r="O48" t="s">
        <v>85</v>
      </c>
      <c r="P48">
        <v>8</v>
      </c>
      <c r="Q48" t="s">
        <v>466</v>
      </c>
      <c r="T48" t="s">
        <v>467</v>
      </c>
      <c r="U48" t="s">
        <v>118</v>
      </c>
      <c r="V48" t="s">
        <v>468</v>
      </c>
      <c r="W48" t="s">
        <v>66</v>
      </c>
      <c r="AB48" t="s">
        <v>469</v>
      </c>
      <c r="AC48" t="s">
        <v>69</v>
      </c>
      <c r="AD48" t="s">
        <v>70</v>
      </c>
      <c r="AE48" t="s">
        <v>161</v>
      </c>
      <c r="AF48" t="s">
        <v>124</v>
      </c>
      <c r="AG48" t="s">
        <v>73</v>
      </c>
      <c r="AH48">
        <v>2025</v>
      </c>
      <c r="AI48">
        <v>10</v>
      </c>
      <c r="AJ48">
        <v>2</v>
      </c>
      <c r="AK48">
        <v>6</v>
      </c>
      <c r="AL48">
        <v>65</v>
      </c>
      <c r="AM48" s="2">
        <v>45722.940972222219</v>
      </c>
      <c r="AN48">
        <v>216</v>
      </c>
      <c r="AO48" t="s">
        <v>466</v>
      </c>
      <c r="AP48" t="s">
        <v>470</v>
      </c>
      <c r="AQ48" t="s">
        <v>471</v>
      </c>
      <c r="AR48" t="s">
        <v>472</v>
      </c>
      <c r="AS48" t="s">
        <v>506</v>
      </c>
      <c r="AW48"/>
    </row>
    <row r="49" spans="1:49" x14ac:dyDescent="0.3">
      <c r="A49" t="s">
        <v>473</v>
      </c>
      <c r="B49" s="1">
        <v>45725</v>
      </c>
      <c r="C49" t="s">
        <v>96</v>
      </c>
      <c r="D49" s="5">
        <v>0.79166666666666663</v>
      </c>
      <c r="E49" s="5">
        <v>0.8125</v>
      </c>
      <c r="F49" t="s">
        <v>459</v>
      </c>
      <c r="G49" t="s">
        <v>462</v>
      </c>
      <c r="H49" t="s">
        <v>474</v>
      </c>
      <c r="I49" t="s">
        <v>475</v>
      </c>
      <c r="J49" t="s">
        <v>59</v>
      </c>
      <c r="K49" t="s">
        <v>59</v>
      </c>
      <c r="L49" t="s">
        <v>60</v>
      </c>
      <c r="M49" t="s">
        <v>60</v>
      </c>
      <c r="N49" t="s">
        <v>476</v>
      </c>
      <c r="O49" t="s">
        <v>135</v>
      </c>
      <c r="P49">
        <v>7</v>
      </c>
      <c r="Q49" t="s">
        <v>477</v>
      </c>
      <c r="T49" t="s">
        <v>478</v>
      </c>
      <c r="U49" t="s">
        <v>479</v>
      </c>
      <c r="V49" t="s">
        <v>480</v>
      </c>
      <c r="W49" t="s">
        <v>66</v>
      </c>
      <c r="AB49" t="s">
        <v>158</v>
      </c>
      <c r="AC49" t="s">
        <v>481</v>
      </c>
      <c r="AD49" t="s">
        <v>352</v>
      </c>
      <c r="AE49" t="s">
        <v>123</v>
      </c>
      <c r="AF49" t="s">
        <v>72</v>
      </c>
      <c r="AG49" t="s">
        <v>73</v>
      </c>
      <c r="AH49">
        <v>2025</v>
      </c>
      <c r="AI49">
        <v>11</v>
      </c>
      <c r="AJ49">
        <v>3</v>
      </c>
      <c r="AK49">
        <v>9</v>
      </c>
      <c r="AL49">
        <v>68</v>
      </c>
      <c r="AM49" s="2">
        <v>45725.8125</v>
      </c>
      <c r="AN49">
        <v>282</v>
      </c>
      <c r="AO49" t="s">
        <v>477</v>
      </c>
      <c r="AP49" t="s">
        <v>482</v>
      </c>
      <c r="AQ49" t="s">
        <v>483</v>
      </c>
      <c r="AR49" t="s">
        <v>484</v>
      </c>
      <c r="AS49" t="s">
        <v>506</v>
      </c>
      <c r="AW49"/>
    </row>
    <row r="50" spans="1:49" x14ac:dyDescent="0.3">
      <c r="A50" t="s">
        <v>517</v>
      </c>
      <c r="B50" s="1">
        <v>45727</v>
      </c>
      <c r="C50" t="s">
        <v>77</v>
      </c>
      <c r="D50" s="5">
        <v>0.58333333333333337</v>
      </c>
      <c r="E50" s="5">
        <v>0.60416666666666663</v>
      </c>
      <c r="F50" t="s">
        <v>452</v>
      </c>
      <c r="G50" t="s">
        <v>462</v>
      </c>
      <c r="H50" t="s">
        <v>518</v>
      </c>
      <c r="I50" t="s">
        <v>519</v>
      </c>
      <c r="J50" t="s">
        <v>59</v>
      </c>
      <c r="K50" t="s">
        <v>59</v>
      </c>
      <c r="L50" t="s">
        <v>60</v>
      </c>
      <c r="M50" t="s">
        <v>60</v>
      </c>
      <c r="N50" t="s">
        <v>520</v>
      </c>
      <c r="O50" t="s">
        <v>85</v>
      </c>
      <c r="P50">
        <v>8</v>
      </c>
      <c r="Q50" t="s">
        <v>521</v>
      </c>
      <c r="T50" t="s">
        <v>522</v>
      </c>
      <c r="U50" t="s">
        <v>523</v>
      </c>
      <c r="V50" t="s">
        <v>524</v>
      </c>
      <c r="W50" t="s">
        <v>66</v>
      </c>
      <c r="AB50" t="s">
        <v>417</v>
      </c>
      <c r="AC50" t="s">
        <v>159</v>
      </c>
      <c r="AD50" t="s">
        <v>160</v>
      </c>
      <c r="AE50" t="s">
        <v>525</v>
      </c>
      <c r="AF50" t="s">
        <v>72</v>
      </c>
      <c r="AG50" t="s">
        <v>73</v>
      </c>
      <c r="AH50">
        <v>2025</v>
      </c>
      <c r="AI50">
        <v>11</v>
      </c>
      <c r="AJ50">
        <v>3</v>
      </c>
      <c r="AK50">
        <v>11</v>
      </c>
      <c r="AL50">
        <v>70</v>
      </c>
      <c r="AM50" s="2">
        <v>45727.604166666664</v>
      </c>
      <c r="AN50">
        <v>123</v>
      </c>
      <c r="AO50" t="s">
        <v>521</v>
      </c>
      <c r="AP50" t="s">
        <v>526</v>
      </c>
      <c r="AQ50" t="s">
        <v>527</v>
      </c>
      <c r="AR50" t="s">
        <v>528</v>
      </c>
      <c r="AS50" t="s">
        <v>529</v>
      </c>
      <c r="AW50"/>
    </row>
    <row r="51" spans="1:49" x14ac:dyDescent="0.3">
      <c r="A51" t="s">
        <v>560</v>
      </c>
      <c r="B51" s="1">
        <v>45739</v>
      </c>
      <c r="C51" t="s">
        <v>305</v>
      </c>
      <c r="D51" s="5">
        <v>0.16666666666666666</v>
      </c>
      <c r="E51" s="5">
        <v>0.1736111111111111</v>
      </c>
      <c r="F51" t="s">
        <v>459</v>
      </c>
      <c r="G51" t="s">
        <v>462</v>
      </c>
      <c r="H51" t="s">
        <v>561</v>
      </c>
      <c r="I51" t="s">
        <v>562</v>
      </c>
      <c r="J51" t="s">
        <v>563</v>
      </c>
      <c r="K51" t="s">
        <v>59</v>
      </c>
      <c r="L51" t="s">
        <v>564</v>
      </c>
      <c r="M51" t="s">
        <v>60</v>
      </c>
      <c r="N51" t="s">
        <v>565</v>
      </c>
      <c r="O51" t="s">
        <v>251</v>
      </c>
      <c r="P51">
        <v>5</v>
      </c>
      <c r="Q51" t="s">
        <v>566</v>
      </c>
      <c r="T51" t="s">
        <v>567</v>
      </c>
      <c r="U51" t="s">
        <v>118</v>
      </c>
      <c r="V51" t="s">
        <v>568</v>
      </c>
      <c r="W51" t="s">
        <v>66</v>
      </c>
      <c r="AB51" t="s">
        <v>569</v>
      </c>
      <c r="AC51" t="s">
        <v>106</v>
      </c>
      <c r="AD51" t="s">
        <v>70</v>
      </c>
      <c r="AE51" t="s">
        <v>123</v>
      </c>
      <c r="AF51" t="s">
        <v>124</v>
      </c>
      <c r="AH51">
        <v>2025</v>
      </c>
      <c r="AI51">
        <v>13</v>
      </c>
      <c r="AJ51">
        <v>5</v>
      </c>
      <c r="AK51">
        <v>23</v>
      </c>
      <c r="AL51">
        <v>82</v>
      </c>
      <c r="AM51" s="2">
        <v>45739.173611111109</v>
      </c>
      <c r="AN51">
        <v>24</v>
      </c>
      <c r="AO51" t="s">
        <v>566</v>
      </c>
      <c r="AP51" t="s">
        <v>570</v>
      </c>
      <c r="AQ51" t="s">
        <v>571</v>
      </c>
      <c r="AR51" t="s">
        <v>572</v>
      </c>
      <c r="AS51" t="s">
        <v>549</v>
      </c>
      <c r="AW51"/>
    </row>
    <row r="52" spans="1:49" x14ac:dyDescent="0.3">
      <c r="A52" t="s">
        <v>54</v>
      </c>
      <c r="B52" s="1">
        <v>45663</v>
      </c>
      <c r="C52" t="s">
        <v>77</v>
      </c>
      <c r="D52" s="5">
        <v>0.625</v>
      </c>
      <c r="E52" s="5">
        <v>0.64583333333333337</v>
      </c>
      <c r="F52" t="s">
        <v>451</v>
      </c>
      <c r="G52" t="s">
        <v>56</v>
      </c>
      <c r="H52" t="s">
        <v>57</v>
      </c>
      <c r="I52" t="s">
        <v>58</v>
      </c>
      <c r="J52" t="s">
        <v>59</v>
      </c>
      <c r="K52" t="s">
        <v>59</v>
      </c>
      <c r="L52" t="s">
        <v>60</v>
      </c>
      <c r="M52" t="s">
        <v>60</v>
      </c>
      <c r="N52" t="s">
        <v>61</v>
      </c>
      <c r="P52">
        <v>7</v>
      </c>
      <c r="Q52" t="s">
        <v>62</v>
      </c>
      <c r="T52" t="s">
        <v>63</v>
      </c>
      <c r="U52" t="s">
        <v>64</v>
      </c>
      <c r="V52" t="s">
        <v>65</v>
      </c>
      <c r="W52" t="s">
        <v>66</v>
      </c>
      <c r="AB52" t="s">
        <v>67</v>
      </c>
      <c r="AC52" t="s">
        <v>69</v>
      </c>
      <c r="AD52" t="s">
        <v>70</v>
      </c>
      <c r="AE52" t="s">
        <v>71</v>
      </c>
      <c r="AF52" t="s">
        <v>124</v>
      </c>
      <c r="AG52" t="s">
        <v>73</v>
      </c>
      <c r="AH52">
        <v>2025</v>
      </c>
      <c r="AI52">
        <v>2</v>
      </c>
      <c r="AJ52">
        <v>2</v>
      </c>
      <c r="AK52">
        <v>6</v>
      </c>
      <c r="AL52">
        <v>6</v>
      </c>
      <c r="AM52" s="2">
        <v>45663.645833333336</v>
      </c>
      <c r="AN52">
        <v>90</v>
      </c>
      <c r="AO52" t="s">
        <v>62</v>
      </c>
      <c r="AP52" t="s">
        <v>74</v>
      </c>
      <c r="AQ52" t="s">
        <v>75</v>
      </c>
      <c r="AR52" t="s">
        <v>76</v>
      </c>
      <c r="AS52" t="s">
        <v>515</v>
      </c>
      <c r="AW52"/>
    </row>
    <row r="53" spans="1:49" x14ac:dyDescent="0.3">
      <c r="A53" t="s">
        <v>78</v>
      </c>
      <c r="B53" s="1">
        <v>45682</v>
      </c>
      <c r="C53" t="s">
        <v>96</v>
      </c>
      <c r="D53" s="5">
        <v>0.75</v>
      </c>
      <c r="E53" s="5">
        <v>0.76875000000000004</v>
      </c>
      <c r="F53" t="s">
        <v>456</v>
      </c>
      <c r="G53" t="s">
        <v>56</v>
      </c>
      <c r="H53" t="s">
        <v>80</v>
      </c>
      <c r="I53" t="s">
        <v>81</v>
      </c>
      <c r="J53" t="s">
        <v>82</v>
      </c>
      <c r="K53" t="s">
        <v>59</v>
      </c>
      <c r="L53" t="s">
        <v>83</v>
      </c>
      <c r="M53" t="s">
        <v>60</v>
      </c>
      <c r="N53" t="s">
        <v>84</v>
      </c>
      <c r="O53" t="s">
        <v>85</v>
      </c>
      <c r="P53">
        <v>8</v>
      </c>
      <c r="Q53" t="s">
        <v>86</v>
      </c>
      <c r="T53" t="s">
        <v>87</v>
      </c>
      <c r="U53" t="s">
        <v>64</v>
      </c>
      <c r="V53" t="s">
        <v>88</v>
      </c>
      <c r="W53" t="s">
        <v>66</v>
      </c>
      <c r="AB53" t="s">
        <v>89</v>
      </c>
      <c r="AC53" t="s">
        <v>90</v>
      </c>
      <c r="AD53" t="s">
        <v>91</v>
      </c>
      <c r="AE53" t="s">
        <v>92</v>
      </c>
      <c r="AF53" t="s">
        <v>93</v>
      </c>
      <c r="AG53" t="s">
        <v>73</v>
      </c>
      <c r="AH53">
        <v>2025</v>
      </c>
      <c r="AI53">
        <v>4</v>
      </c>
      <c r="AJ53">
        <v>4</v>
      </c>
      <c r="AK53">
        <v>25</v>
      </c>
      <c r="AL53">
        <v>25</v>
      </c>
      <c r="AM53" s="2">
        <v>45682.768750000003</v>
      </c>
      <c r="AN53">
        <v>206</v>
      </c>
      <c r="AO53" t="s">
        <v>86</v>
      </c>
      <c r="AP53" t="s">
        <v>94</v>
      </c>
      <c r="AQ53" t="s">
        <v>95</v>
      </c>
      <c r="AR53" t="s">
        <v>60</v>
      </c>
      <c r="AS53" t="s">
        <v>512</v>
      </c>
      <c r="AW53"/>
    </row>
    <row r="54" spans="1:49" x14ac:dyDescent="0.3">
      <c r="A54" t="s">
        <v>97</v>
      </c>
      <c r="B54" s="1">
        <v>45683</v>
      </c>
      <c r="C54" t="s">
        <v>110</v>
      </c>
      <c r="D54" s="5">
        <v>0.83333333333333337</v>
      </c>
      <c r="E54" s="5">
        <v>0.84027777777777779</v>
      </c>
      <c r="F54" t="s">
        <v>459</v>
      </c>
      <c r="G54" t="s">
        <v>56</v>
      </c>
      <c r="H54" t="s">
        <v>99</v>
      </c>
      <c r="I54" t="s">
        <v>100</v>
      </c>
      <c r="J54" t="s">
        <v>82</v>
      </c>
      <c r="K54" t="s">
        <v>59</v>
      </c>
      <c r="L54" t="s">
        <v>83</v>
      </c>
      <c r="M54" t="s">
        <v>60</v>
      </c>
      <c r="N54" t="s">
        <v>101</v>
      </c>
      <c r="O54" t="s">
        <v>102</v>
      </c>
      <c r="P54">
        <v>9</v>
      </c>
      <c r="Q54" t="s">
        <v>103</v>
      </c>
      <c r="T54" t="s">
        <v>104</v>
      </c>
      <c r="U54" t="s">
        <v>64</v>
      </c>
      <c r="V54" t="s">
        <v>105</v>
      </c>
      <c r="W54" t="s">
        <v>66</v>
      </c>
      <c r="AB54" t="s">
        <v>67</v>
      </c>
      <c r="AC54" t="s">
        <v>106</v>
      </c>
      <c r="AD54" t="s">
        <v>70</v>
      </c>
      <c r="AE54" t="s">
        <v>107</v>
      </c>
      <c r="AF54" t="s">
        <v>72</v>
      </c>
      <c r="AG54" t="s">
        <v>73</v>
      </c>
      <c r="AH54">
        <v>2025</v>
      </c>
      <c r="AI54">
        <v>5</v>
      </c>
      <c r="AJ54">
        <v>5</v>
      </c>
      <c r="AK54">
        <v>26</v>
      </c>
      <c r="AL54">
        <v>26</v>
      </c>
      <c r="AM54" s="2">
        <v>45683.840277777781</v>
      </c>
      <c r="AN54">
        <v>5</v>
      </c>
      <c r="AO54" t="s">
        <v>103</v>
      </c>
      <c r="AP54" t="s">
        <v>108</v>
      </c>
      <c r="AQ54" t="s">
        <v>60</v>
      </c>
      <c r="AR54" t="s">
        <v>109</v>
      </c>
      <c r="AS54" t="s">
        <v>512</v>
      </c>
      <c r="AW54"/>
    </row>
    <row r="55" spans="1:49" x14ac:dyDescent="0.3">
      <c r="A55" t="s">
        <v>111</v>
      </c>
      <c r="B55" s="1">
        <v>45701</v>
      </c>
      <c r="C55" t="s">
        <v>96</v>
      </c>
      <c r="D55" s="5">
        <v>0.66666666666666663</v>
      </c>
      <c r="E55" s="5">
        <v>0.66666666666666663</v>
      </c>
      <c r="F55" t="s">
        <v>537</v>
      </c>
      <c r="G55" t="s">
        <v>112</v>
      </c>
      <c r="H55" t="s">
        <v>113</v>
      </c>
      <c r="I55" t="s">
        <v>113</v>
      </c>
      <c r="J55" t="s">
        <v>59</v>
      </c>
      <c r="K55" t="s">
        <v>59</v>
      </c>
      <c r="L55" t="s">
        <v>60</v>
      </c>
      <c r="M55" t="s">
        <v>60</v>
      </c>
      <c r="N55" t="s">
        <v>114</v>
      </c>
      <c r="O55" t="s">
        <v>115</v>
      </c>
      <c r="P55">
        <v>6</v>
      </c>
      <c r="Q55" t="s">
        <v>116</v>
      </c>
      <c r="T55" t="s">
        <v>117</v>
      </c>
      <c r="U55" t="s">
        <v>118</v>
      </c>
      <c r="V55" t="s">
        <v>119</v>
      </c>
      <c r="W55" t="s">
        <v>66</v>
      </c>
      <c r="AB55" t="s">
        <v>120</v>
      </c>
      <c r="AC55" t="s">
        <v>121</v>
      </c>
      <c r="AD55" t="s">
        <v>122</v>
      </c>
      <c r="AE55" t="s">
        <v>123</v>
      </c>
      <c r="AF55" t="s">
        <v>72</v>
      </c>
      <c r="AG55" t="s">
        <v>73</v>
      </c>
      <c r="AH55">
        <v>2025</v>
      </c>
      <c r="AI55">
        <v>7</v>
      </c>
      <c r="AJ55">
        <v>3</v>
      </c>
      <c r="AK55">
        <v>13</v>
      </c>
      <c r="AL55">
        <v>44</v>
      </c>
      <c r="AM55" s="2">
        <v>45701.666666666664</v>
      </c>
      <c r="AO55" t="s">
        <v>116</v>
      </c>
      <c r="AP55" t="s">
        <v>125</v>
      </c>
      <c r="AQ55" t="s">
        <v>126</v>
      </c>
      <c r="AR55" t="s">
        <v>127</v>
      </c>
      <c r="AS55" t="s">
        <v>509</v>
      </c>
      <c r="AW55"/>
    </row>
    <row r="56" spans="1:49" x14ac:dyDescent="0.3">
      <c r="A56" t="s">
        <v>461</v>
      </c>
      <c r="B56" s="1">
        <v>45722</v>
      </c>
      <c r="C56" t="s">
        <v>110</v>
      </c>
      <c r="D56" s="5">
        <v>0.91666666666666663</v>
      </c>
      <c r="E56" s="5">
        <v>0.94149305555555551</v>
      </c>
      <c r="F56" t="s">
        <v>537</v>
      </c>
      <c r="G56" t="s">
        <v>462</v>
      </c>
      <c r="H56" t="s">
        <v>463</v>
      </c>
      <c r="I56" t="s">
        <v>464</v>
      </c>
      <c r="J56" t="s">
        <v>59</v>
      </c>
      <c r="K56" t="s">
        <v>59</v>
      </c>
      <c r="L56" t="s">
        <v>60</v>
      </c>
      <c r="M56" t="s">
        <v>60</v>
      </c>
      <c r="N56" t="s">
        <v>465</v>
      </c>
      <c r="O56" t="s">
        <v>85</v>
      </c>
      <c r="P56">
        <v>8</v>
      </c>
      <c r="Q56" t="s">
        <v>466</v>
      </c>
      <c r="T56" t="s">
        <v>467</v>
      </c>
      <c r="U56" t="s">
        <v>118</v>
      </c>
      <c r="V56" t="s">
        <v>468</v>
      </c>
      <c r="W56" t="s">
        <v>66</v>
      </c>
      <c r="AB56" t="s">
        <v>469</v>
      </c>
      <c r="AC56" t="s">
        <v>69</v>
      </c>
      <c r="AD56" t="s">
        <v>70</v>
      </c>
      <c r="AE56" t="s">
        <v>161</v>
      </c>
      <c r="AF56" t="s">
        <v>124</v>
      </c>
      <c r="AG56" t="s">
        <v>73</v>
      </c>
      <c r="AH56">
        <v>2025</v>
      </c>
      <c r="AI56">
        <v>10</v>
      </c>
      <c r="AJ56">
        <v>2</v>
      </c>
      <c r="AK56">
        <v>6</v>
      </c>
      <c r="AL56">
        <v>65</v>
      </c>
      <c r="AM56" s="2">
        <v>45722.940972222219</v>
      </c>
      <c r="AN56">
        <v>216</v>
      </c>
      <c r="AO56" t="s">
        <v>466</v>
      </c>
      <c r="AP56" t="s">
        <v>470</v>
      </c>
      <c r="AQ56" t="s">
        <v>471</v>
      </c>
      <c r="AR56" t="s">
        <v>472</v>
      </c>
      <c r="AS56" t="s">
        <v>506</v>
      </c>
      <c r="AW56"/>
    </row>
    <row r="57" spans="1:49" x14ac:dyDescent="0.3">
      <c r="A57" t="s">
        <v>473</v>
      </c>
      <c r="B57" s="1">
        <v>45725</v>
      </c>
      <c r="C57" t="s">
        <v>96</v>
      </c>
      <c r="D57" s="5">
        <v>0.79166666666666663</v>
      </c>
      <c r="E57" s="5">
        <v>0.8125</v>
      </c>
      <c r="F57" t="s">
        <v>459</v>
      </c>
      <c r="G57" t="s">
        <v>462</v>
      </c>
      <c r="H57" t="s">
        <v>474</v>
      </c>
      <c r="I57" t="s">
        <v>475</v>
      </c>
      <c r="J57" t="s">
        <v>59</v>
      </c>
      <c r="K57" t="s">
        <v>59</v>
      </c>
      <c r="L57" t="s">
        <v>60</v>
      </c>
      <c r="M57" t="s">
        <v>60</v>
      </c>
      <c r="N57" t="s">
        <v>476</v>
      </c>
      <c r="O57" t="s">
        <v>135</v>
      </c>
      <c r="P57">
        <v>7</v>
      </c>
      <c r="Q57" t="s">
        <v>477</v>
      </c>
      <c r="T57" t="s">
        <v>478</v>
      </c>
      <c r="U57" t="s">
        <v>479</v>
      </c>
      <c r="V57" t="s">
        <v>480</v>
      </c>
      <c r="W57" t="s">
        <v>66</v>
      </c>
      <c r="AB57" t="s">
        <v>158</v>
      </c>
      <c r="AC57" t="s">
        <v>481</v>
      </c>
      <c r="AD57" t="s">
        <v>352</v>
      </c>
      <c r="AE57" t="s">
        <v>123</v>
      </c>
      <c r="AF57" t="s">
        <v>72</v>
      </c>
      <c r="AG57" t="s">
        <v>73</v>
      </c>
      <c r="AH57">
        <v>2025</v>
      </c>
      <c r="AI57">
        <v>11</v>
      </c>
      <c r="AJ57">
        <v>3</v>
      </c>
      <c r="AK57">
        <v>9</v>
      </c>
      <c r="AL57">
        <v>68</v>
      </c>
      <c r="AM57" s="2">
        <v>45725.8125</v>
      </c>
      <c r="AN57">
        <v>282</v>
      </c>
      <c r="AO57" t="s">
        <v>477</v>
      </c>
      <c r="AP57" t="s">
        <v>482</v>
      </c>
      <c r="AQ57" t="s">
        <v>483</v>
      </c>
      <c r="AR57" t="s">
        <v>484</v>
      </c>
      <c r="AS57" t="s">
        <v>506</v>
      </c>
      <c r="AW57"/>
    </row>
    <row r="58" spans="1:49" x14ac:dyDescent="0.3">
      <c r="A58" t="s">
        <v>517</v>
      </c>
      <c r="B58" s="1">
        <v>45727</v>
      </c>
      <c r="C58" t="s">
        <v>77</v>
      </c>
      <c r="D58" s="5">
        <v>0.58333333333333337</v>
      </c>
      <c r="E58" s="5">
        <v>0.60416666666666663</v>
      </c>
      <c r="F58" t="s">
        <v>452</v>
      </c>
      <c r="G58" t="s">
        <v>462</v>
      </c>
      <c r="H58" t="s">
        <v>518</v>
      </c>
      <c r="I58" t="s">
        <v>519</v>
      </c>
      <c r="J58" t="s">
        <v>59</v>
      </c>
      <c r="K58" t="s">
        <v>59</v>
      </c>
      <c r="L58" t="s">
        <v>60</v>
      </c>
      <c r="M58" t="s">
        <v>60</v>
      </c>
      <c r="N58" t="s">
        <v>520</v>
      </c>
      <c r="O58" t="s">
        <v>85</v>
      </c>
      <c r="P58">
        <v>8</v>
      </c>
      <c r="Q58" t="s">
        <v>521</v>
      </c>
      <c r="T58" t="s">
        <v>522</v>
      </c>
      <c r="U58" t="s">
        <v>523</v>
      </c>
      <c r="V58" t="s">
        <v>524</v>
      </c>
      <c r="W58" t="s">
        <v>66</v>
      </c>
      <c r="AB58" t="s">
        <v>417</v>
      </c>
      <c r="AC58" t="s">
        <v>159</v>
      </c>
      <c r="AD58" t="s">
        <v>160</v>
      </c>
      <c r="AE58" t="s">
        <v>525</v>
      </c>
      <c r="AF58" t="s">
        <v>72</v>
      </c>
      <c r="AG58" t="s">
        <v>73</v>
      </c>
      <c r="AH58">
        <v>2025</v>
      </c>
      <c r="AI58">
        <v>11</v>
      </c>
      <c r="AJ58">
        <v>3</v>
      </c>
      <c r="AK58">
        <v>11</v>
      </c>
      <c r="AL58">
        <v>70</v>
      </c>
      <c r="AM58" s="2">
        <v>45727.604166666664</v>
      </c>
      <c r="AN58">
        <v>123</v>
      </c>
      <c r="AO58" t="s">
        <v>521</v>
      </c>
      <c r="AP58" t="s">
        <v>526</v>
      </c>
      <c r="AQ58" t="s">
        <v>527</v>
      </c>
      <c r="AR58" t="s">
        <v>528</v>
      </c>
      <c r="AS58" t="s">
        <v>529</v>
      </c>
      <c r="AW58"/>
    </row>
    <row r="59" spans="1:49" x14ac:dyDescent="0.3">
      <c r="A59" t="s">
        <v>560</v>
      </c>
      <c r="B59" s="1">
        <v>45739</v>
      </c>
      <c r="C59" t="s">
        <v>305</v>
      </c>
      <c r="D59" s="5">
        <v>0.16666666666666666</v>
      </c>
      <c r="E59" s="5">
        <v>0.1736111111111111</v>
      </c>
      <c r="F59" t="s">
        <v>459</v>
      </c>
      <c r="G59" t="s">
        <v>462</v>
      </c>
      <c r="H59" t="s">
        <v>561</v>
      </c>
      <c r="I59" t="s">
        <v>562</v>
      </c>
      <c r="J59" t="s">
        <v>563</v>
      </c>
      <c r="K59" t="s">
        <v>59</v>
      </c>
      <c r="L59" t="s">
        <v>564</v>
      </c>
      <c r="M59" t="s">
        <v>60</v>
      </c>
      <c r="N59" t="s">
        <v>565</v>
      </c>
      <c r="O59" t="s">
        <v>251</v>
      </c>
      <c r="P59">
        <v>5</v>
      </c>
      <c r="Q59" t="s">
        <v>566</v>
      </c>
      <c r="T59" t="s">
        <v>567</v>
      </c>
      <c r="U59" t="s">
        <v>118</v>
      </c>
      <c r="V59" t="s">
        <v>568</v>
      </c>
      <c r="W59" t="s">
        <v>66</v>
      </c>
      <c r="AB59" t="s">
        <v>569</v>
      </c>
      <c r="AC59" t="s">
        <v>106</v>
      </c>
      <c r="AD59" t="s">
        <v>70</v>
      </c>
      <c r="AE59" t="s">
        <v>123</v>
      </c>
      <c r="AF59" t="s">
        <v>72</v>
      </c>
      <c r="AG59" t="s">
        <v>73</v>
      </c>
      <c r="AH59">
        <v>2025</v>
      </c>
      <c r="AI59">
        <v>13</v>
      </c>
      <c r="AJ59">
        <v>5</v>
      </c>
      <c r="AK59">
        <v>23</v>
      </c>
      <c r="AL59">
        <v>82</v>
      </c>
      <c r="AM59" s="2">
        <v>45739.173611111109</v>
      </c>
      <c r="AN59">
        <v>24</v>
      </c>
      <c r="AO59" t="s">
        <v>566</v>
      </c>
      <c r="AP59" t="s">
        <v>570</v>
      </c>
      <c r="AQ59" t="s">
        <v>571</v>
      </c>
      <c r="AR59" t="s">
        <v>572</v>
      </c>
      <c r="AS59" t="s">
        <v>549</v>
      </c>
      <c r="AW59"/>
    </row>
    <row r="60" spans="1:49" x14ac:dyDescent="0.3">
      <c r="A60" t="s">
        <v>54</v>
      </c>
      <c r="B60" s="1">
        <v>45663</v>
      </c>
      <c r="C60" t="s">
        <v>77</v>
      </c>
      <c r="D60" s="5">
        <v>0.625</v>
      </c>
      <c r="E60" s="5">
        <v>0.64583333333333337</v>
      </c>
      <c r="F60" t="s">
        <v>451</v>
      </c>
      <c r="G60" t="s">
        <v>56</v>
      </c>
      <c r="H60" t="s">
        <v>57</v>
      </c>
      <c r="I60" t="s">
        <v>58</v>
      </c>
      <c r="J60" t="s">
        <v>59</v>
      </c>
      <c r="K60" t="s">
        <v>59</v>
      </c>
      <c r="L60" t="s">
        <v>60</v>
      </c>
      <c r="M60" t="s">
        <v>60</v>
      </c>
      <c r="N60" t="s">
        <v>61</v>
      </c>
      <c r="P60">
        <v>7</v>
      </c>
      <c r="Q60" t="s">
        <v>62</v>
      </c>
      <c r="T60" t="s">
        <v>63</v>
      </c>
      <c r="U60" t="s">
        <v>64</v>
      </c>
      <c r="V60" t="s">
        <v>65</v>
      </c>
      <c r="W60" t="s">
        <v>66</v>
      </c>
      <c r="AB60" t="s">
        <v>67</v>
      </c>
      <c r="AC60" t="s">
        <v>69</v>
      </c>
      <c r="AD60" t="s">
        <v>70</v>
      </c>
      <c r="AE60" t="s">
        <v>71</v>
      </c>
      <c r="AF60" t="s">
        <v>124</v>
      </c>
      <c r="AG60" t="s">
        <v>73</v>
      </c>
      <c r="AH60">
        <v>2025</v>
      </c>
      <c r="AI60">
        <v>2</v>
      </c>
      <c r="AJ60">
        <v>2</v>
      </c>
      <c r="AK60">
        <v>6</v>
      </c>
      <c r="AL60">
        <v>6</v>
      </c>
      <c r="AM60" s="2">
        <v>45663.645833333336</v>
      </c>
      <c r="AN60">
        <v>90</v>
      </c>
      <c r="AO60" t="s">
        <v>62</v>
      </c>
      <c r="AP60" t="s">
        <v>74</v>
      </c>
      <c r="AQ60" t="s">
        <v>75</v>
      </c>
      <c r="AR60" t="s">
        <v>76</v>
      </c>
      <c r="AS60" t="s">
        <v>515</v>
      </c>
      <c r="AW60"/>
    </row>
    <row r="61" spans="1:49" x14ac:dyDescent="0.3">
      <c r="A61" t="s">
        <v>78</v>
      </c>
      <c r="B61" s="1">
        <v>45682</v>
      </c>
      <c r="C61" t="s">
        <v>96</v>
      </c>
      <c r="D61" s="5">
        <v>0.75</v>
      </c>
      <c r="E61" s="5">
        <v>0.76875000000000004</v>
      </c>
      <c r="F61" t="s">
        <v>456</v>
      </c>
      <c r="G61" t="s">
        <v>56</v>
      </c>
      <c r="H61" t="s">
        <v>80</v>
      </c>
      <c r="I61" t="s">
        <v>81</v>
      </c>
      <c r="J61" t="s">
        <v>82</v>
      </c>
      <c r="K61" t="s">
        <v>59</v>
      </c>
      <c r="L61" t="s">
        <v>83</v>
      </c>
      <c r="M61" t="s">
        <v>60</v>
      </c>
      <c r="N61" t="s">
        <v>84</v>
      </c>
      <c r="O61" t="s">
        <v>85</v>
      </c>
      <c r="P61">
        <v>8</v>
      </c>
      <c r="Q61" t="s">
        <v>86</v>
      </c>
      <c r="T61" t="s">
        <v>87</v>
      </c>
      <c r="U61" t="s">
        <v>64</v>
      </c>
      <c r="V61" t="s">
        <v>88</v>
      </c>
      <c r="W61" t="s">
        <v>66</v>
      </c>
      <c r="AB61" t="s">
        <v>89</v>
      </c>
      <c r="AC61" t="s">
        <v>90</v>
      </c>
      <c r="AD61" t="s">
        <v>91</v>
      </c>
      <c r="AE61" t="s">
        <v>92</v>
      </c>
      <c r="AF61" t="s">
        <v>93</v>
      </c>
      <c r="AG61" t="s">
        <v>73</v>
      </c>
      <c r="AH61">
        <v>2025</v>
      </c>
      <c r="AI61">
        <v>4</v>
      </c>
      <c r="AJ61">
        <v>4</v>
      </c>
      <c r="AK61">
        <v>25</v>
      </c>
      <c r="AL61">
        <v>25</v>
      </c>
      <c r="AM61" s="2">
        <v>45682.768750000003</v>
      </c>
      <c r="AN61">
        <v>206</v>
      </c>
      <c r="AO61" t="s">
        <v>86</v>
      </c>
      <c r="AP61" t="s">
        <v>94</v>
      </c>
      <c r="AQ61" t="s">
        <v>95</v>
      </c>
      <c r="AR61" t="s">
        <v>60</v>
      </c>
      <c r="AS61" t="s">
        <v>512</v>
      </c>
      <c r="AW61"/>
    </row>
    <row r="62" spans="1:49" x14ac:dyDescent="0.3">
      <c r="A62" t="s">
        <v>97</v>
      </c>
      <c r="B62" s="1">
        <v>45683</v>
      </c>
      <c r="C62" t="s">
        <v>110</v>
      </c>
      <c r="D62" s="5">
        <v>0.83333333333333337</v>
      </c>
      <c r="E62" s="5">
        <v>0.84027777777777779</v>
      </c>
      <c r="F62" t="s">
        <v>459</v>
      </c>
      <c r="G62" t="s">
        <v>56</v>
      </c>
      <c r="H62" t="s">
        <v>99</v>
      </c>
      <c r="I62" t="s">
        <v>100</v>
      </c>
      <c r="J62" t="s">
        <v>82</v>
      </c>
      <c r="K62" t="s">
        <v>59</v>
      </c>
      <c r="L62" t="s">
        <v>83</v>
      </c>
      <c r="M62" t="s">
        <v>60</v>
      </c>
      <c r="N62" t="s">
        <v>101</v>
      </c>
      <c r="O62" t="s">
        <v>102</v>
      </c>
      <c r="P62">
        <v>9</v>
      </c>
      <c r="Q62" t="s">
        <v>103</v>
      </c>
      <c r="T62" t="s">
        <v>104</v>
      </c>
      <c r="U62" t="s">
        <v>64</v>
      </c>
      <c r="V62" t="s">
        <v>105</v>
      </c>
      <c r="W62" t="s">
        <v>66</v>
      </c>
      <c r="AB62" t="s">
        <v>67</v>
      </c>
      <c r="AC62" t="s">
        <v>106</v>
      </c>
      <c r="AD62" t="s">
        <v>70</v>
      </c>
      <c r="AE62" t="s">
        <v>107</v>
      </c>
      <c r="AF62" t="s">
        <v>72</v>
      </c>
      <c r="AG62" t="s">
        <v>73</v>
      </c>
      <c r="AH62">
        <v>2025</v>
      </c>
      <c r="AI62">
        <v>5</v>
      </c>
      <c r="AJ62">
        <v>5</v>
      </c>
      <c r="AK62">
        <v>26</v>
      </c>
      <c r="AL62">
        <v>26</v>
      </c>
      <c r="AM62" s="2">
        <v>45683.840277777781</v>
      </c>
      <c r="AN62">
        <v>5</v>
      </c>
      <c r="AO62" t="s">
        <v>103</v>
      </c>
      <c r="AP62" t="s">
        <v>108</v>
      </c>
      <c r="AQ62" t="s">
        <v>60</v>
      </c>
      <c r="AR62" t="s">
        <v>109</v>
      </c>
      <c r="AS62" t="s">
        <v>512</v>
      </c>
      <c r="AW62"/>
    </row>
    <row r="63" spans="1:49" x14ac:dyDescent="0.3">
      <c r="A63" t="s">
        <v>111</v>
      </c>
      <c r="B63" s="1">
        <v>45701</v>
      </c>
      <c r="C63" t="s">
        <v>96</v>
      </c>
      <c r="D63" s="5">
        <v>0.66666666666666663</v>
      </c>
      <c r="E63" s="5">
        <v>0.66666666666666663</v>
      </c>
      <c r="F63" t="s">
        <v>537</v>
      </c>
      <c r="G63" t="s">
        <v>112</v>
      </c>
      <c r="H63" t="s">
        <v>113</v>
      </c>
      <c r="I63" t="s">
        <v>113</v>
      </c>
      <c r="J63" t="s">
        <v>59</v>
      </c>
      <c r="K63" t="s">
        <v>59</v>
      </c>
      <c r="L63" t="s">
        <v>60</v>
      </c>
      <c r="M63" t="s">
        <v>60</v>
      </c>
      <c r="N63" t="s">
        <v>114</v>
      </c>
      <c r="O63" t="s">
        <v>115</v>
      </c>
      <c r="P63">
        <v>6</v>
      </c>
      <c r="Q63" t="s">
        <v>116</v>
      </c>
      <c r="T63" t="s">
        <v>117</v>
      </c>
      <c r="U63" t="s">
        <v>118</v>
      </c>
      <c r="V63" t="s">
        <v>119</v>
      </c>
      <c r="W63" t="s">
        <v>66</v>
      </c>
      <c r="AB63" t="s">
        <v>120</v>
      </c>
      <c r="AC63" t="s">
        <v>121</v>
      </c>
      <c r="AD63" t="s">
        <v>122</v>
      </c>
      <c r="AE63" t="s">
        <v>123</v>
      </c>
      <c r="AF63" t="s">
        <v>72</v>
      </c>
      <c r="AG63" t="s">
        <v>73</v>
      </c>
      <c r="AH63">
        <v>2025</v>
      </c>
      <c r="AI63">
        <v>7</v>
      </c>
      <c r="AJ63">
        <v>3</v>
      </c>
      <c r="AK63">
        <v>13</v>
      </c>
      <c r="AL63">
        <v>44</v>
      </c>
      <c r="AM63" s="2">
        <v>45701.666666666664</v>
      </c>
      <c r="AO63" t="s">
        <v>116</v>
      </c>
      <c r="AP63" t="s">
        <v>125</v>
      </c>
      <c r="AQ63" t="s">
        <v>126</v>
      </c>
      <c r="AR63" t="s">
        <v>127</v>
      </c>
      <c r="AS63" t="s">
        <v>509</v>
      </c>
      <c r="AW63"/>
    </row>
    <row r="64" spans="1:49" x14ac:dyDescent="0.3">
      <c r="A64" t="s">
        <v>461</v>
      </c>
      <c r="B64" s="1">
        <v>45722</v>
      </c>
      <c r="C64" t="s">
        <v>110</v>
      </c>
      <c r="D64" s="5">
        <v>0.91666666666666663</v>
      </c>
      <c r="E64" s="5">
        <v>0.94149305555555551</v>
      </c>
      <c r="F64" t="s">
        <v>537</v>
      </c>
      <c r="G64" t="s">
        <v>462</v>
      </c>
      <c r="H64" t="s">
        <v>463</v>
      </c>
      <c r="I64" t="s">
        <v>464</v>
      </c>
      <c r="J64" t="s">
        <v>59</v>
      </c>
      <c r="K64" t="s">
        <v>59</v>
      </c>
      <c r="L64" t="s">
        <v>60</v>
      </c>
      <c r="M64" t="s">
        <v>60</v>
      </c>
      <c r="N64" t="s">
        <v>465</v>
      </c>
      <c r="O64" t="s">
        <v>85</v>
      </c>
      <c r="P64">
        <v>8</v>
      </c>
      <c r="Q64" t="s">
        <v>466</v>
      </c>
      <c r="T64" t="s">
        <v>467</v>
      </c>
      <c r="U64" t="s">
        <v>118</v>
      </c>
      <c r="V64" t="s">
        <v>468</v>
      </c>
      <c r="W64" t="s">
        <v>66</v>
      </c>
      <c r="AB64" t="s">
        <v>469</v>
      </c>
      <c r="AC64" t="s">
        <v>69</v>
      </c>
      <c r="AD64" t="s">
        <v>70</v>
      </c>
      <c r="AE64" t="s">
        <v>161</v>
      </c>
      <c r="AF64" t="s">
        <v>124</v>
      </c>
      <c r="AG64" t="s">
        <v>73</v>
      </c>
      <c r="AH64">
        <v>2025</v>
      </c>
      <c r="AI64">
        <v>10</v>
      </c>
      <c r="AJ64">
        <v>2</v>
      </c>
      <c r="AK64">
        <v>6</v>
      </c>
      <c r="AL64">
        <v>65</v>
      </c>
      <c r="AM64" s="2">
        <v>45722.940972222219</v>
      </c>
      <c r="AN64">
        <v>216</v>
      </c>
      <c r="AO64" t="s">
        <v>466</v>
      </c>
      <c r="AP64" t="s">
        <v>470</v>
      </c>
      <c r="AQ64" t="s">
        <v>471</v>
      </c>
      <c r="AR64" t="s">
        <v>472</v>
      </c>
      <c r="AS64" t="s">
        <v>506</v>
      </c>
      <c r="AW64"/>
    </row>
    <row r="65" spans="1:49" x14ac:dyDescent="0.3">
      <c r="A65" t="s">
        <v>473</v>
      </c>
      <c r="B65" s="1">
        <v>45725</v>
      </c>
      <c r="C65" t="s">
        <v>96</v>
      </c>
      <c r="D65" s="5">
        <v>0.79166666666666663</v>
      </c>
      <c r="E65" s="5">
        <v>0.8125</v>
      </c>
      <c r="F65" t="s">
        <v>459</v>
      </c>
      <c r="G65" t="s">
        <v>462</v>
      </c>
      <c r="H65" t="s">
        <v>474</v>
      </c>
      <c r="I65" t="s">
        <v>475</v>
      </c>
      <c r="J65" t="s">
        <v>59</v>
      </c>
      <c r="K65" t="s">
        <v>59</v>
      </c>
      <c r="L65" t="s">
        <v>60</v>
      </c>
      <c r="M65" t="s">
        <v>60</v>
      </c>
      <c r="N65" t="s">
        <v>476</v>
      </c>
      <c r="O65" t="s">
        <v>135</v>
      </c>
      <c r="P65">
        <v>7</v>
      </c>
      <c r="Q65" t="s">
        <v>477</v>
      </c>
      <c r="T65" t="s">
        <v>478</v>
      </c>
      <c r="U65" t="s">
        <v>479</v>
      </c>
      <c r="V65" t="s">
        <v>480</v>
      </c>
      <c r="W65" t="s">
        <v>66</v>
      </c>
      <c r="AB65" t="s">
        <v>158</v>
      </c>
      <c r="AC65" t="s">
        <v>481</v>
      </c>
      <c r="AD65" t="s">
        <v>352</v>
      </c>
      <c r="AE65" t="s">
        <v>123</v>
      </c>
      <c r="AF65" t="s">
        <v>72</v>
      </c>
      <c r="AG65" t="s">
        <v>73</v>
      </c>
      <c r="AH65">
        <v>2025</v>
      </c>
      <c r="AI65">
        <v>11</v>
      </c>
      <c r="AJ65">
        <v>3</v>
      </c>
      <c r="AK65">
        <v>9</v>
      </c>
      <c r="AL65">
        <v>68</v>
      </c>
      <c r="AM65" s="2">
        <v>45725.8125</v>
      </c>
      <c r="AN65">
        <v>282</v>
      </c>
      <c r="AO65" t="s">
        <v>477</v>
      </c>
      <c r="AP65" t="s">
        <v>482</v>
      </c>
      <c r="AQ65" t="s">
        <v>483</v>
      </c>
      <c r="AR65" t="s">
        <v>484</v>
      </c>
      <c r="AS65" t="s">
        <v>506</v>
      </c>
      <c r="AW65"/>
    </row>
    <row r="66" spans="1:49" x14ac:dyDescent="0.3">
      <c r="A66" t="s">
        <v>517</v>
      </c>
      <c r="B66" s="1">
        <v>45727</v>
      </c>
      <c r="C66" t="s">
        <v>77</v>
      </c>
      <c r="D66" s="5">
        <v>0.58333333333333337</v>
      </c>
      <c r="E66" s="5">
        <v>0.60416666666666663</v>
      </c>
      <c r="F66" t="s">
        <v>452</v>
      </c>
      <c r="G66" t="s">
        <v>462</v>
      </c>
      <c r="H66" t="s">
        <v>518</v>
      </c>
      <c r="I66" t="s">
        <v>519</v>
      </c>
      <c r="J66" t="s">
        <v>59</v>
      </c>
      <c r="K66" t="s">
        <v>59</v>
      </c>
      <c r="L66" t="s">
        <v>60</v>
      </c>
      <c r="M66" t="s">
        <v>60</v>
      </c>
      <c r="N66" t="s">
        <v>520</v>
      </c>
      <c r="O66" t="s">
        <v>85</v>
      </c>
      <c r="P66">
        <v>8</v>
      </c>
      <c r="Q66" t="s">
        <v>521</v>
      </c>
      <c r="T66" t="s">
        <v>522</v>
      </c>
      <c r="U66" t="s">
        <v>523</v>
      </c>
      <c r="V66" t="s">
        <v>524</v>
      </c>
      <c r="W66" t="s">
        <v>66</v>
      </c>
      <c r="AB66" t="s">
        <v>417</v>
      </c>
      <c r="AC66" t="s">
        <v>159</v>
      </c>
      <c r="AD66" t="s">
        <v>160</v>
      </c>
      <c r="AE66" t="s">
        <v>525</v>
      </c>
      <c r="AF66" t="s">
        <v>72</v>
      </c>
      <c r="AG66" t="s">
        <v>73</v>
      </c>
      <c r="AH66">
        <v>2025</v>
      </c>
      <c r="AI66">
        <v>11</v>
      </c>
      <c r="AJ66">
        <v>3</v>
      </c>
      <c r="AK66">
        <v>11</v>
      </c>
      <c r="AL66">
        <v>70</v>
      </c>
      <c r="AM66" s="2">
        <v>45727.604166666664</v>
      </c>
      <c r="AN66">
        <v>123</v>
      </c>
      <c r="AO66" t="s">
        <v>521</v>
      </c>
      <c r="AP66" t="s">
        <v>526</v>
      </c>
      <c r="AQ66" t="s">
        <v>527</v>
      </c>
      <c r="AR66" t="s">
        <v>528</v>
      </c>
      <c r="AS66" t="s">
        <v>529</v>
      </c>
      <c r="AW66"/>
    </row>
    <row r="67" spans="1:49" x14ac:dyDescent="0.3">
      <c r="A67" t="s">
        <v>560</v>
      </c>
      <c r="B67" s="1">
        <v>45739</v>
      </c>
      <c r="C67" t="s">
        <v>305</v>
      </c>
      <c r="D67" s="5">
        <v>0.16666666666666666</v>
      </c>
      <c r="E67" s="5">
        <v>0.1736111111111111</v>
      </c>
      <c r="F67" t="s">
        <v>459</v>
      </c>
      <c r="G67" t="s">
        <v>462</v>
      </c>
      <c r="H67" t="s">
        <v>561</v>
      </c>
      <c r="I67" t="s">
        <v>562</v>
      </c>
      <c r="J67" t="s">
        <v>563</v>
      </c>
      <c r="K67" t="s">
        <v>59</v>
      </c>
      <c r="L67" t="s">
        <v>564</v>
      </c>
      <c r="M67" t="s">
        <v>60</v>
      </c>
      <c r="N67" t="s">
        <v>565</v>
      </c>
      <c r="O67" t="s">
        <v>251</v>
      </c>
      <c r="P67">
        <v>5</v>
      </c>
      <c r="Q67" t="s">
        <v>566</v>
      </c>
      <c r="T67" t="s">
        <v>567</v>
      </c>
      <c r="U67" t="s">
        <v>118</v>
      </c>
      <c r="V67" t="s">
        <v>568</v>
      </c>
      <c r="W67" t="s">
        <v>66</v>
      </c>
      <c r="AB67" t="s">
        <v>569</v>
      </c>
      <c r="AC67" t="s">
        <v>106</v>
      </c>
      <c r="AD67" t="s">
        <v>70</v>
      </c>
      <c r="AE67" t="s">
        <v>123</v>
      </c>
      <c r="AF67" t="s">
        <v>72</v>
      </c>
      <c r="AG67" t="s">
        <v>73</v>
      </c>
      <c r="AH67">
        <v>2025</v>
      </c>
      <c r="AI67">
        <v>13</v>
      </c>
      <c r="AJ67">
        <v>5</v>
      </c>
      <c r="AK67">
        <v>23</v>
      </c>
      <c r="AL67">
        <v>82</v>
      </c>
      <c r="AM67" s="2">
        <v>45739.173611111109</v>
      </c>
      <c r="AN67">
        <v>24</v>
      </c>
      <c r="AO67" t="s">
        <v>566</v>
      </c>
      <c r="AP67" t="s">
        <v>570</v>
      </c>
      <c r="AQ67" t="s">
        <v>571</v>
      </c>
      <c r="AR67" t="s">
        <v>572</v>
      </c>
      <c r="AS67" t="s">
        <v>549</v>
      </c>
      <c r="AW67"/>
    </row>
    <row r="68" spans="1:49" x14ac:dyDescent="0.3">
      <c r="A68" t="s">
        <v>461</v>
      </c>
      <c r="B68" s="1">
        <v>45722</v>
      </c>
      <c r="C68" t="s">
        <v>110</v>
      </c>
      <c r="D68" s="5">
        <v>0.91666666666666663</v>
      </c>
      <c r="E68" s="5">
        <v>0.94149305555555551</v>
      </c>
      <c r="F68" t="s">
        <v>537</v>
      </c>
      <c r="G68" t="s">
        <v>462</v>
      </c>
      <c r="H68" t="s">
        <v>463</v>
      </c>
      <c r="I68" t="s">
        <v>464</v>
      </c>
      <c r="J68" t="s">
        <v>59</v>
      </c>
      <c r="K68" t="s">
        <v>59</v>
      </c>
      <c r="L68" t="s">
        <v>60</v>
      </c>
      <c r="M68" t="s">
        <v>60</v>
      </c>
      <c r="N68" t="s">
        <v>465</v>
      </c>
      <c r="O68" t="s">
        <v>85</v>
      </c>
      <c r="P68">
        <v>8</v>
      </c>
      <c r="Q68" t="s">
        <v>466</v>
      </c>
      <c r="T68" t="s">
        <v>467</v>
      </c>
      <c r="U68" t="s">
        <v>118</v>
      </c>
      <c r="V68" t="s">
        <v>468</v>
      </c>
      <c r="W68" t="s">
        <v>66</v>
      </c>
      <c r="AB68" t="s">
        <v>469</v>
      </c>
      <c r="AC68" t="s">
        <v>69</v>
      </c>
      <c r="AD68" t="s">
        <v>70</v>
      </c>
      <c r="AE68" t="s">
        <v>161</v>
      </c>
      <c r="AF68" t="s">
        <v>124</v>
      </c>
      <c r="AG68" t="s">
        <v>73</v>
      </c>
      <c r="AH68">
        <v>2025</v>
      </c>
      <c r="AI68">
        <v>10</v>
      </c>
      <c r="AJ68">
        <v>2</v>
      </c>
      <c r="AK68">
        <v>6</v>
      </c>
      <c r="AL68">
        <v>65</v>
      </c>
      <c r="AM68" s="2">
        <v>45722.940972222219</v>
      </c>
      <c r="AN68">
        <v>216</v>
      </c>
      <c r="AO68" t="s">
        <v>466</v>
      </c>
      <c r="AP68" t="s">
        <v>470</v>
      </c>
      <c r="AQ68" t="s">
        <v>471</v>
      </c>
      <c r="AR68" t="s">
        <v>472</v>
      </c>
      <c r="AS68" t="s">
        <v>506</v>
      </c>
      <c r="AW68"/>
    </row>
    <row r="69" spans="1:49" x14ac:dyDescent="0.3">
      <c r="A69" t="s">
        <v>473</v>
      </c>
      <c r="B69" s="1">
        <v>45725</v>
      </c>
      <c r="C69" t="s">
        <v>96</v>
      </c>
      <c r="D69" s="5">
        <v>0.79166666666666663</v>
      </c>
      <c r="E69" s="5">
        <v>0.8125</v>
      </c>
      <c r="F69" t="s">
        <v>459</v>
      </c>
      <c r="G69" t="s">
        <v>462</v>
      </c>
      <c r="H69" t="s">
        <v>474</v>
      </c>
      <c r="I69" t="s">
        <v>475</v>
      </c>
      <c r="J69" t="s">
        <v>59</v>
      </c>
      <c r="K69" t="s">
        <v>59</v>
      </c>
      <c r="L69" t="s">
        <v>60</v>
      </c>
      <c r="M69" t="s">
        <v>60</v>
      </c>
      <c r="N69" t="s">
        <v>476</v>
      </c>
      <c r="O69" t="s">
        <v>135</v>
      </c>
      <c r="P69">
        <v>7</v>
      </c>
      <c r="Q69" t="s">
        <v>477</v>
      </c>
      <c r="T69" t="s">
        <v>478</v>
      </c>
      <c r="U69" t="s">
        <v>479</v>
      </c>
      <c r="V69" t="s">
        <v>480</v>
      </c>
      <c r="W69" t="s">
        <v>66</v>
      </c>
      <c r="AB69" t="s">
        <v>158</v>
      </c>
      <c r="AC69" t="s">
        <v>481</v>
      </c>
      <c r="AD69" t="s">
        <v>352</v>
      </c>
      <c r="AE69" t="s">
        <v>123</v>
      </c>
      <c r="AF69" t="s">
        <v>72</v>
      </c>
      <c r="AG69" t="s">
        <v>73</v>
      </c>
      <c r="AH69">
        <v>2025</v>
      </c>
      <c r="AI69">
        <v>11</v>
      </c>
      <c r="AJ69">
        <v>3</v>
      </c>
      <c r="AK69">
        <v>9</v>
      </c>
      <c r="AL69">
        <v>68</v>
      </c>
      <c r="AM69" s="2">
        <v>45725.8125</v>
      </c>
      <c r="AN69">
        <v>282</v>
      </c>
      <c r="AO69" t="s">
        <v>477</v>
      </c>
      <c r="AP69" t="s">
        <v>482</v>
      </c>
      <c r="AQ69" t="s">
        <v>483</v>
      </c>
      <c r="AR69" t="s">
        <v>484</v>
      </c>
      <c r="AS69" t="s">
        <v>506</v>
      </c>
      <c r="AW69"/>
    </row>
    <row r="70" spans="1:49" x14ac:dyDescent="0.3">
      <c r="A70" t="s">
        <v>517</v>
      </c>
      <c r="B70" s="1">
        <v>45727</v>
      </c>
      <c r="C70" t="s">
        <v>77</v>
      </c>
      <c r="D70" s="5">
        <v>0.58333333333333337</v>
      </c>
      <c r="E70" s="5">
        <v>0.60416666666666663</v>
      </c>
      <c r="F70" t="s">
        <v>452</v>
      </c>
      <c r="G70" t="s">
        <v>462</v>
      </c>
      <c r="H70" t="s">
        <v>518</v>
      </c>
      <c r="I70" t="s">
        <v>519</v>
      </c>
      <c r="J70" t="s">
        <v>59</v>
      </c>
      <c r="K70" t="s">
        <v>59</v>
      </c>
      <c r="L70" t="s">
        <v>60</v>
      </c>
      <c r="M70" t="s">
        <v>60</v>
      </c>
      <c r="N70" t="s">
        <v>520</v>
      </c>
      <c r="O70" t="s">
        <v>85</v>
      </c>
      <c r="P70">
        <v>8</v>
      </c>
      <c r="Q70" t="s">
        <v>521</v>
      </c>
      <c r="T70" t="s">
        <v>522</v>
      </c>
      <c r="U70" t="s">
        <v>523</v>
      </c>
      <c r="V70" t="s">
        <v>524</v>
      </c>
      <c r="W70" t="s">
        <v>66</v>
      </c>
      <c r="AB70" t="s">
        <v>417</v>
      </c>
      <c r="AC70" t="s">
        <v>159</v>
      </c>
      <c r="AD70" t="s">
        <v>160</v>
      </c>
      <c r="AE70" t="s">
        <v>525</v>
      </c>
      <c r="AF70" t="s">
        <v>72</v>
      </c>
      <c r="AG70" t="s">
        <v>73</v>
      </c>
      <c r="AH70">
        <v>2025</v>
      </c>
      <c r="AI70">
        <v>11</v>
      </c>
      <c r="AJ70">
        <v>3</v>
      </c>
      <c r="AK70">
        <v>11</v>
      </c>
      <c r="AL70">
        <v>70</v>
      </c>
      <c r="AM70" s="2">
        <v>45727.604166666664</v>
      </c>
      <c r="AN70">
        <v>123</v>
      </c>
      <c r="AO70" t="s">
        <v>521</v>
      </c>
      <c r="AP70" t="s">
        <v>526</v>
      </c>
      <c r="AQ70" t="s">
        <v>527</v>
      </c>
      <c r="AR70" t="s">
        <v>528</v>
      </c>
      <c r="AS70" t="s">
        <v>529</v>
      </c>
      <c r="AW70"/>
    </row>
    <row r="71" spans="1:49" x14ac:dyDescent="0.3">
      <c r="A71" t="s">
        <v>560</v>
      </c>
      <c r="B71" s="1">
        <v>45739</v>
      </c>
      <c r="C71" t="s">
        <v>305</v>
      </c>
      <c r="D71" s="5">
        <v>0.16666666666666666</v>
      </c>
      <c r="E71" s="5">
        <v>0.1736111111111111</v>
      </c>
      <c r="F71" t="s">
        <v>459</v>
      </c>
      <c r="G71" t="s">
        <v>462</v>
      </c>
      <c r="H71" t="s">
        <v>561</v>
      </c>
      <c r="I71" t="s">
        <v>562</v>
      </c>
      <c r="J71" t="s">
        <v>563</v>
      </c>
      <c r="K71" t="s">
        <v>59</v>
      </c>
      <c r="L71" t="s">
        <v>564</v>
      </c>
      <c r="M71" t="s">
        <v>60</v>
      </c>
      <c r="N71" t="s">
        <v>565</v>
      </c>
      <c r="O71" t="s">
        <v>251</v>
      </c>
      <c r="P71">
        <v>5</v>
      </c>
      <c r="Q71" t="s">
        <v>566</v>
      </c>
      <c r="T71" t="s">
        <v>567</v>
      </c>
      <c r="U71" t="s">
        <v>118</v>
      </c>
      <c r="V71" t="s">
        <v>568</v>
      </c>
      <c r="W71" t="s">
        <v>66</v>
      </c>
      <c r="AB71" t="s">
        <v>569</v>
      </c>
      <c r="AC71" t="s">
        <v>106</v>
      </c>
      <c r="AD71" t="s">
        <v>70</v>
      </c>
      <c r="AE71" t="s">
        <v>123</v>
      </c>
      <c r="AF71" t="s">
        <v>72</v>
      </c>
      <c r="AG71" t="s">
        <v>73</v>
      </c>
      <c r="AH71">
        <v>2025</v>
      </c>
      <c r="AI71">
        <v>13</v>
      </c>
      <c r="AJ71">
        <v>5</v>
      </c>
      <c r="AK71">
        <v>23</v>
      </c>
      <c r="AL71">
        <v>82</v>
      </c>
      <c r="AM71" s="2">
        <v>45739.173611111109</v>
      </c>
      <c r="AN71">
        <v>24</v>
      </c>
      <c r="AO71" t="s">
        <v>566</v>
      </c>
      <c r="AP71" t="s">
        <v>570</v>
      </c>
      <c r="AQ71" t="s">
        <v>571</v>
      </c>
      <c r="AR71" t="s">
        <v>572</v>
      </c>
      <c r="AS71" t="s">
        <v>549</v>
      </c>
      <c r="AW71"/>
    </row>
    <row r="72" spans="1:49" x14ac:dyDescent="0.3">
      <c r="A72" t="s">
        <v>606</v>
      </c>
      <c r="B72" s="1">
        <v>45747</v>
      </c>
      <c r="C72" t="s">
        <v>96</v>
      </c>
      <c r="D72" s="5">
        <v>0.75</v>
      </c>
      <c r="E72" s="5">
        <v>0.75</v>
      </c>
      <c r="F72" t="s">
        <v>451</v>
      </c>
      <c r="G72" t="s">
        <v>462</v>
      </c>
      <c r="H72" t="s">
        <v>212</v>
      </c>
      <c r="I72" t="s">
        <v>607</v>
      </c>
      <c r="J72" t="s">
        <v>59</v>
      </c>
      <c r="K72" t="s">
        <v>59</v>
      </c>
      <c r="L72" t="s">
        <v>60</v>
      </c>
      <c r="M72" t="s">
        <v>60</v>
      </c>
      <c r="N72" t="s">
        <v>608</v>
      </c>
      <c r="O72" t="s">
        <v>216</v>
      </c>
      <c r="Q72" t="s">
        <v>609</v>
      </c>
      <c r="R72">
        <v>2</v>
      </c>
      <c r="S72">
        <v>0</v>
      </c>
      <c r="T72" t="s">
        <v>610</v>
      </c>
      <c r="U72" t="s">
        <v>254</v>
      </c>
      <c r="V72" t="s">
        <v>611</v>
      </c>
      <c r="W72" t="s">
        <v>66</v>
      </c>
      <c r="AB72" t="s">
        <v>469</v>
      </c>
      <c r="AC72" t="s">
        <v>612</v>
      </c>
      <c r="AD72" t="s">
        <v>613</v>
      </c>
      <c r="AE72" t="s">
        <v>161</v>
      </c>
      <c r="AF72" t="s">
        <v>124</v>
      </c>
      <c r="AG72" t="s">
        <v>614</v>
      </c>
      <c r="AH72">
        <v>2025</v>
      </c>
      <c r="AI72">
        <v>14</v>
      </c>
      <c r="AJ72">
        <v>6</v>
      </c>
      <c r="AK72">
        <v>31</v>
      </c>
      <c r="AL72">
        <v>90</v>
      </c>
      <c r="AM72" s="2">
        <v>45747.75</v>
      </c>
      <c r="AN72">
        <v>310</v>
      </c>
      <c r="AO72" t="s">
        <v>609</v>
      </c>
      <c r="AP72" t="s">
        <v>615</v>
      </c>
      <c r="AQ72" t="s">
        <v>60</v>
      </c>
      <c r="AR72" t="s">
        <v>60</v>
      </c>
      <c r="AS72" t="s">
        <v>582</v>
      </c>
      <c r="AW72"/>
    </row>
    <row r="73" spans="1:49" x14ac:dyDescent="0.3">
      <c r="A73" t="s">
        <v>616</v>
      </c>
      <c r="B73" s="1">
        <v>45747</v>
      </c>
      <c r="C73" t="s">
        <v>110</v>
      </c>
      <c r="D73" s="5">
        <v>0.83333333333333337</v>
      </c>
      <c r="E73" s="5">
        <v>0.83333333333333337</v>
      </c>
      <c r="F73" t="s">
        <v>451</v>
      </c>
      <c r="G73" t="s">
        <v>462</v>
      </c>
      <c r="H73" t="s">
        <v>212</v>
      </c>
      <c r="I73" t="s">
        <v>607</v>
      </c>
      <c r="J73" t="s">
        <v>59</v>
      </c>
      <c r="K73" t="s">
        <v>59</v>
      </c>
      <c r="L73" t="s">
        <v>60</v>
      </c>
      <c r="M73" t="s">
        <v>60</v>
      </c>
      <c r="N73" t="s">
        <v>608</v>
      </c>
      <c r="O73" t="s">
        <v>216</v>
      </c>
      <c r="P73">
        <v>9</v>
      </c>
      <c r="Q73" t="s">
        <v>617</v>
      </c>
      <c r="R73">
        <v>5</v>
      </c>
      <c r="S73">
        <v>0</v>
      </c>
      <c r="T73" t="s">
        <v>618</v>
      </c>
      <c r="U73" t="s">
        <v>254</v>
      </c>
      <c r="V73" t="s">
        <v>619</v>
      </c>
      <c r="W73" t="s">
        <v>66</v>
      </c>
      <c r="AB73" t="s">
        <v>469</v>
      </c>
      <c r="AC73" t="s">
        <v>612</v>
      </c>
      <c r="AD73" t="s">
        <v>613</v>
      </c>
      <c r="AE73" t="s">
        <v>161</v>
      </c>
      <c r="AF73" t="s">
        <v>124</v>
      </c>
      <c r="AG73" t="s">
        <v>614</v>
      </c>
      <c r="AH73">
        <v>2025</v>
      </c>
      <c r="AI73">
        <v>14</v>
      </c>
      <c r="AJ73">
        <v>6</v>
      </c>
      <c r="AK73">
        <v>31</v>
      </c>
      <c r="AL73">
        <v>90</v>
      </c>
      <c r="AM73" s="2">
        <v>45747.833333333336</v>
      </c>
      <c r="AN73">
        <v>310</v>
      </c>
      <c r="AO73" t="s">
        <v>617</v>
      </c>
      <c r="AP73" t="s">
        <v>620</v>
      </c>
      <c r="AQ73" t="s">
        <v>60</v>
      </c>
      <c r="AR73" t="s">
        <v>60</v>
      </c>
      <c r="AS73" t="s">
        <v>582</v>
      </c>
      <c r="AW73"/>
    </row>
    <row r="74" spans="1:49" x14ac:dyDescent="0.3">
      <c r="A74" t="s">
        <v>621</v>
      </c>
      <c r="B74" s="1">
        <v>45748</v>
      </c>
      <c r="C74" t="s">
        <v>110</v>
      </c>
      <c r="D74" s="5">
        <v>0.83333333333333337</v>
      </c>
      <c r="E74" s="5">
        <v>0.85324074074074074</v>
      </c>
      <c r="F74" t="s">
        <v>452</v>
      </c>
      <c r="G74" t="s">
        <v>599</v>
      </c>
      <c r="H74" t="s">
        <v>57</v>
      </c>
      <c r="I74" t="s">
        <v>622</v>
      </c>
      <c r="J74" t="s">
        <v>59</v>
      </c>
      <c r="K74" t="s">
        <v>59</v>
      </c>
      <c r="L74" t="s">
        <v>60</v>
      </c>
      <c r="M74" t="s">
        <v>60</v>
      </c>
      <c r="N74" t="s">
        <v>623</v>
      </c>
      <c r="O74" t="s">
        <v>328</v>
      </c>
      <c r="P74">
        <v>7</v>
      </c>
      <c r="Q74" t="s">
        <v>624</v>
      </c>
      <c r="T74" t="s">
        <v>625</v>
      </c>
      <c r="U74" t="s">
        <v>626</v>
      </c>
      <c r="V74" t="s">
        <v>627</v>
      </c>
      <c r="W74" t="s">
        <v>66</v>
      </c>
      <c r="AB74" t="s">
        <v>67</v>
      </c>
      <c r="AC74" t="s">
        <v>331</v>
      </c>
      <c r="AD74" t="s">
        <v>70</v>
      </c>
      <c r="AE74" t="s">
        <v>161</v>
      </c>
      <c r="AF74" t="s">
        <v>72</v>
      </c>
      <c r="AH74">
        <v>2025</v>
      </c>
      <c r="AI74">
        <v>14</v>
      </c>
      <c r="AJ74">
        <v>1</v>
      </c>
      <c r="AK74">
        <v>1</v>
      </c>
      <c r="AL74">
        <v>91</v>
      </c>
      <c r="AM74" s="2">
        <v>45748.852777777778</v>
      </c>
      <c r="AN74">
        <v>77</v>
      </c>
      <c r="AO74" t="s">
        <v>624</v>
      </c>
      <c r="AP74" t="s">
        <v>628</v>
      </c>
      <c r="AQ74" t="s">
        <v>60</v>
      </c>
      <c r="AR74" t="s">
        <v>60</v>
      </c>
      <c r="AS74" t="s">
        <v>605</v>
      </c>
      <c r="AW74"/>
    </row>
    <row r="75" spans="1:49" x14ac:dyDescent="0.3">
      <c r="A75" t="s">
        <v>461</v>
      </c>
      <c r="B75" s="1">
        <v>45722</v>
      </c>
      <c r="C75" t="s">
        <v>110</v>
      </c>
      <c r="D75" s="5">
        <v>0.91666666666666663</v>
      </c>
      <c r="E75" s="5">
        <v>0.94149305555555551</v>
      </c>
      <c r="F75" t="s">
        <v>537</v>
      </c>
      <c r="G75" t="s">
        <v>462</v>
      </c>
      <c r="H75" t="s">
        <v>463</v>
      </c>
      <c r="I75" t="s">
        <v>464</v>
      </c>
      <c r="J75" t="s">
        <v>59</v>
      </c>
      <c r="K75" t="s">
        <v>59</v>
      </c>
      <c r="L75" t="s">
        <v>60</v>
      </c>
      <c r="M75" t="s">
        <v>60</v>
      </c>
      <c r="N75" t="s">
        <v>465</v>
      </c>
      <c r="O75" t="s">
        <v>85</v>
      </c>
      <c r="P75">
        <v>8</v>
      </c>
      <c r="Q75" t="s">
        <v>466</v>
      </c>
      <c r="T75" t="s">
        <v>467</v>
      </c>
      <c r="U75" t="s">
        <v>118</v>
      </c>
      <c r="V75" t="s">
        <v>468</v>
      </c>
      <c r="W75" t="s">
        <v>66</v>
      </c>
      <c r="AB75" t="s">
        <v>469</v>
      </c>
      <c r="AC75" t="s">
        <v>69</v>
      </c>
      <c r="AD75" t="s">
        <v>70</v>
      </c>
      <c r="AE75" t="s">
        <v>161</v>
      </c>
      <c r="AF75" t="s">
        <v>124</v>
      </c>
      <c r="AG75" t="s">
        <v>73</v>
      </c>
      <c r="AH75">
        <v>2025</v>
      </c>
      <c r="AI75">
        <v>10</v>
      </c>
      <c r="AJ75">
        <v>2</v>
      </c>
      <c r="AK75">
        <v>6</v>
      </c>
      <c r="AL75">
        <v>65</v>
      </c>
      <c r="AM75" s="2">
        <v>45722.940972222219</v>
      </c>
      <c r="AN75">
        <v>216</v>
      </c>
      <c r="AO75" t="s">
        <v>466</v>
      </c>
      <c r="AP75" t="s">
        <v>470</v>
      </c>
      <c r="AQ75" t="s">
        <v>471</v>
      </c>
      <c r="AR75" t="s">
        <v>472</v>
      </c>
      <c r="AS75" t="s">
        <v>506</v>
      </c>
      <c r="AW75"/>
    </row>
    <row r="76" spans="1:49" x14ac:dyDescent="0.3">
      <c r="A76" t="s">
        <v>473</v>
      </c>
      <c r="B76" s="1">
        <v>45725</v>
      </c>
      <c r="C76" t="s">
        <v>96</v>
      </c>
      <c r="D76" s="5">
        <v>0.79166666666666663</v>
      </c>
      <c r="E76" s="5">
        <v>0.8125</v>
      </c>
      <c r="F76" t="s">
        <v>459</v>
      </c>
      <c r="G76" t="s">
        <v>462</v>
      </c>
      <c r="H76" t="s">
        <v>474</v>
      </c>
      <c r="I76" t="s">
        <v>475</v>
      </c>
      <c r="J76" t="s">
        <v>59</v>
      </c>
      <c r="K76" t="s">
        <v>59</v>
      </c>
      <c r="L76" t="s">
        <v>60</v>
      </c>
      <c r="M76" t="s">
        <v>60</v>
      </c>
      <c r="N76" t="s">
        <v>476</v>
      </c>
      <c r="O76" t="s">
        <v>135</v>
      </c>
      <c r="P76">
        <v>7</v>
      </c>
      <c r="Q76" t="s">
        <v>477</v>
      </c>
      <c r="T76" t="s">
        <v>478</v>
      </c>
      <c r="U76" t="s">
        <v>479</v>
      </c>
      <c r="V76" t="s">
        <v>480</v>
      </c>
      <c r="W76" t="s">
        <v>66</v>
      </c>
      <c r="AB76" t="s">
        <v>158</v>
      </c>
      <c r="AC76" t="s">
        <v>481</v>
      </c>
      <c r="AD76" t="s">
        <v>352</v>
      </c>
      <c r="AE76" t="s">
        <v>123</v>
      </c>
      <c r="AF76" t="s">
        <v>72</v>
      </c>
      <c r="AG76" t="s">
        <v>73</v>
      </c>
      <c r="AH76">
        <v>2025</v>
      </c>
      <c r="AI76">
        <v>11</v>
      </c>
      <c r="AJ76">
        <v>3</v>
      </c>
      <c r="AK76">
        <v>9</v>
      </c>
      <c r="AL76">
        <v>68</v>
      </c>
      <c r="AM76" s="2">
        <v>45725.8125</v>
      </c>
      <c r="AN76">
        <v>282</v>
      </c>
      <c r="AO76" t="s">
        <v>477</v>
      </c>
      <c r="AP76" t="s">
        <v>482</v>
      </c>
      <c r="AQ76" t="s">
        <v>483</v>
      </c>
      <c r="AR76" t="s">
        <v>484</v>
      </c>
      <c r="AS76" t="s">
        <v>506</v>
      </c>
      <c r="AW76"/>
    </row>
    <row r="77" spans="1:49" x14ac:dyDescent="0.3">
      <c r="A77" t="s">
        <v>517</v>
      </c>
      <c r="B77" s="1">
        <v>45727</v>
      </c>
      <c r="C77" t="s">
        <v>77</v>
      </c>
      <c r="D77" s="5">
        <v>0.58333333333333337</v>
      </c>
      <c r="E77" s="5">
        <v>0.60416666666666663</v>
      </c>
      <c r="F77" t="s">
        <v>452</v>
      </c>
      <c r="G77" t="s">
        <v>462</v>
      </c>
      <c r="H77" t="s">
        <v>518</v>
      </c>
      <c r="I77" t="s">
        <v>519</v>
      </c>
      <c r="J77" t="s">
        <v>59</v>
      </c>
      <c r="K77" t="s">
        <v>59</v>
      </c>
      <c r="L77" t="s">
        <v>60</v>
      </c>
      <c r="M77" t="s">
        <v>60</v>
      </c>
      <c r="N77" t="s">
        <v>520</v>
      </c>
      <c r="O77" t="s">
        <v>85</v>
      </c>
      <c r="P77">
        <v>8</v>
      </c>
      <c r="Q77" t="s">
        <v>521</v>
      </c>
      <c r="T77" t="s">
        <v>522</v>
      </c>
      <c r="U77" t="s">
        <v>523</v>
      </c>
      <c r="V77" t="s">
        <v>524</v>
      </c>
      <c r="W77" t="s">
        <v>66</v>
      </c>
      <c r="AB77" t="s">
        <v>417</v>
      </c>
      <c r="AC77" t="s">
        <v>159</v>
      </c>
      <c r="AD77" t="s">
        <v>160</v>
      </c>
      <c r="AE77" t="s">
        <v>525</v>
      </c>
      <c r="AF77" t="s">
        <v>72</v>
      </c>
      <c r="AG77" t="s">
        <v>73</v>
      </c>
      <c r="AH77">
        <v>2025</v>
      </c>
      <c r="AI77">
        <v>11</v>
      </c>
      <c r="AJ77">
        <v>3</v>
      </c>
      <c r="AK77">
        <v>11</v>
      </c>
      <c r="AL77">
        <v>70</v>
      </c>
      <c r="AM77" s="2">
        <v>45727.604166666664</v>
      </c>
      <c r="AN77">
        <v>123</v>
      </c>
      <c r="AO77" t="s">
        <v>521</v>
      </c>
      <c r="AP77" t="s">
        <v>526</v>
      </c>
      <c r="AQ77" t="s">
        <v>527</v>
      </c>
      <c r="AR77" t="s">
        <v>528</v>
      </c>
      <c r="AS77" t="s">
        <v>529</v>
      </c>
      <c r="AW77"/>
    </row>
    <row r="78" spans="1:49" x14ac:dyDescent="0.3">
      <c r="A78" t="s">
        <v>560</v>
      </c>
      <c r="B78" s="1">
        <v>45739</v>
      </c>
      <c r="C78" t="s">
        <v>305</v>
      </c>
      <c r="D78" s="5">
        <v>0.16666666666666666</v>
      </c>
      <c r="E78" s="5">
        <v>0.1736111111111111</v>
      </c>
      <c r="F78" t="s">
        <v>459</v>
      </c>
      <c r="G78" t="s">
        <v>462</v>
      </c>
      <c r="H78" t="s">
        <v>561</v>
      </c>
      <c r="I78" t="s">
        <v>562</v>
      </c>
      <c r="J78" t="s">
        <v>563</v>
      </c>
      <c r="K78" t="s">
        <v>59</v>
      </c>
      <c r="L78" t="s">
        <v>564</v>
      </c>
      <c r="M78" t="s">
        <v>60</v>
      </c>
      <c r="N78" t="s">
        <v>565</v>
      </c>
      <c r="O78" t="s">
        <v>251</v>
      </c>
      <c r="P78">
        <v>5</v>
      </c>
      <c r="Q78" t="s">
        <v>566</v>
      </c>
      <c r="T78" t="s">
        <v>567</v>
      </c>
      <c r="U78" t="s">
        <v>118</v>
      </c>
      <c r="V78" t="s">
        <v>568</v>
      </c>
      <c r="W78" t="s">
        <v>66</v>
      </c>
      <c r="AB78" t="s">
        <v>569</v>
      </c>
      <c r="AC78" t="s">
        <v>106</v>
      </c>
      <c r="AD78" t="s">
        <v>70</v>
      </c>
      <c r="AE78" t="s">
        <v>123</v>
      </c>
      <c r="AF78" t="s">
        <v>72</v>
      </c>
      <c r="AG78" t="s">
        <v>73</v>
      </c>
      <c r="AH78">
        <v>2025</v>
      </c>
      <c r="AI78">
        <v>13</v>
      </c>
      <c r="AJ78">
        <v>5</v>
      </c>
      <c r="AK78">
        <v>23</v>
      </c>
      <c r="AL78">
        <v>82</v>
      </c>
      <c r="AM78" s="2">
        <v>45739.173611111109</v>
      </c>
      <c r="AN78">
        <v>24</v>
      </c>
      <c r="AO78" t="s">
        <v>566</v>
      </c>
      <c r="AP78" t="s">
        <v>570</v>
      </c>
      <c r="AQ78" t="s">
        <v>571</v>
      </c>
      <c r="AR78" t="s">
        <v>572</v>
      </c>
      <c r="AS78" t="s">
        <v>549</v>
      </c>
      <c r="AW78"/>
    </row>
    <row r="79" spans="1:49" x14ac:dyDescent="0.3">
      <c r="A79" t="s">
        <v>606</v>
      </c>
      <c r="B79" s="1">
        <v>45747</v>
      </c>
      <c r="C79" t="s">
        <v>96</v>
      </c>
      <c r="D79" s="5">
        <v>0.75</v>
      </c>
      <c r="E79" s="5">
        <v>0.75</v>
      </c>
      <c r="F79" t="s">
        <v>451</v>
      </c>
      <c r="G79" t="s">
        <v>462</v>
      </c>
      <c r="H79" t="s">
        <v>212</v>
      </c>
      <c r="I79" t="s">
        <v>607</v>
      </c>
      <c r="J79" t="s">
        <v>59</v>
      </c>
      <c r="K79" t="s">
        <v>59</v>
      </c>
      <c r="L79" t="s">
        <v>60</v>
      </c>
      <c r="M79" t="s">
        <v>60</v>
      </c>
      <c r="N79" t="s">
        <v>608</v>
      </c>
      <c r="O79" t="s">
        <v>216</v>
      </c>
      <c r="Q79" t="s">
        <v>609</v>
      </c>
      <c r="R79">
        <v>2</v>
      </c>
      <c r="S79">
        <v>0</v>
      </c>
      <c r="T79" t="s">
        <v>610</v>
      </c>
      <c r="U79" t="s">
        <v>254</v>
      </c>
      <c r="V79" t="s">
        <v>611</v>
      </c>
      <c r="W79" t="s">
        <v>66</v>
      </c>
      <c r="AB79" t="s">
        <v>469</v>
      </c>
      <c r="AC79" t="s">
        <v>612</v>
      </c>
      <c r="AD79" t="s">
        <v>613</v>
      </c>
      <c r="AE79" t="s">
        <v>161</v>
      </c>
      <c r="AF79" t="s">
        <v>124</v>
      </c>
      <c r="AG79" t="s">
        <v>614</v>
      </c>
      <c r="AH79">
        <v>2025</v>
      </c>
      <c r="AI79">
        <v>14</v>
      </c>
      <c r="AJ79">
        <v>6</v>
      </c>
      <c r="AK79">
        <v>31</v>
      </c>
      <c r="AL79">
        <v>90</v>
      </c>
      <c r="AM79" s="2">
        <v>45747.75</v>
      </c>
      <c r="AN79">
        <v>310</v>
      </c>
      <c r="AO79" t="s">
        <v>609</v>
      </c>
      <c r="AP79" t="s">
        <v>615</v>
      </c>
      <c r="AQ79" t="s">
        <v>60</v>
      </c>
      <c r="AR79" t="s">
        <v>60</v>
      </c>
      <c r="AS79" t="s">
        <v>582</v>
      </c>
      <c r="AW79"/>
    </row>
    <row r="80" spans="1:49" x14ac:dyDescent="0.3">
      <c r="A80" t="s">
        <v>616</v>
      </c>
      <c r="B80" s="1">
        <v>45747</v>
      </c>
      <c r="C80" t="s">
        <v>110</v>
      </c>
      <c r="D80" s="5">
        <v>0.83333333333333337</v>
      </c>
      <c r="E80" s="5">
        <v>0.83333333333333337</v>
      </c>
      <c r="F80" t="s">
        <v>451</v>
      </c>
      <c r="G80" t="s">
        <v>462</v>
      </c>
      <c r="H80" t="s">
        <v>212</v>
      </c>
      <c r="I80" t="s">
        <v>607</v>
      </c>
      <c r="J80" t="s">
        <v>59</v>
      </c>
      <c r="K80" t="s">
        <v>59</v>
      </c>
      <c r="L80" t="s">
        <v>60</v>
      </c>
      <c r="M80" t="s">
        <v>60</v>
      </c>
      <c r="N80" t="s">
        <v>608</v>
      </c>
      <c r="O80" t="s">
        <v>216</v>
      </c>
      <c r="P80">
        <v>9</v>
      </c>
      <c r="Q80" t="s">
        <v>617</v>
      </c>
      <c r="R80">
        <v>5</v>
      </c>
      <c r="S80">
        <v>0</v>
      </c>
      <c r="T80" t="s">
        <v>618</v>
      </c>
      <c r="U80" t="s">
        <v>254</v>
      </c>
      <c r="V80" t="s">
        <v>619</v>
      </c>
      <c r="W80" t="s">
        <v>66</v>
      </c>
      <c r="AB80" t="s">
        <v>469</v>
      </c>
      <c r="AC80" t="s">
        <v>612</v>
      </c>
      <c r="AD80" t="s">
        <v>613</v>
      </c>
      <c r="AE80" t="s">
        <v>161</v>
      </c>
      <c r="AF80" t="s">
        <v>124</v>
      </c>
      <c r="AG80" t="s">
        <v>614</v>
      </c>
      <c r="AH80">
        <v>2025</v>
      </c>
      <c r="AI80">
        <v>14</v>
      </c>
      <c r="AJ80">
        <v>6</v>
      </c>
      <c r="AK80">
        <v>31</v>
      </c>
      <c r="AL80">
        <v>90</v>
      </c>
      <c r="AM80" s="2">
        <v>45747.833333333336</v>
      </c>
      <c r="AN80">
        <v>310</v>
      </c>
      <c r="AO80" t="s">
        <v>617</v>
      </c>
      <c r="AP80" t="s">
        <v>620</v>
      </c>
      <c r="AQ80" t="s">
        <v>60</v>
      </c>
      <c r="AR80" t="s">
        <v>60</v>
      </c>
      <c r="AS80" t="s">
        <v>582</v>
      </c>
      <c r="AW80"/>
    </row>
    <row r="81" spans="1:49" x14ac:dyDescent="0.3">
      <c r="A81" t="s">
        <v>621</v>
      </c>
      <c r="B81" s="1">
        <v>45748</v>
      </c>
      <c r="C81" t="s">
        <v>110</v>
      </c>
      <c r="D81" s="5">
        <v>0.83333333333333337</v>
      </c>
      <c r="E81" s="5">
        <v>0.85324074074074074</v>
      </c>
      <c r="F81" t="s">
        <v>452</v>
      </c>
      <c r="G81" t="s">
        <v>599</v>
      </c>
      <c r="H81" t="s">
        <v>57</v>
      </c>
      <c r="I81" t="s">
        <v>622</v>
      </c>
      <c r="J81" t="s">
        <v>59</v>
      </c>
      <c r="K81" t="s">
        <v>59</v>
      </c>
      <c r="L81" t="s">
        <v>60</v>
      </c>
      <c r="M81" t="s">
        <v>60</v>
      </c>
      <c r="N81" t="s">
        <v>623</v>
      </c>
      <c r="O81" t="s">
        <v>328</v>
      </c>
      <c r="P81">
        <v>7</v>
      </c>
      <c r="Q81" t="s">
        <v>624</v>
      </c>
      <c r="T81" t="s">
        <v>625</v>
      </c>
      <c r="U81" t="s">
        <v>626</v>
      </c>
      <c r="V81" t="s">
        <v>627</v>
      </c>
      <c r="W81" t="s">
        <v>66</v>
      </c>
      <c r="AB81" t="s">
        <v>67</v>
      </c>
      <c r="AC81" t="s">
        <v>331</v>
      </c>
      <c r="AD81" t="s">
        <v>70</v>
      </c>
      <c r="AE81" t="s">
        <v>161</v>
      </c>
      <c r="AF81" t="s">
        <v>72</v>
      </c>
      <c r="AH81">
        <v>2025</v>
      </c>
      <c r="AI81">
        <v>14</v>
      </c>
      <c r="AJ81">
        <v>1</v>
      </c>
      <c r="AK81">
        <v>1</v>
      </c>
      <c r="AL81">
        <v>91</v>
      </c>
      <c r="AM81" s="2">
        <v>45748.852777777778</v>
      </c>
      <c r="AN81">
        <v>77</v>
      </c>
      <c r="AO81" t="s">
        <v>624</v>
      </c>
      <c r="AP81" t="s">
        <v>628</v>
      </c>
      <c r="AQ81" t="s">
        <v>60</v>
      </c>
      <c r="AR81" t="s">
        <v>60</v>
      </c>
      <c r="AS81" t="s">
        <v>605</v>
      </c>
      <c r="AW81"/>
    </row>
    <row r="82" spans="1:49" x14ac:dyDescent="0.3">
      <c r="A82" t="s">
        <v>54</v>
      </c>
      <c r="B82" s="1">
        <v>45663</v>
      </c>
      <c r="C82" t="s">
        <v>77</v>
      </c>
      <c r="D82" s="5">
        <v>0.625</v>
      </c>
      <c r="E82" s="5">
        <v>0.64583333333333337</v>
      </c>
      <c r="F82" t="s">
        <v>451</v>
      </c>
      <c r="G82" t="s">
        <v>56</v>
      </c>
      <c r="H82" t="s">
        <v>57</v>
      </c>
      <c r="I82" t="s">
        <v>58</v>
      </c>
      <c r="J82" t="s">
        <v>59</v>
      </c>
      <c r="K82" t="s">
        <v>59</v>
      </c>
      <c r="L82" t="s">
        <v>60</v>
      </c>
      <c r="M82" t="s">
        <v>60</v>
      </c>
      <c r="N82" t="s">
        <v>61</v>
      </c>
      <c r="P82">
        <v>7</v>
      </c>
      <c r="Q82" t="s">
        <v>62</v>
      </c>
      <c r="T82" t="s">
        <v>63</v>
      </c>
      <c r="U82" t="s">
        <v>64</v>
      </c>
      <c r="V82" t="s">
        <v>65</v>
      </c>
      <c r="W82" t="s">
        <v>66</v>
      </c>
      <c r="AB82" t="s">
        <v>67</v>
      </c>
      <c r="AC82" t="s">
        <v>69</v>
      </c>
      <c r="AD82" t="s">
        <v>70</v>
      </c>
      <c r="AE82" t="s">
        <v>71</v>
      </c>
      <c r="AF82" t="s">
        <v>124</v>
      </c>
      <c r="AG82" t="s">
        <v>73</v>
      </c>
      <c r="AH82">
        <v>2025</v>
      </c>
      <c r="AI82">
        <v>2</v>
      </c>
      <c r="AJ82">
        <v>2</v>
      </c>
      <c r="AK82">
        <v>6</v>
      </c>
      <c r="AL82">
        <v>6</v>
      </c>
      <c r="AM82" s="2">
        <v>45663.645833333336</v>
      </c>
      <c r="AN82">
        <v>90</v>
      </c>
      <c r="AO82" t="s">
        <v>62</v>
      </c>
      <c r="AP82" t="s">
        <v>74</v>
      </c>
      <c r="AQ82" t="s">
        <v>75</v>
      </c>
      <c r="AR82" t="s">
        <v>76</v>
      </c>
      <c r="AS82" t="s">
        <v>515</v>
      </c>
      <c r="AW82"/>
    </row>
    <row r="83" spans="1:49" x14ac:dyDescent="0.3">
      <c r="A83" t="s">
        <v>78</v>
      </c>
      <c r="B83" s="1">
        <v>45682</v>
      </c>
      <c r="C83" t="s">
        <v>96</v>
      </c>
      <c r="D83" s="5">
        <v>0.75</v>
      </c>
      <c r="E83" s="5">
        <v>0.76875000000000004</v>
      </c>
      <c r="F83" t="s">
        <v>456</v>
      </c>
      <c r="G83" t="s">
        <v>56</v>
      </c>
      <c r="H83" t="s">
        <v>80</v>
      </c>
      <c r="I83" t="s">
        <v>81</v>
      </c>
      <c r="J83" t="s">
        <v>82</v>
      </c>
      <c r="K83" t="s">
        <v>59</v>
      </c>
      <c r="L83" t="s">
        <v>83</v>
      </c>
      <c r="M83" t="s">
        <v>60</v>
      </c>
      <c r="N83" t="s">
        <v>84</v>
      </c>
      <c r="O83" t="s">
        <v>85</v>
      </c>
      <c r="P83">
        <v>8</v>
      </c>
      <c r="Q83" t="s">
        <v>86</v>
      </c>
      <c r="T83" t="s">
        <v>87</v>
      </c>
      <c r="U83" t="s">
        <v>64</v>
      </c>
      <c r="V83" t="s">
        <v>88</v>
      </c>
      <c r="W83" t="s">
        <v>66</v>
      </c>
      <c r="AB83" t="s">
        <v>89</v>
      </c>
      <c r="AC83" t="s">
        <v>90</v>
      </c>
      <c r="AD83" t="s">
        <v>91</v>
      </c>
      <c r="AE83" t="s">
        <v>92</v>
      </c>
      <c r="AF83" t="s">
        <v>93</v>
      </c>
      <c r="AG83" t="s">
        <v>73</v>
      </c>
      <c r="AH83">
        <v>2025</v>
      </c>
      <c r="AI83">
        <v>4</v>
      </c>
      <c r="AJ83">
        <v>4</v>
      </c>
      <c r="AK83">
        <v>25</v>
      </c>
      <c r="AL83">
        <v>25</v>
      </c>
      <c r="AM83" s="2">
        <v>45682.768750000003</v>
      </c>
      <c r="AN83">
        <v>206</v>
      </c>
      <c r="AO83" t="s">
        <v>86</v>
      </c>
      <c r="AP83" t="s">
        <v>94</v>
      </c>
      <c r="AQ83" t="s">
        <v>95</v>
      </c>
      <c r="AR83" t="s">
        <v>60</v>
      </c>
      <c r="AS83" t="s">
        <v>512</v>
      </c>
      <c r="AW83"/>
    </row>
    <row r="84" spans="1:49" x14ac:dyDescent="0.3">
      <c r="A84" t="s">
        <v>97</v>
      </c>
      <c r="B84" s="1">
        <v>45683</v>
      </c>
      <c r="C84" t="s">
        <v>110</v>
      </c>
      <c r="D84" s="5">
        <v>0.83333333333333337</v>
      </c>
      <c r="E84" s="5">
        <v>0.84027777777777779</v>
      </c>
      <c r="F84" t="s">
        <v>459</v>
      </c>
      <c r="G84" t="s">
        <v>56</v>
      </c>
      <c r="H84" t="s">
        <v>99</v>
      </c>
      <c r="I84" t="s">
        <v>100</v>
      </c>
      <c r="J84" t="s">
        <v>82</v>
      </c>
      <c r="K84" t="s">
        <v>59</v>
      </c>
      <c r="L84" t="s">
        <v>83</v>
      </c>
      <c r="M84" t="s">
        <v>60</v>
      </c>
      <c r="N84" t="s">
        <v>101</v>
      </c>
      <c r="O84" t="s">
        <v>102</v>
      </c>
      <c r="P84">
        <v>9</v>
      </c>
      <c r="Q84" t="s">
        <v>103</v>
      </c>
      <c r="T84" t="s">
        <v>104</v>
      </c>
      <c r="U84" t="s">
        <v>64</v>
      </c>
      <c r="V84" t="s">
        <v>105</v>
      </c>
      <c r="W84" t="s">
        <v>66</v>
      </c>
      <c r="AB84" t="s">
        <v>67</v>
      </c>
      <c r="AC84" t="s">
        <v>106</v>
      </c>
      <c r="AD84" t="s">
        <v>70</v>
      </c>
      <c r="AE84" t="s">
        <v>107</v>
      </c>
      <c r="AF84" t="s">
        <v>72</v>
      </c>
      <c r="AG84" t="s">
        <v>73</v>
      </c>
      <c r="AH84">
        <v>2025</v>
      </c>
      <c r="AI84">
        <v>5</v>
      </c>
      <c r="AJ84">
        <v>5</v>
      </c>
      <c r="AK84">
        <v>26</v>
      </c>
      <c r="AL84">
        <v>26</v>
      </c>
      <c r="AM84" s="2">
        <v>45683.840277777781</v>
      </c>
      <c r="AN84">
        <v>5</v>
      </c>
      <c r="AO84" t="s">
        <v>103</v>
      </c>
      <c r="AP84" t="s">
        <v>108</v>
      </c>
      <c r="AQ84" t="s">
        <v>60</v>
      </c>
      <c r="AR84" t="s">
        <v>109</v>
      </c>
      <c r="AS84" t="s">
        <v>512</v>
      </c>
      <c r="AW84"/>
    </row>
    <row r="85" spans="1:49" x14ac:dyDescent="0.3">
      <c r="A85" t="s">
        <v>111</v>
      </c>
      <c r="B85" s="1">
        <v>45701</v>
      </c>
      <c r="C85" t="s">
        <v>96</v>
      </c>
      <c r="D85" s="5">
        <v>0.66666666666666663</v>
      </c>
      <c r="E85" s="5">
        <v>0.66666666666666663</v>
      </c>
      <c r="F85" t="s">
        <v>537</v>
      </c>
      <c r="G85" t="s">
        <v>112</v>
      </c>
      <c r="H85" t="s">
        <v>113</v>
      </c>
      <c r="I85" t="s">
        <v>113</v>
      </c>
      <c r="J85" t="s">
        <v>59</v>
      </c>
      <c r="K85" t="s">
        <v>59</v>
      </c>
      <c r="L85" t="s">
        <v>60</v>
      </c>
      <c r="M85" t="s">
        <v>60</v>
      </c>
      <c r="N85" t="s">
        <v>114</v>
      </c>
      <c r="O85" t="s">
        <v>115</v>
      </c>
      <c r="P85">
        <v>6</v>
      </c>
      <c r="Q85" t="s">
        <v>116</v>
      </c>
      <c r="T85" t="s">
        <v>117</v>
      </c>
      <c r="U85" t="s">
        <v>118</v>
      </c>
      <c r="V85" t="s">
        <v>119</v>
      </c>
      <c r="W85" t="s">
        <v>66</v>
      </c>
      <c r="AB85" t="s">
        <v>120</v>
      </c>
      <c r="AC85" t="s">
        <v>121</v>
      </c>
      <c r="AD85" t="s">
        <v>122</v>
      </c>
      <c r="AE85" t="s">
        <v>123</v>
      </c>
      <c r="AF85" t="s">
        <v>72</v>
      </c>
      <c r="AG85" t="s">
        <v>73</v>
      </c>
      <c r="AH85">
        <v>2025</v>
      </c>
      <c r="AI85">
        <v>7</v>
      </c>
      <c r="AJ85">
        <v>3</v>
      </c>
      <c r="AK85">
        <v>13</v>
      </c>
      <c r="AL85">
        <v>44</v>
      </c>
      <c r="AM85" s="2">
        <v>45701.666666666664</v>
      </c>
      <c r="AO85" t="s">
        <v>116</v>
      </c>
      <c r="AP85" t="s">
        <v>125</v>
      </c>
      <c r="AQ85" t="s">
        <v>126</v>
      </c>
      <c r="AR85" t="s">
        <v>127</v>
      </c>
      <c r="AS85" t="s">
        <v>509</v>
      </c>
      <c r="AW85"/>
    </row>
    <row r="86" spans="1:49" x14ac:dyDescent="0.3">
      <c r="A86" t="s">
        <v>461</v>
      </c>
      <c r="B86" s="1">
        <v>45722</v>
      </c>
      <c r="C86" t="s">
        <v>110</v>
      </c>
      <c r="D86" s="5">
        <v>0.91666666666666663</v>
      </c>
      <c r="E86" s="5">
        <v>0.94149305555555551</v>
      </c>
      <c r="F86" t="s">
        <v>537</v>
      </c>
      <c r="G86" t="s">
        <v>462</v>
      </c>
      <c r="H86" t="s">
        <v>463</v>
      </c>
      <c r="I86" t="s">
        <v>464</v>
      </c>
      <c r="J86" t="s">
        <v>59</v>
      </c>
      <c r="K86" t="s">
        <v>59</v>
      </c>
      <c r="L86" t="s">
        <v>60</v>
      </c>
      <c r="M86" t="s">
        <v>60</v>
      </c>
      <c r="N86" t="s">
        <v>465</v>
      </c>
      <c r="O86" t="s">
        <v>85</v>
      </c>
      <c r="P86">
        <v>8</v>
      </c>
      <c r="Q86" t="s">
        <v>466</v>
      </c>
      <c r="T86" t="s">
        <v>467</v>
      </c>
      <c r="U86" t="s">
        <v>118</v>
      </c>
      <c r="V86" t="s">
        <v>468</v>
      </c>
      <c r="W86" t="s">
        <v>66</v>
      </c>
      <c r="AB86" t="s">
        <v>469</v>
      </c>
      <c r="AC86" t="s">
        <v>69</v>
      </c>
      <c r="AD86" t="s">
        <v>70</v>
      </c>
      <c r="AE86" t="s">
        <v>161</v>
      </c>
      <c r="AF86" t="s">
        <v>124</v>
      </c>
      <c r="AG86" t="s">
        <v>73</v>
      </c>
      <c r="AH86">
        <v>2025</v>
      </c>
      <c r="AI86">
        <v>10</v>
      </c>
      <c r="AJ86">
        <v>2</v>
      </c>
      <c r="AK86">
        <v>6</v>
      </c>
      <c r="AL86">
        <v>65</v>
      </c>
      <c r="AM86" s="2">
        <v>45722.940972222219</v>
      </c>
      <c r="AN86">
        <v>216</v>
      </c>
      <c r="AO86" t="s">
        <v>466</v>
      </c>
      <c r="AP86" t="s">
        <v>470</v>
      </c>
      <c r="AQ86" t="s">
        <v>471</v>
      </c>
      <c r="AR86" t="s">
        <v>472</v>
      </c>
      <c r="AS86" t="s">
        <v>506</v>
      </c>
      <c r="AW86"/>
    </row>
    <row r="87" spans="1:49" x14ac:dyDescent="0.3">
      <c r="A87" t="s">
        <v>473</v>
      </c>
      <c r="B87" s="1">
        <v>45725</v>
      </c>
      <c r="C87" t="s">
        <v>96</v>
      </c>
      <c r="D87" s="5">
        <v>0.79166666666666663</v>
      </c>
      <c r="E87" s="5">
        <v>0.8125</v>
      </c>
      <c r="F87" t="s">
        <v>459</v>
      </c>
      <c r="G87" t="s">
        <v>462</v>
      </c>
      <c r="H87" t="s">
        <v>474</v>
      </c>
      <c r="I87" t="s">
        <v>475</v>
      </c>
      <c r="J87" t="s">
        <v>59</v>
      </c>
      <c r="K87" t="s">
        <v>59</v>
      </c>
      <c r="L87" t="s">
        <v>60</v>
      </c>
      <c r="M87" t="s">
        <v>60</v>
      </c>
      <c r="N87" t="s">
        <v>476</v>
      </c>
      <c r="O87" t="s">
        <v>135</v>
      </c>
      <c r="P87">
        <v>7</v>
      </c>
      <c r="Q87" t="s">
        <v>477</v>
      </c>
      <c r="T87" t="s">
        <v>478</v>
      </c>
      <c r="U87" t="s">
        <v>479</v>
      </c>
      <c r="V87" t="s">
        <v>480</v>
      </c>
      <c r="W87" t="s">
        <v>66</v>
      </c>
      <c r="AB87" t="s">
        <v>158</v>
      </c>
      <c r="AC87" t="s">
        <v>481</v>
      </c>
      <c r="AD87" t="s">
        <v>352</v>
      </c>
      <c r="AE87" t="s">
        <v>123</v>
      </c>
      <c r="AF87" t="s">
        <v>72</v>
      </c>
      <c r="AG87" t="s">
        <v>73</v>
      </c>
      <c r="AH87">
        <v>2025</v>
      </c>
      <c r="AI87">
        <v>11</v>
      </c>
      <c r="AJ87">
        <v>3</v>
      </c>
      <c r="AK87">
        <v>9</v>
      </c>
      <c r="AL87">
        <v>68</v>
      </c>
      <c r="AM87" s="2">
        <v>45725.8125</v>
      </c>
      <c r="AN87">
        <v>282</v>
      </c>
      <c r="AO87" t="s">
        <v>477</v>
      </c>
      <c r="AP87" t="s">
        <v>482</v>
      </c>
      <c r="AQ87" t="s">
        <v>483</v>
      </c>
      <c r="AR87" t="s">
        <v>484</v>
      </c>
      <c r="AS87" t="s">
        <v>506</v>
      </c>
      <c r="AW87"/>
    </row>
    <row r="88" spans="1:49" x14ac:dyDescent="0.3">
      <c r="A88" t="s">
        <v>517</v>
      </c>
      <c r="B88" s="1">
        <v>45727</v>
      </c>
      <c r="C88" t="s">
        <v>77</v>
      </c>
      <c r="D88" s="5">
        <v>0.58333333333333337</v>
      </c>
      <c r="E88" s="5">
        <v>0.60416666666666663</v>
      </c>
      <c r="F88" t="s">
        <v>452</v>
      </c>
      <c r="G88" t="s">
        <v>462</v>
      </c>
      <c r="H88" t="s">
        <v>518</v>
      </c>
      <c r="I88" t="s">
        <v>519</v>
      </c>
      <c r="J88" t="s">
        <v>59</v>
      </c>
      <c r="K88" t="s">
        <v>59</v>
      </c>
      <c r="L88" t="s">
        <v>60</v>
      </c>
      <c r="M88" t="s">
        <v>60</v>
      </c>
      <c r="N88" t="s">
        <v>520</v>
      </c>
      <c r="O88" t="s">
        <v>85</v>
      </c>
      <c r="P88">
        <v>8</v>
      </c>
      <c r="Q88" t="s">
        <v>521</v>
      </c>
      <c r="T88" t="s">
        <v>522</v>
      </c>
      <c r="U88" t="s">
        <v>523</v>
      </c>
      <c r="V88" t="s">
        <v>524</v>
      </c>
      <c r="W88" t="s">
        <v>66</v>
      </c>
      <c r="AB88" t="s">
        <v>417</v>
      </c>
      <c r="AC88" t="s">
        <v>159</v>
      </c>
      <c r="AD88" t="s">
        <v>160</v>
      </c>
      <c r="AE88" t="s">
        <v>525</v>
      </c>
      <c r="AF88" t="s">
        <v>72</v>
      </c>
      <c r="AG88" t="s">
        <v>73</v>
      </c>
      <c r="AH88">
        <v>2025</v>
      </c>
      <c r="AI88">
        <v>11</v>
      </c>
      <c r="AJ88">
        <v>3</v>
      </c>
      <c r="AK88">
        <v>11</v>
      </c>
      <c r="AL88">
        <v>70</v>
      </c>
      <c r="AM88" s="2">
        <v>45727.604166666664</v>
      </c>
      <c r="AN88">
        <v>123</v>
      </c>
      <c r="AO88" t="s">
        <v>521</v>
      </c>
      <c r="AP88" t="s">
        <v>526</v>
      </c>
      <c r="AQ88" t="s">
        <v>527</v>
      </c>
      <c r="AR88" t="s">
        <v>528</v>
      </c>
      <c r="AS88" t="s">
        <v>529</v>
      </c>
      <c r="AW88"/>
    </row>
    <row r="89" spans="1:49" x14ac:dyDescent="0.3">
      <c r="A89" t="s">
        <v>560</v>
      </c>
      <c r="B89" s="1">
        <v>45739</v>
      </c>
      <c r="C89" t="s">
        <v>305</v>
      </c>
      <c r="D89" s="5">
        <v>0.16666666666666666</v>
      </c>
      <c r="E89" s="5">
        <v>0.1736111111111111</v>
      </c>
      <c r="F89" t="s">
        <v>459</v>
      </c>
      <c r="G89" t="s">
        <v>462</v>
      </c>
      <c r="H89" t="s">
        <v>561</v>
      </c>
      <c r="I89" t="s">
        <v>562</v>
      </c>
      <c r="J89" t="s">
        <v>563</v>
      </c>
      <c r="K89" t="s">
        <v>59</v>
      </c>
      <c r="L89" t="s">
        <v>564</v>
      </c>
      <c r="M89" t="s">
        <v>60</v>
      </c>
      <c r="N89" t="s">
        <v>565</v>
      </c>
      <c r="O89" t="s">
        <v>251</v>
      </c>
      <c r="P89">
        <v>5</v>
      </c>
      <c r="Q89" t="s">
        <v>566</v>
      </c>
      <c r="T89" t="s">
        <v>567</v>
      </c>
      <c r="U89" t="s">
        <v>118</v>
      </c>
      <c r="V89" t="s">
        <v>568</v>
      </c>
      <c r="W89" t="s">
        <v>66</v>
      </c>
      <c r="AB89" t="s">
        <v>569</v>
      </c>
      <c r="AC89" t="s">
        <v>106</v>
      </c>
      <c r="AD89" t="s">
        <v>70</v>
      </c>
      <c r="AE89" t="s">
        <v>123</v>
      </c>
      <c r="AF89" t="s">
        <v>72</v>
      </c>
      <c r="AG89" t="s">
        <v>73</v>
      </c>
      <c r="AH89">
        <v>2025</v>
      </c>
      <c r="AI89">
        <v>13</v>
      </c>
      <c r="AJ89">
        <v>5</v>
      </c>
      <c r="AK89">
        <v>23</v>
      </c>
      <c r="AL89">
        <v>82</v>
      </c>
      <c r="AM89" s="2">
        <v>45739.173611111109</v>
      </c>
      <c r="AN89">
        <v>24</v>
      </c>
      <c r="AO89" t="s">
        <v>566</v>
      </c>
      <c r="AP89" t="s">
        <v>570</v>
      </c>
      <c r="AQ89" t="s">
        <v>571</v>
      </c>
      <c r="AR89" t="s">
        <v>572</v>
      </c>
      <c r="AS89" t="s">
        <v>549</v>
      </c>
      <c r="AW89"/>
    </row>
    <row r="90" spans="1:49" x14ac:dyDescent="0.3">
      <c r="A90" t="s">
        <v>606</v>
      </c>
      <c r="B90" s="1">
        <v>45747</v>
      </c>
      <c r="C90" t="s">
        <v>96</v>
      </c>
      <c r="D90" s="5">
        <v>0.75</v>
      </c>
      <c r="E90" s="5">
        <v>0.75</v>
      </c>
      <c r="F90" t="s">
        <v>451</v>
      </c>
      <c r="G90" t="s">
        <v>462</v>
      </c>
      <c r="H90" t="s">
        <v>212</v>
      </c>
      <c r="I90" t="s">
        <v>607</v>
      </c>
      <c r="J90" t="s">
        <v>59</v>
      </c>
      <c r="K90" t="s">
        <v>59</v>
      </c>
      <c r="L90" t="s">
        <v>60</v>
      </c>
      <c r="M90" t="s">
        <v>60</v>
      </c>
      <c r="N90" t="s">
        <v>608</v>
      </c>
      <c r="O90" t="s">
        <v>216</v>
      </c>
      <c r="Q90" t="s">
        <v>609</v>
      </c>
      <c r="R90">
        <v>2</v>
      </c>
      <c r="S90">
        <v>0</v>
      </c>
      <c r="T90" t="s">
        <v>610</v>
      </c>
      <c r="U90" t="s">
        <v>254</v>
      </c>
      <c r="V90" t="s">
        <v>611</v>
      </c>
      <c r="W90" t="s">
        <v>66</v>
      </c>
      <c r="AB90" t="s">
        <v>469</v>
      </c>
      <c r="AC90" t="s">
        <v>612</v>
      </c>
      <c r="AD90" t="s">
        <v>613</v>
      </c>
      <c r="AE90" t="s">
        <v>161</v>
      </c>
      <c r="AF90" t="s">
        <v>196</v>
      </c>
      <c r="AG90" t="s">
        <v>614</v>
      </c>
      <c r="AH90">
        <v>2025</v>
      </c>
      <c r="AI90">
        <v>14</v>
      </c>
      <c r="AJ90">
        <v>6</v>
      </c>
      <c r="AK90">
        <v>31</v>
      </c>
      <c r="AL90">
        <v>90</v>
      </c>
      <c r="AM90" s="2">
        <v>45747.75</v>
      </c>
      <c r="AN90">
        <v>310</v>
      </c>
      <c r="AO90" t="s">
        <v>609</v>
      </c>
      <c r="AP90" t="s">
        <v>615</v>
      </c>
      <c r="AQ90" t="s">
        <v>60</v>
      </c>
      <c r="AR90" t="s">
        <v>60</v>
      </c>
      <c r="AS90" t="s">
        <v>582</v>
      </c>
      <c r="AW90"/>
    </row>
    <row r="91" spans="1:49" x14ac:dyDescent="0.3">
      <c r="A91" t="s">
        <v>616</v>
      </c>
      <c r="B91" s="1">
        <v>45747</v>
      </c>
      <c r="C91" t="s">
        <v>110</v>
      </c>
      <c r="D91" s="5">
        <v>0.83333333333333337</v>
      </c>
      <c r="E91" s="5">
        <v>0.83333333333333337</v>
      </c>
      <c r="F91" t="s">
        <v>451</v>
      </c>
      <c r="G91" t="s">
        <v>462</v>
      </c>
      <c r="H91" t="s">
        <v>212</v>
      </c>
      <c r="I91" t="s">
        <v>607</v>
      </c>
      <c r="J91" t="s">
        <v>59</v>
      </c>
      <c r="K91" t="s">
        <v>59</v>
      </c>
      <c r="L91" t="s">
        <v>60</v>
      </c>
      <c r="M91" t="s">
        <v>60</v>
      </c>
      <c r="N91" t="s">
        <v>608</v>
      </c>
      <c r="O91" t="s">
        <v>216</v>
      </c>
      <c r="P91">
        <v>9</v>
      </c>
      <c r="Q91" t="s">
        <v>617</v>
      </c>
      <c r="R91">
        <v>5</v>
      </c>
      <c r="S91">
        <v>0</v>
      </c>
      <c r="T91" t="s">
        <v>618</v>
      </c>
      <c r="U91" t="s">
        <v>254</v>
      </c>
      <c r="V91" t="s">
        <v>619</v>
      </c>
      <c r="W91" t="s">
        <v>66</v>
      </c>
      <c r="AB91" t="s">
        <v>469</v>
      </c>
      <c r="AC91" t="s">
        <v>612</v>
      </c>
      <c r="AD91" t="s">
        <v>613</v>
      </c>
      <c r="AE91" t="s">
        <v>161</v>
      </c>
      <c r="AF91" t="s">
        <v>196</v>
      </c>
      <c r="AG91" t="s">
        <v>614</v>
      </c>
      <c r="AH91">
        <v>2025</v>
      </c>
      <c r="AI91">
        <v>14</v>
      </c>
      <c r="AJ91">
        <v>6</v>
      </c>
      <c r="AK91">
        <v>31</v>
      </c>
      <c r="AL91">
        <v>90</v>
      </c>
      <c r="AM91" s="2">
        <v>45747.833333333336</v>
      </c>
      <c r="AN91">
        <v>310</v>
      </c>
      <c r="AO91" t="s">
        <v>617</v>
      </c>
      <c r="AP91" t="s">
        <v>620</v>
      </c>
      <c r="AQ91" t="s">
        <v>60</v>
      </c>
      <c r="AR91" t="s">
        <v>60</v>
      </c>
      <c r="AS91" t="s">
        <v>582</v>
      </c>
      <c r="AW91"/>
    </row>
    <row r="92" spans="1:49" x14ac:dyDescent="0.3">
      <c r="A92" t="s">
        <v>621</v>
      </c>
      <c r="B92" s="1">
        <v>45748</v>
      </c>
      <c r="C92" t="s">
        <v>110</v>
      </c>
      <c r="D92" s="5">
        <v>0.83333333333333337</v>
      </c>
      <c r="E92" s="5">
        <v>0.85324074074074074</v>
      </c>
      <c r="F92" t="s">
        <v>452</v>
      </c>
      <c r="G92" t="s">
        <v>599</v>
      </c>
      <c r="H92" t="s">
        <v>57</v>
      </c>
      <c r="I92" t="s">
        <v>622</v>
      </c>
      <c r="J92" t="s">
        <v>59</v>
      </c>
      <c r="K92" t="s">
        <v>59</v>
      </c>
      <c r="L92" t="s">
        <v>60</v>
      </c>
      <c r="M92" t="s">
        <v>60</v>
      </c>
      <c r="N92" t="s">
        <v>623</v>
      </c>
      <c r="O92" t="s">
        <v>328</v>
      </c>
      <c r="P92">
        <v>7</v>
      </c>
      <c r="Q92" t="s">
        <v>624</v>
      </c>
      <c r="T92" t="s">
        <v>625</v>
      </c>
      <c r="U92" t="s">
        <v>626</v>
      </c>
      <c r="V92" t="s">
        <v>627</v>
      </c>
      <c r="W92" t="s">
        <v>66</v>
      </c>
      <c r="AB92" t="s">
        <v>67</v>
      </c>
      <c r="AC92" t="s">
        <v>331</v>
      </c>
      <c r="AD92" t="s">
        <v>70</v>
      </c>
      <c r="AE92" t="s">
        <v>161</v>
      </c>
      <c r="AF92" t="s">
        <v>72</v>
      </c>
      <c r="AG92" t="s">
        <v>73</v>
      </c>
      <c r="AH92">
        <v>2025</v>
      </c>
      <c r="AI92">
        <v>14</v>
      </c>
      <c r="AJ92">
        <v>1</v>
      </c>
      <c r="AK92">
        <v>1</v>
      </c>
      <c r="AL92">
        <v>91</v>
      </c>
      <c r="AM92" s="2">
        <v>45748.852777777778</v>
      </c>
      <c r="AN92">
        <v>77</v>
      </c>
      <c r="AO92" t="s">
        <v>624</v>
      </c>
      <c r="AP92" t="s">
        <v>628</v>
      </c>
      <c r="AQ92" t="s">
        <v>60</v>
      </c>
      <c r="AR92" t="s">
        <v>60</v>
      </c>
      <c r="AS92" t="s">
        <v>605</v>
      </c>
      <c r="AW92"/>
    </row>
    <row r="93" spans="1:49" x14ac:dyDescent="0.3">
      <c r="A93" t="s">
        <v>54</v>
      </c>
      <c r="B93" s="1">
        <v>45663</v>
      </c>
      <c r="C93" t="s">
        <v>77</v>
      </c>
      <c r="D93" s="5">
        <v>0.625</v>
      </c>
      <c r="E93" s="5">
        <v>0.64583333333333337</v>
      </c>
      <c r="F93" t="s">
        <v>451</v>
      </c>
      <c r="G93" t="s">
        <v>56</v>
      </c>
      <c r="H93" t="s">
        <v>57</v>
      </c>
      <c r="I93" t="s">
        <v>58</v>
      </c>
      <c r="J93" t="s">
        <v>59</v>
      </c>
      <c r="K93" t="s">
        <v>59</v>
      </c>
      <c r="L93" t="s">
        <v>60</v>
      </c>
      <c r="M93" t="s">
        <v>60</v>
      </c>
      <c r="N93" t="s">
        <v>61</v>
      </c>
      <c r="P93">
        <v>7</v>
      </c>
      <c r="Q93" t="s">
        <v>62</v>
      </c>
      <c r="T93" t="s">
        <v>63</v>
      </c>
      <c r="U93" t="s">
        <v>64</v>
      </c>
      <c r="V93" t="s">
        <v>65</v>
      </c>
      <c r="W93" t="s">
        <v>66</v>
      </c>
      <c r="AB93" t="s">
        <v>67</v>
      </c>
      <c r="AC93" t="s">
        <v>69</v>
      </c>
      <c r="AD93" t="s">
        <v>70</v>
      </c>
      <c r="AE93" t="s">
        <v>71</v>
      </c>
      <c r="AF93" t="s">
        <v>124</v>
      </c>
      <c r="AG93" t="s">
        <v>73</v>
      </c>
      <c r="AH93">
        <v>2025</v>
      </c>
      <c r="AI93">
        <v>2</v>
      </c>
      <c r="AJ93">
        <v>2</v>
      </c>
      <c r="AK93">
        <v>6</v>
      </c>
      <c r="AL93">
        <v>6</v>
      </c>
      <c r="AM93" s="2">
        <v>45663.645833333336</v>
      </c>
      <c r="AN93">
        <v>90</v>
      </c>
      <c r="AO93" t="s">
        <v>62</v>
      </c>
      <c r="AP93" t="s">
        <v>74</v>
      </c>
      <c r="AQ93" t="s">
        <v>75</v>
      </c>
      <c r="AR93" t="s">
        <v>76</v>
      </c>
      <c r="AS93" t="s">
        <v>515</v>
      </c>
      <c r="AW93"/>
    </row>
    <row r="94" spans="1:49" x14ac:dyDescent="0.3">
      <c r="A94" t="s">
        <v>78</v>
      </c>
      <c r="B94" s="1">
        <v>45682</v>
      </c>
      <c r="C94" t="s">
        <v>96</v>
      </c>
      <c r="D94" s="5">
        <v>0.75</v>
      </c>
      <c r="E94" s="5">
        <v>0.76875000000000004</v>
      </c>
      <c r="F94" t="s">
        <v>456</v>
      </c>
      <c r="G94" t="s">
        <v>56</v>
      </c>
      <c r="H94" t="s">
        <v>80</v>
      </c>
      <c r="I94" t="s">
        <v>81</v>
      </c>
      <c r="J94" t="s">
        <v>82</v>
      </c>
      <c r="K94" t="s">
        <v>59</v>
      </c>
      <c r="L94" t="s">
        <v>83</v>
      </c>
      <c r="M94" t="s">
        <v>60</v>
      </c>
      <c r="N94" t="s">
        <v>84</v>
      </c>
      <c r="O94" t="s">
        <v>85</v>
      </c>
      <c r="P94">
        <v>8</v>
      </c>
      <c r="Q94" t="s">
        <v>86</v>
      </c>
      <c r="T94" t="s">
        <v>87</v>
      </c>
      <c r="U94" t="s">
        <v>64</v>
      </c>
      <c r="V94" t="s">
        <v>88</v>
      </c>
      <c r="W94" t="s">
        <v>66</v>
      </c>
      <c r="AB94" t="s">
        <v>89</v>
      </c>
      <c r="AC94" t="s">
        <v>90</v>
      </c>
      <c r="AD94" t="s">
        <v>91</v>
      </c>
      <c r="AE94" t="s">
        <v>92</v>
      </c>
      <c r="AF94" t="s">
        <v>93</v>
      </c>
      <c r="AG94" t="s">
        <v>73</v>
      </c>
      <c r="AH94">
        <v>2025</v>
      </c>
      <c r="AI94">
        <v>4</v>
      </c>
      <c r="AJ94">
        <v>4</v>
      </c>
      <c r="AK94">
        <v>25</v>
      </c>
      <c r="AL94">
        <v>25</v>
      </c>
      <c r="AM94" s="2">
        <v>45682.768750000003</v>
      </c>
      <c r="AN94">
        <v>206</v>
      </c>
      <c r="AO94" t="s">
        <v>86</v>
      </c>
      <c r="AP94" t="s">
        <v>94</v>
      </c>
      <c r="AQ94" t="s">
        <v>95</v>
      </c>
      <c r="AR94" t="s">
        <v>60</v>
      </c>
      <c r="AS94" t="s">
        <v>512</v>
      </c>
      <c r="AW94"/>
    </row>
    <row r="95" spans="1:49" x14ac:dyDescent="0.3">
      <c r="A95" t="s">
        <v>97</v>
      </c>
      <c r="B95" s="1">
        <v>45683</v>
      </c>
      <c r="C95" t="s">
        <v>110</v>
      </c>
      <c r="D95" s="5">
        <v>0.83333333333333337</v>
      </c>
      <c r="E95" s="5">
        <v>0.84027777777777779</v>
      </c>
      <c r="F95" t="s">
        <v>459</v>
      </c>
      <c r="G95" t="s">
        <v>56</v>
      </c>
      <c r="H95" t="s">
        <v>99</v>
      </c>
      <c r="I95" t="s">
        <v>100</v>
      </c>
      <c r="J95" t="s">
        <v>82</v>
      </c>
      <c r="K95" t="s">
        <v>59</v>
      </c>
      <c r="L95" t="s">
        <v>83</v>
      </c>
      <c r="M95" t="s">
        <v>60</v>
      </c>
      <c r="N95" t="s">
        <v>101</v>
      </c>
      <c r="O95" t="s">
        <v>102</v>
      </c>
      <c r="P95">
        <v>9</v>
      </c>
      <c r="Q95" t="s">
        <v>103</v>
      </c>
      <c r="T95" t="s">
        <v>104</v>
      </c>
      <c r="U95" t="s">
        <v>64</v>
      </c>
      <c r="V95" t="s">
        <v>105</v>
      </c>
      <c r="W95" t="s">
        <v>66</v>
      </c>
      <c r="AB95" t="s">
        <v>67</v>
      </c>
      <c r="AC95" t="s">
        <v>106</v>
      </c>
      <c r="AD95" t="s">
        <v>70</v>
      </c>
      <c r="AE95" t="s">
        <v>107</v>
      </c>
      <c r="AF95" t="s">
        <v>72</v>
      </c>
      <c r="AG95" t="s">
        <v>73</v>
      </c>
      <c r="AH95">
        <v>2025</v>
      </c>
      <c r="AI95">
        <v>5</v>
      </c>
      <c r="AJ95">
        <v>5</v>
      </c>
      <c r="AK95">
        <v>26</v>
      </c>
      <c r="AL95">
        <v>26</v>
      </c>
      <c r="AM95" s="2">
        <v>45683.840277777781</v>
      </c>
      <c r="AN95">
        <v>5</v>
      </c>
      <c r="AO95" t="s">
        <v>103</v>
      </c>
      <c r="AP95" t="s">
        <v>108</v>
      </c>
      <c r="AQ95" t="s">
        <v>60</v>
      </c>
      <c r="AR95" t="s">
        <v>109</v>
      </c>
      <c r="AS95" t="s">
        <v>512</v>
      </c>
      <c r="AW95"/>
    </row>
    <row r="96" spans="1:49" x14ac:dyDescent="0.3">
      <c r="A96" t="s">
        <v>111</v>
      </c>
      <c r="B96" s="1">
        <v>45701</v>
      </c>
      <c r="C96" t="s">
        <v>96</v>
      </c>
      <c r="D96" s="5">
        <v>0.66666666666666663</v>
      </c>
      <c r="E96" s="5">
        <v>0.66666666666666663</v>
      </c>
      <c r="F96" t="s">
        <v>537</v>
      </c>
      <c r="G96" t="s">
        <v>112</v>
      </c>
      <c r="H96" t="s">
        <v>113</v>
      </c>
      <c r="I96" t="s">
        <v>113</v>
      </c>
      <c r="J96" t="s">
        <v>59</v>
      </c>
      <c r="K96" t="s">
        <v>59</v>
      </c>
      <c r="L96" t="s">
        <v>60</v>
      </c>
      <c r="M96" t="s">
        <v>60</v>
      </c>
      <c r="N96" t="s">
        <v>114</v>
      </c>
      <c r="O96" t="s">
        <v>115</v>
      </c>
      <c r="P96">
        <v>6</v>
      </c>
      <c r="Q96" t="s">
        <v>116</v>
      </c>
      <c r="T96" t="s">
        <v>117</v>
      </c>
      <c r="U96" t="s">
        <v>118</v>
      </c>
      <c r="V96" t="s">
        <v>119</v>
      </c>
      <c r="W96" t="s">
        <v>66</v>
      </c>
      <c r="AB96" t="s">
        <v>120</v>
      </c>
      <c r="AC96" t="s">
        <v>121</v>
      </c>
      <c r="AD96" t="s">
        <v>122</v>
      </c>
      <c r="AE96" t="s">
        <v>123</v>
      </c>
      <c r="AF96" t="s">
        <v>72</v>
      </c>
      <c r="AG96" t="s">
        <v>73</v>
      </c>
      <c r="AH96">
        <v>2025</v>
      </c>
      <c r="AI96">
        <v>7</v>
      </c>
      <c r="AJ96">
        <v>3</v>
      </c>
      <c r="AK96">
        <v>13</v>
      </c>
      <c r="AL96">
        <v>44</v>
      </c>
      <c r="AM96" s="2">
        <v>45701.666666666664</v>
      </c>
      <c r="AO96" t="s">
        <v>116</v>
      </c>
      <c r="AP96" t="s">
        <v>125</v>
      </c>
      <c r="AQ96" t="s">
        <v>126</v>
      </c>
      <c r="AR96" t="s">
        <v>127</v>
      </c>
      <c r="AS96" t="s">
        <v>509</v>
      </c>
      <c r="AW96"/>
    </row>
    <row r="97" spans="1:49" x14ac:dyDescent="0.3">
      <c r="A97" t="s">
        <v>461</v>
      </c>
      <c r="B97" s="1">
        <v>45722</v>
      </c>
      <c r="C97" t="s">
        <v>110</v>
      </c>
      <c r="D97" s="5">
        <v>0.91666666666666663</v>
      </c>
      <c r="E97" s="5">
        <v>0.94149305555555551</v>
      </c>
      <c r="F97" t="s">
        <v>537</v>
      </c>
      <c r="G97" t="s">
        <v>462</v>
      </c>
      <c r="H97" t="s">
        <v>463</v>
      </c>
      <c r="I97" t="s">
        <v>464</v>
      </c>
      <c r="J97" t="s">
        <v>59</v>
      </c>
      <c r="K97" t="s">
        <v>59</v>
      </c>
      <c r="L97" t="s">
        <v>60</v>
      </c>
      <c r="M97" t="s">
        <v>60</v>
      </c>
      <c r="N97" t="s">
        <v>465</v>
      </c>
      <c r="O97" t="s">
        <v>85</v>
      </c>
      <c r="P97">
        <v>8</v>
      </c>
      <c r="Q97" t="s">
        <v>466</v>
      </c>
      <c r="T97" t="s">
        <v>467</v>
      </c>
      <c r="U97" t="s">
        <v>118</v>
      </c>
      <c r="V97" t="s">
        <v>468</v>
      </c>
      <c r="W97" t="s">
        <v>66</v>
      </c>
      <c r="AB97" t="s">
        <v>469</v>
      </c>
      <c r="AC97" t="s">
        <v>69</v>
      </c>
      <c r="AD97" t="s">
        <v>70</v>
      </c>
      <c r="AE97" t="s">
        <v>161</v>
      </c>
      <c r="AF97" t="s">
        <v>124</v>
      </c>
      <c r="AG97" t="s">
        <v>73</v>
      </c>
      <c r="AH97">
        <v>2025</v>
      </c>
      <c r="AI97">
        <v>10</v>
      </c>
      <c r="AJ97">
        <v>2</v>
      </c>
      <c r="AK97">
        <v>6</v>
      </c>
      <c r="AL97">
        <v>65</v>
      </c>
      <c r="AM97" s="2">
        <v>45722.940972222219</v>
      </c>
      <c r="AN97">
        <v>216</v>
      </c>
      <c r="AO97" t="s">
        <v>466</v>
      </c>
      <c r="AP97" t="s">
        <v>470</v>
      </c>
      <c r="AQ97" t="s">
        <v>471</v>
      </c>
      <c r="AR97" t="s">
        <v>472</v>
      </c>
      <c r="AS97" t="s">
        <v>506</v>
      </c>
      <c r="AW97"/>
    </row>
    <row r="98" spans="1:49" x14ac:dyDescent="0.3">
      <c r="A98" t="s">
        <v>473</v>
      </c>
      <c r="B98" s="1">
        <v>45725</v>
      </c>
      <c r="C98" t="s">
        <v>96</v>
      </c>
      <c r="D98" s="5">
        <v>0.79166666666666663</v>
      </c>
      <c r="E98" s="5">
        <v>0.8125</v>
      </c>
      <c r="F98" t="s">
        <v>459</v>
      </c>
      <c r="G98" t="s">
        <v>462</v>
      </c>
      <c r="H98" t="s">
        <v>474</v>
      </c>
      <c r="I98" t="s">
        <v>475</v>
      </c>
      <c r="J98" t="s">
        <v>59</v>
      </c>
      <c r="K98" t="s">
        <v>59</v>
      </c>
      <c r="L98" t="s">
        <v>60</v>
      </c>
      <c r="M98" t="s">
        <v>60</v>
      </c>
      <c r="N98" t="s">
        <v>476</v>
      </c>
      <c r="O98" t="s">
        <v>135</v>
      </c>
      <c r="P98">
        <v>7</v>
      </c>
      <c r="Q98" t="s">
        <v>477</v>
      </c>
      <c r="T98" t="s">
        <v>478</v>
      </c>
      <c r="U98" t="s">
        <v>479</v>
      </c>
      <c r="V98" t="s">
        <v>480</v>
      </c>
      <c r="W98" t="s">
        <v>66</v>
      </c>
      <c r="AB98" t="s">
        <v>158</v>
      </c>
      <c r="AC98" t="s">
        <v>481</v>
      </c>
      <c r="AD98" t="s">
        <v>352</v>
      </c>
      <c r="AE98" t="s">
        <v>123</v>
      </c>
      <c r="AF98" t="s">
        <v>72</v>
      </c>
      <c r="AG98" t="s">
        <v>73</v>
      </c>
      <c r="AH98">
        <v>2025</v>
      </c>
      <c r="AI98">
        <v>11</v>
      </c>
      <c r="AJ98">
        <v>3</v>
      </c>
      <c r="AK98">
        <v>9</v>
      </c>
      <c r="AL98">
        <v>68</v>
      </c>
      <c r="AM98" s="2">
        <v>45725.8125</v>
      </c>
      <c r="AN98">
        <v>282</v>
      </c>
      <c r="AO98" t="s">
        <v>477</v>
      </c>
      <c r="AP98" t="s">
        <v>482</v>
      </c>
      <c r="AQ98" t="s">
        <v>483</v>
      </c>
      <c r="AR98" t="s">
        <v>484</v>
      </c>
      <c r="AS98" t="s">
        <v>506</v>
      </c>
      <c r="AW98"/>
    </row>
    <row r="99" spans="1:49" x14ac:dyDescent="0.3">
      <c r="A99" t="s">
        <v>517</v>
      </c>
      <c r="B99" s="1">
        <v>45727</v>
      </c>
      <c r="C99" t="s">
        <v>77</v>
      </c>
      <c r="D99" s="5">
        <v>0.58333333333333337</v>
      </c>
      <c r="E99" s="5">
        <v>0.60416666666666663</v>
      </c>
      <c r="F99" t="s">
        <v>452</v>
      </c>
      <c r="G99" t="s">
        <v>462</v>
      </c>
      <c r="H99" t="s">
        <v>518</v>
      </c>
      <c r="I99" t="s">
        <v>519</v>
      </c>
      <c r="J99" t="s">
        <v>59</v>
      </c>
      <c r="K99" t="s">
        <v>59</v>
      </c>
      <c r="L99" t="s">
        <v>60</v>
      </c>
      <c r="M99" t="s">
        <v>60</v>
      </c>
      <c r="N99" t="s">
        <v>520</v>
      </c>
      <c r="O99" t="s">
        <v>85</v>
      </c>
      <c r="P99">
        <v>8</v>
      </c>
      <c r="Q99" t="s">
        <v>521</v>
      </c>
      <c r="T99" t="s">
        <v>522</v>
      </c>
      <c r="U99" t="s">
        <v>523</v>
      </c>
      <c r="V99" t="s">
        <v>524</v>
      </c>
      <c r="W99" t="s">
        <v>66</v>
      </c>
      <c r="AB99" t="s">
        <v>417</v>
      </c>
      <c r="AC99" t="s">
        <v>159</v>
      </c>
      <c r="AD99" t="s">
        <v>160</v>
      </c>
      <c r="AE99" t="s">
        <v>525</v>
      </c>
      <c r="AF99" t="s">
        <v>72</v>
      </c>
      <c r="AG99" t="s">
        <v>73</v>
      </c>
      <c r="AH99">
        <v>2025</v>
      </c>
      <c r="AI99">
        <v>11</v>
      </c>
      <c r="AJ99">
        <v>3</v>
      </c>
      <c r="AK99">
        <v>11</v>
      </c>
      <c r="AL99">
        <v>70</v>
      </c>
      <c r="AM99" s="2">
        <v>45727.604166666664</v>
      </c>
      <c r="AN99">
        <v>123</v>
      </c>
      <c r="AO99" t="s">
        <v>521</v>
      </c>
      <c r="AP99" t="s">
        <v>526</v>
      </c>
      <c r="AQ99" t="s">
        <v>527</v>
      </c>
      <c r="AR99" t="s">
        <v>528</v>
      </c>
      <c r="AS99" t="s">
        <v>529</v>
      </c>
      <c r="AW99"/>
    </row>
    <row r="100" spans="1:49" x14ac:dyDescent="0.3">
      <c r="A100" t="s">
        <v>560</v>
      </c>
      <c r="B100" s="1">
        <v>45739</v>
      </c>
      <c r="C100" t="s">
        <v>305</v>
      </c>
      <c r="D100" s="5">
        <v>0.16666666666666666</v>
      </c>
      <c r="E100" s="5">
        <v>0.1736111111111111</v>
      </c>
      <c r="F100" t="s">
        <v>459</v>
      </c>
      <c r="G100" t="s">
        <v>462</v>
      </c>
      <c r="H100" t="s">
        <v>561</v>
      </c>
      <c r="I100" t="s">
        <v>562</v>
      </c>
      <c r="J100" t="s">
        <v>563</v>
      </c>
      <c r="K100" t="s">
        <v>59</v>
      </c>
      <c r="L100" t="s">
        <v>564</v>
      </c>
      <c r="M100" t="s">
        <v>60</v>
      </c>
      <c r="N100" t="s">
        <v>565</v>
      </c>
      <c r="O100" t="s">
        <v>251</v>
      </c>
      <c r="P100">
        <v>5</v>
      </c>
      <c r="Q100" t="s">
        <v>566</v>
      </c>
      <c r="T100" t="s">
        <v>567</v>
      </c>
      <c r="U100" t="s">
        <v>118</v>
      </c>
      <c r="V100" t="s">
        <v>568</v>
      </c>
      <c r="W100" t="s">
        <v>66</v>
      </c>
      <c r="AB100" t="s">
        <v>569</v>
      </c>
      <c r="AC100" t="s">
        <v>106</v>
      </c>
      <c r="AD100" t="s">
        <v>70</v>
      </c>
      <c r="AE100" t="s">
        <v>123</v>
      </c>
      <c r="AF100" t="s">
        <v>72</v>
      </c>
      <c r="AG100" t="s">
        <v>73</v>
      </c>
      <c r="AH100">
        <v>2025</v>
      </c>
      <c r="AI100">
        <v>13</v>
      </c>
      <c r="AJ100">
        <v>5</v>
      </c>
      <c r="AK100">
        <v>23</v>
      </c>
      <c r="AL100">
        <v>82</v>
      </c>
      <c r="AM100" s="2">
        <v>45739.173611111109</v>
      </c>
      <c r="AN100">
        <v>24</v>
      </c>
      <c r="AO100" t="s">
        <v>566</v>
      </c>
      <c r="AP100" t="s">
        <v>570</v>
      </c>
      <c r="AQ100" t="s">
        <v>571</v>
      </c>
      <c r="AR100" t="s">
        <v>572</v>
      </c>
      <c r="AS100" t="s">
        <v>549</v>
      </c>
      <c r="AW100"/>
    </row>
    <row r="101" spans="1:49" x14ac:dyDescent="0.3">
      <c r="A101" t="s">
        <v>606</v>
      </c>
      <c r="B101" s="1">
        <v>45747</v>
      </c>
      <c r="C101" t="s">
        <v>96</v>
      </c>
      <c r="D101" s="5">
        <v>0.75</v>
      </c>
      <c r="E101" s="5">
        <v>0.75</v>
      </c>
      <c r="F101" t="s">
        <v>451</v>
      </c>
      <c r="G101" t="s">
        <v>462</v>
      </c>
      <c r="H101" t="s">
        <v>212</v>
      </c>
      <c r="I101" t="s">
        <v>607</v>
      </c>
      <c r="J101" t="s">
        <v>59</v>
      </c>
      <c r="K101" t="s">
        <v>59</v>
      </c>
      <c r="L101" t="s">
        <v>60</v>
      </c>
      <c r="M101" t="s">
        <v>60</v>
      </c>
      <c r="N101" t="s">
        <v>608</v>
      </c>
      <c r="O101" t="s">
        <v>216</v>
      </c>
      <c r="Q101" t="s">
        <v>609</v>
      </c>
      <c r="R101">
        <v>2</v>
      </c>
      <c r="S101">
        <v>0</v>
      </c>
      <c r="T101" t="s">
        <v>610</v>
      </c>
      <c r="U101" t="s">
        <v>254</v>
      </c>
      <c r="V101" t="s">
        <v>611</v>
      </c>
      <c r="W101" t="s">
        <v>66</v>
      </c>
      <c r="AB101" t="s">
        <v>469</v>
      </c>
      <c r="AC101" t="s">
        <v>612</v>
      </c>
      <c r="AD101" t="s">
        <v>613</v>
      </c>
      <c r="AE101" t="s">
        <v>161</v>
      </c>
      <c r="AF101" t="s">
        <v>196</v>
      </c>
      <c r="AG101" t="s">
        <v>614</v>
      </c>
      <c r="AH101">
        <v>2025</v>
      </c>
      <c r="AI101">
        <v>14</v>
      </c>
      <c r="AJ101">
        <v>6</v>
      </c>
      <c r="AK101">
        <v>31</v>
      </c>
      <c r="AL101">
        <v>90</v>
      </c>
      <c r="AM101" s="2">
        <v>45747.75</v>
      </c>
      <c r="AN101">
        <v>310</v>
      </c>
      <c r="AO101" t="s">
        <v>609</v>
      </c>
      <c r="AP101" t="s">
        <v>615</v>
      </c>
      <c r="AQ101" t="s">
        <v>60</v>
      </c>
      <c r="AR101" t="s">
        <v>60</v>
      </c>
      <c r="AS101" t="s">
        <v>582</v>
      </c>
      <c r="AW101"/>
    </row>
    <row r="102" spans="1:49" x14ac:dyDescent="0.3">
      <c r="A102" t="s">
        <v>616</v>
      </c>
      <c r="B102" s="1">
        <v>45747</v>
      </c>
      <c r="C102" t="s">
        <v>110</v>
      </c>
      <c r="D102" s="5">
        <v>0.83333333333333337</v>
      </c>
      <c r="E102" s="5">
        <v>0.83333333333333337</v>
      </c>
      <c r="F102" t="s">
        <v>451</v>
      </c>
      <c r="G102" t="s">
        <v>462</v>
      </c>
      <c r="H102" t="s">
        <v>212</v>
      </c>
      <c r="I102" t="s">
        <v>607</v>
      </c>
      <c r="J102" t="s">
        <v>59</v>
      </c>
      <c r="K102" t="s">
        <v>59</v>
      </c>
      <c r="L102" t="s">
        <v>60</v>
      </c>
      <c r="M102" t="s">
        <v>60</v>
      </c>
      <c r="N102" t="s">
        <v>608</v>
      </c>
      <c r="O102" t="s">
        <v>216</v>
      </c>
      <c r="P102">
        <v>9</v>
      </c>
      <c r="Q102" t="s">
        <v>617</v>
      </c>
      <c r="R102">
        <v>5</v>
      </c>
      <c r="S102">
        <v>0</v>
      </c>
      <c r="T102" t="s">
        <v>618</v>
      </c>
      <c r="U102" t="s">
        <v>254</v>
      </c>
      <c r="V102" t="s">
        <v>619</v>
      </c>
      <c r="W102" t="s">
        <v>66</v>
      </c>
      <c r="AB102" t="s">
        <v>469</v>
      </c>
      <c r="AC102" t="s">
        <v>612</v>
      </c>
      <c r="AD102" t="s">
        <v>613</v>
      </c>
      <c r="AE102" t="s">
        <v>161</v>
      </c>
      <c r="AF102" t="s">
        <v>196</v>
      </c>
      <c r="AG102" t="s">
        <v>614</v>
      </c>
      <c r="AH102">
        <v>2025</v>
      </c>
      <c r="AI102">
        <v>14</v>
      </c>
      <c r="AJ102">
        <v>6</v>
      </c>
      <c r="AK102">
        <v>31</v>
      </c>
      <c r="AL102">
        <v>90</v>
      </c>
      <c r="AM102" s="2">
        <v>45747.833333333336</v>
      </c>
      <c r="AN102">
        <v>310</v>
      </c>
      <c r="AO102" t="s">
        <v>617</v>
      </c>
      <c r="AP102" t="s">
        <v>620</v>
      </c>
      <c r="AQ102" t="s">
        <v>60</v>
      </c>
      <c r="AR102" t="s">
        <v>60</v>
      </c>
      <c r="AS102" t="s">
        <v>582</v>
      </c>
      <c r="AW102"/>
    </row>
    <row r="103" spans="1:49" x14ac:dyDescent="0.3">
      <c r="A103" t="s">
        <v>621</v>
      </c>
      <c r="B103" s="1">
        <v>45748</v>
      </c>
      <c r="C103" t="s">
        <v>110</v>
      </c>
      <c r="D103" s="5">
        <v>0.83333333333333337</v>
      </c>
      <c r="E103" s="5">
        <v>0.85324074074074074</v>
      </c>
      <c r="F103" t="s">
        <v>452</v>
      </c>
      <c r="G103" t="s">
        <v>599</v>
      </c>
      <c r="H103" t="s">
        <v>57</v>
      </c>
      <c r="I103" t="s">
        <v>622</v>
      </c>
      <c r="J103" t="s">
        <v>59</v>
      </c>
      <c r="K103" t="s">
        <v>59</v>
      </c>
      <c r="L103" t="s">
        <v>60</v>
      </c>
      <c r="M103" t="s">
        <v>60</v>
      </c>
      <c r="N103" t="s">
        <v>623</v>
      </c>
      <c r="O103" t="s">
        <v>328</v>
      </c>
      <c r="P103">
        <v>7</v>
      </c>
      <c r="Q103" t="s">
        <v>624</v>
      </c>
      <c r="T103" t="s">
        <v>625</v>
      </c>
      <c r="U103" t="s">
        <v>626</v>
      </c>
      <c r="V103" t="s">
        <v>627</v>
      </c>
      <c r="W103" t="s">
        <v>66</v>
      </c>
      <c r="AB103" t="s">
        <v>67</v>
      </c>
      <c r="AC103" t="s">
        <v>331</v>
      </c>
      <c r="AD103" t="s">
        <v>70</v>
      </c>
      <c r="AE103" t="s">
        <v>161</v>
      </c>
      <c r="AF103" t="s">
        <v>72</v>
      </c>
      <c r="AG103" t="s">
        <v>73</v>
      </c>
      <c r="AH103">
        <v>2025</v>
      </c>
      <c r="AI103">
        <v>14</v>
      </c>
      <c r="AJ103">
        <v>1</v>
      </c>
      <c r="AK103">
        <v>1</v>
      </c>
      <c r="AL103">
        <v>91</v>
      </c>
      <c r="AM103" s="2">
        <v>45748.852777777778</v>
      </c>
      <c r="AN103">
        <v>77</v>
      </c>
      <c r="AO103" t="s">
        <v>624</v>
      </c>
      <c r="AP103" t="s">
        <v>628</v>
      </c>
      <c r="AQ103" t="s">
        <v>60</v>
      </c>
      <c r="AR103" t="s">
        <v>60</v>
      </c>
      <c r="AS103" t="s">
        <v>605</v>
      </c>
      <c r="AW103"/>
    </row>
    <row r="104" spans="1:49" x14ac:dyDescent="0.3">
      <c r="A104" t="s">
        <v>54</v>
      </c>
      <c r="B104" s="1">
        <v>45663</v>
      </c>
      <c r="C104" t="s">
        <v>77</v>
      </c>
      <c r="D104" s="5">
        <v>0.625</v>
      </c>
      <c r="E104" s="5">
        <v>0.64583333333333337</v>
      </c>
      <c r="F104" t="s">
        <v>451</v>
      </c>
      <c r="G104" t="s">
        <v>56</v>
      </c>
      <c r="H104" t="s">
        <v>57</v>
      </c>
      <c r="I104" t="s">
        <v>58</v>
      </c>
      <c r="J104" t="s">
        <v>59</v>
      </c>
      <c r="K104" t="s">
        <v>59</v>
      </c>
      <c r="L104" t="s">
        <v>60</v>
      </c>
      <c r="M104" t="s">
        <v>60</v>
      </c>
      <c r="N104" t="s">
        <v>61</v>
      </c>
      <c r="P104">
        <v>7</v>
      </c>
      <c r="Q104" t="s">
        <v>62</v>
      </c>
      <c r="T104" t="s">
        <v>63</v>
      </c>
      <c r="U104" t="s">
        <v>64</v>
      </c>
      <c r="V104" t="s">
        <v>65</v>
      </c>
      <c r="W104" t="s">
        <v>66</v>
      </c>
      <c r="AB104" t="s">
        <v>67</v>
      </c>
      <c r="AC104" t="s">
        <v>69</v>
      </c>
      <c r="AD104" t="s">
        <v>70</v>
      </c>
      <c r="AE104" t="s">
        <v>71</v>
      </c>
      <c r="AF104" t="s">
        <v>124</v>
      </c>
      <c r="AG104" t="s">
        <v>73</v>
      </c>
      <c r="AH104">
        <v>2025</v>
      </c>
      <c r="AI104">
        <v>2</v>
      </c>
      <c r="AJ104">
        <v>2</v>
      </c>
      <c r="AK104">
        <v>6</v>
      </c>
      <c r="AL104">
        <v>6</v>
      </c>
      <c r="AM104" s="2">
        <v>45663.645833333336</v>
      </c>
      <c r="AN104">
        <v>90</v>
      </c>
      <c r="AO104" t="s">
        <v>62</v>
      </c>
      <c r="AP104" t="s">
        <v>74</v>
      </c>
      <c r="AQ104" t="s">
        <v>75</v>
      </c>
      <c r="AR104" t="s">
        <v>76</v>
      </c>
      <c r="AS104" t="s">
        <v>515</v>
      </c>
      <c r="AW104"/>
    </row>
    <row r="105" spans="1:49" x14ac:dyDescent="0.3">
      <c r="A105" t="s">
        <v>78</v>
      </c>
      <c r="B105" s="1">
        <v>45682</v>
      </c>
      <c r="C105" t="s">
        <v>96</v>
      </c>
      <c r="D105" s="5">
        <v>0.75</v>
      </c>
      <c r="E105" s="5">
        <v>0.76875000000000004</v>
      </c>
      <c r="F105" t="s">
        <v>456</v>
      </c>
      <c r="G105" t="s">
        <v>56</v>
      </c>
      <c r="H105" t="s">
        <v>80</v>
      </c>
      <c r="I105" t="s">
        <v>81</v>
      </c>
      <c r="J105" t="s">
        <v>82</v>
      </c>
      <c r="K105" t="s">
        <v>59</v>
      </c>
      <c r="L105" t="s">
        <v>83</v>
      </c>
      <c r="M105" t="s">
        <v>60</v>
      </c>
      <c r="N105" t="s">
        <v>84</v>
      </c>
      <c r="O105" t="s">
        <v>85</v>
      </c>
      <c r="P105">
        <v>8</v>
      </c>
      <c r="Q105" t="s">
        <v>86</v>
      </c>
      <c r="T105" t="s">
        <v>87</v>
      </c>
      <c r="U105" t="s">
        <v>64</v>
      </c>
      <c r="V105" t="s">
        <v>88</v>
      </c>
      <c r="W105" t="s">
        <v>66</v>
      </c>
      <c r="AB105" t="s">
        <v>89</v>
      </c>
      <c r="AC105" t="s">
        <v>90</v>
      </c>
      <c r="AD105" t="s">
        <v>91</v>
      </c>
      <c r="AE105" t="s">
        <v>92</v>
      </c>
      <c r="AF105" t="s">
        <v>93</v>
      </c>
      <c r="AG105" t="s">
        <v>73</v>
      </c>
      <c r="AH105">
        <v>2025</v>
      </c>
      <c r="AI105">
        <v>4</v>
      </c>
      <c r="AJ105">
        <v>4</v>
      </c>
      <c r="AK105">
        <v>25</v>
      </c>
      <c r="AL105">
        <v>25</v>
      </c>
      <c r="AM105" s="2">
        <v>45682.768750000003</v>
      </c>
      <c r="AN105">
        <v>206</v>
      </c>
      <c r="AO105" t="s">
        <v>86</v>
      </c>
      <c r="AP105" t="s">
        <v>94</v>
      </c>
      <c r="AQ105" t="s">
        <v>95</v>
      </c>
      <c r="AR105" t="s">
        <v>60</v>
      </c>
      <c r="AS105" t="s">
        <v>512</v>
      </c>
      <c r="AW105"/>
    </row>
    <row r="106" spans="1:49" x14ac:dyDescent="0.3">
      <c r="A106" t="s">
        <v>97</v>
      </c>
      <c r="B106" s="1">
        <v>45683</v>
      </c>
      <c r="C106" t="s">
        <v>110</v>
      </c>
      <c r="D106" s="5">
        <v>0.83333333333333337</v>
      </c>
      <c r="E106" s="5">
        <v>0.84027777777777779</v>
      </c>
      <c r="F106" t="s">
        <v>459</v>
      </c>
      <c r="G106" t="s">
        <v>56</v>
      </c>
      <c r="H106" t="s">
        <v>99</v>
      </c>
      <c r="I106" t="s">
        <v>100</v>
      </c>
      <c r="J106" t="s">
        <v>82</v>
      </c>
      <c r="K106" t="s">
        <v>59</v>
      </c>
      <c r="L106" t="s">
        <v>83</v>
      </c>
      <c r="M106" t="s">
        <v>60</v>
      </c>
      <c r="N106" t="s">
        <v>101</v>
      </c>
      <c r="O106" t="s">
        <v>102</v>
      </c>
      <c r="P106">
        <v>9</v>
      </c>
      <c r="Q106" t="s">
        <v>103</v>
      </c>
      <c r="T106" t="s">
        <v>104</v>
      </c>
      <c r="U106" t="s">
        <v>64</v>
      </c>
      <c r="V106" t="s">
        <v>105</v>
      </c>
      <c r="W106" t="s">
        <v>66</v>
      </c>
      <c r="AB106" t="s">
        <v>67</v>
      </c>
      <c r="AC106" t="s">
        <v>106</v>
      </c>
      <c r="AD106" t="s">
        <v>70</v>
      </c>
      <c r="AE106" t="s">
        <v>107</v>
      </c>
      <c r="AF106" t="s">
        <v>72</v>
      </c>
      <c r="AG106" t="s">
        <v>73</v>
      </c>
      <c r="AH106">
        <v>2025</v>
      </c>
      <c r="AI106">
        <v>5</v>
      </c>
      <c r="AJ106">
        <v>5</v>
      </c>
      <c r="AK106">
        <v>26</v>
      </c>
      <c r="AL106">
        <v>26</v>
      </c>
      <c r="AM106" s="2">
        <v>45683.840277777781</v>
      </c>
      <c r="AN106">
        <v>5</v>
      </c>
      <c r="AO106" t="s">
        <v>103</v>
      </c>
      <c r="AP106" t="s">
        <v>108</v>
      </c>
      <c r="AQ106" t="s">
        <v>60</v>
      </c>
      <c r="AR106" t="s">
        <v>109</v>
      </c>
      <c r="AS106" t="s">
        <v>512</v>
      </c>
      <c r="AW106"/>
    </row>
    <row r="107" spans="1:49" x14ac:dyDescent="0.3">
      <c r="A107" t="s">
        <v>111</v>
      </c>
      <c r="B107" s="1">
        <v>45701</v>
      </c>
      <c r="C107" t="s">
        <v>96</v>
      </c>
      <c r="D107" s="5">
        <v>0.66666666666666663</v>
      </c>
      <c r="E107" s="5">
        <v>0.66666666666666663</v>
      </c>
      <c r="F107" t="s">
        <v>537</v>
      </c>
      <c r="G107" t="s">
        <v>112</v>
      </c>
      <c r="H107" t="s">
        <v>113</v>
      </c>
      <c r="I107" t="s">
        <v>113</v>
      </c>
      <c r="J107" t="s">
        <v>59</v>
      </c>
      <c r="K107" t="s">
        <v>59</v>
      </c>
      <c r="L107" t="s">
        <v>60</v>
      </c>
      <c r="M107" t="s">
        <v>60</v>
      </c>
      <c r="N107" t="s">
        <v>114</v>
      </c>
      <c r="O107" t="s">
        <v>115</v>
      </c>
      <c r="P107">
        <v>6</v>
      </c>
      <c r="Q107" t="s">
        <v>116</v>
      </c>
      <c r="T107" t="s">
        <v>117</v>
      </c>
      <c r="U107" t="s">
        <v>118</v>
      </c>
      <c r="V107" t="s">
        <v>119</v>
      </c>
      <c r="W107" t="s">
        <v>66</v>
      </c>
      <c r="AB107" t="s">
        <v>120</v>
      </c>
      <c r="AC107" t="s">
        <v>121</v>
      </c>
      <c r="AD107" t="s">
        <v>122</v>
      </c>
      <c r="AE107" t="s">
        <v>123</v>
      </c>
      <c r="AF107" t="s">
        <v>72</v>
      </c>
      <c r="AG107" t="s">
        <v>73</v>
      </c>
      <c r="AH107">
        <v>2025</v>
      </c>
      <c r="AI107">
        <v>7</v>
      </c>
      <c r="AJ107">
        <v>3</v>
      </c>
      <c r="AK107">
        <v>13</v>
      </c>
      <c r="AL107">
        <v>44</v>
      </c>
      <c r="AM107" s="2">
        <v>45701.666666666664</v>
      </c>
      <c r="AO107" t="s">
        <v>116</v>
      </c>
      <c r="AP107" t="s">
        <v>125</v>
      </c>
      <c r="AQ107" t="s">
        <v>126</v>
      </c>
      <c r="AR107" t="s">
        <v>127</v>
      </c>
      <c r="AS107" t="s">
        <v>509</v>
      </c>
      <c r="AW107"/>
    </row>
    <row r="108" spans="1:49" x14ac:dyDescent="0.3">
      <c r="A108" t="s">
        <v>461</v>
      </c>
      <c r="B108" s="1">
        <v>45722</v>
      </c>
      <c r="C108" t="s">
        <v>110</v>
      </c>
      <c r="D108" s="5">
        <v>0.91666666666666663</v>
      </c>
      <c r="E108" s="5">
        <v>0.94149305555555551</v>
      </c>
      <c r="F108" t="s">
        <v>537</v>
      </c>
      <c r="G108" t="s">
        <v>462</v>
      </c>
      <c r="H108" t="s">
        <v>463</v>
      </c>
      <c r="I108" t="s">
        <v>464</v>
      </c>
      <c r="J108" t="s">
        <v>59</v>
      </c>
      <c r="K108" t="s">
        <v>59</v>
      </c>
      <c r="L108" t="s">
        <v>60</v>
      </c>
      <c r="M108" t="s">
        <v>60</v>
      </c>
      <c r="N108" t="s">
        <v>465</v>
      </c>
      <c r="O108" t="s">
        <v>85</v>
      </c>
      <c r="P108">
        <v>8</v>
      </c>
      <c r="Q108" t="s">
        <v>466</v>
      </c>
      <c r="T108" t="s">
        <v>467</v>
      </c>
      <c r="U108" t="s">
        <v>118</v>
      </c>
      <c r="V108" t="s">
        <v>468</v>
      </c>
      <c r="W108" t="s">
        <v>66</v>
      </c>
      <c r="AB108" t="s">
        <v>469</v>
      </c>
      <c r="AC108" t="s">
        <v>69</v>
      </c>
      <c r="AD108" t="s">
        <v>70</v>
      </c>
      <c r="AE108" t="s">
        <v>161</v>
      </c>
      <c r="AF108" t="s">
        <v>124</v>
      </c>
      <c r="AG108" t="s">
        <v>73</v>
      </c>
      <c r="AH108">
        <v>2025</v>
      </c>
      <c r="AI108">
        <v>10</v>
      </c>
      <c r="AJ108">
        <v>2</v>
      </c>
      <c r="AK108">
        <v>6</v>
      </c>
      <c r="AL108">
        <v>65</v>
      </c>
      <c r="AM108" s="2">
        <v>45722.940972222219</v>
      </c>
      <c r="AN108">
        <v>216</v>
      </c>
      <c r="AO108" t="s">
        <v>466</v>
      </c>
      <c r="AP108" t="s">
        <v>470</v>
      </c>
      <c r="AQ108" t="s">
        <v>471</v>
      </c>
      <c r="AR108" t="s">
        <v>472</v>
      </c>
      <c r="AS108" t="s">
        <v>506</v>
      </c>
      <c r="AW108"/>
    </row>
    <row r="109" spans="1:49" x14ac:dyDescent="0.3">
      <c r="A109" t="s">
        <v>473</v>
      </c>
      <c r="B109" s="1">
        <v>45725</v>
      </c>
      <c r="C109" t="s">
        <v>96</v>
      </c>
      <c r="D109" s="5">
        <v>0.79166666666666663</v>
      </c>
      <c r="E109" s="5">
        <v>0.8125</v>
      </c>
      <c r="F109" t="s">
        <v>459</v>
      </c>
      <c r="G109" t="s">
        <v>462</v>
      </c>
      <c r="H109" t="s">
        <v>474</v>
      </c>
      <c r="I109" t="s">
        <v>475</v>
      </c>
      <c r="J109" t="s">
        <v>59</v>
      </c>
      <c r="K109" t="s">
        <v>59</v>
      </c>
      <c r="L109" t="s">
        <v>60</v>
      </c>
      <c r="M109" t="s">
        <v>60</v>
      </c>
      <c r="N109" t="s">
        <v>476</v>
      </c>
      <c r="O109" t="s">
        <v>135</v>
      </c>
      <c r="P109">
        <v>7</v>
      </c>
      <c r="Q109" t="s">
        <v>477</v>
      </c>
      <c r="T109" t="s">
        <v>478</v>
      </c>
      <c r="U109" t="s">
        <v>479</v>
      </c>
      <c r="V109" t="s">
        <v>480</v>
      </c>
      <c r="W109" t="s">
        <v>66</v>
      </c>
      <c r="AB109" t="s">
        <v>158</v>
      </c>
      <c r="AC109" t="s">
        <v>481</v>
      </c>
      <c r="AD109" t="s">
        <v>352</v>
      </c>
      <c r="AE109" t="s">
        <v>123</v>
      </c>
      <c r="AF109" t="s">
        <v>72</v>
      </c>
      <c r="AG109" t="s">
        <v>73</v>
      </c>
      <c r="AH109">
        <v>2025</v>
      </c>
      <c r="AI109">
        <v>11</v>
      </c>
      <c r="AJ109">
        <v>3</v>
      </c>
      <c r="AK109">
        <v>9</v>
      </c>
      <c r="AL109">
        <v>68</v>
      </c>
      <c r="AM109" s="2">
        <v>45725.8125</v>
      </c>
      <c r="AN109">
        <v>282</v>
      </c>
      <c r="AO109" t="s">
        <v>477</v>
      </c>
      <c r="AP109" t="s">
        <v>482</v>
      </c>
      <c r="AQ109" t="s">
        <v>483</v>
      </c>
      <c r="AR109" t="s">
        <v>484</v>
      </c>
      <c r="AS109" t="s">
        <v>506</v>
      </c>
      <c r="AW109"/>
    </row>
    <row r="110" spans="1:49" x14ac:dyDescent="0.3">
      <c r="A110" t="s">
        <v>517</v>
      </c>
      <c r="B110" s="1">
        <v>45727</v>
      </c>
      <c r="C110" t="s">
        <v>77</v>
      </c>
      <c r="D110" s="5">
        <v>0.58333333333333337</v>
      </c>
      <c r="E110" s="5">
        <v>0.60416666666666663</v>
      </c>
      <c r="F110" t="s">
        <v>452</v>
      </c>
      <c r="G110" t="s">
        <v>462</v>
      </c>
      <c r="H110" t="s">
        <v>518</v>
      </c>
      <c r="I110" t="s">
        <v>519</v>
      </c>
      <c r="J110" t="s">
        <v>59</v>
      </c>
      <c r="K110" t="s">
        <v>59</v>
      </c>
      <c r="L110" t="s">
        <v>60</v>
      </c>
      <c r="M110" t="s">
        <v>60</v>
      </c>
      <c r="N110" t="s">
        <v>520</v>
      </c>
      <c r="O110" t="s">
        <v>85</v>
      </c>
      <c r="P110">
        <v>8</v>
      </c>
      <c r="Q110" t="s">
        <v>521</v>
      </c>
      <c r="T110" t="s">
        <v>522</v>
      </c>
      <c r="U110" t="s">
        <v>523</v>
      </c>
      <c r="V110" t="s">
        <v>524</v>
      </c>
      <c r="W110" t="s">
        <v>66</v>
      </c>
      <c r="AB110" t="s">
        <v>417</v>
      </c>
      <c r="AC110" t="s">
        <v>159</v>
      </c>
      <c r="AD110" t="s">
        <v>160</v>
      </c>
      <c r="AE110" t="s">
        <v>525</v>
      </c>
      <c r="AF110" t="s">
        <v>72</v>
      </c>
      <c r="AG110" t="s">
        <v>73</v>
      </c>
      <c r="AH110">
        <v>2025</v>
      </c>
      <c r="AI110">
        <v>11</v>
      </c>
      <c r="AJ110">
        <v>3</v>
      </c>
      <c r="AK110">
        <v>11</v>
      </c>
      <c r="AL110">
        <v>70</v>
      </c>
      <c r="AM110" s="2">
        <v>45727.604166666664</v>
      </c>
      <c r="AN110">
        <v>123</v>
      </c>
      <c r="AO110" t="s">
        <v>521</v>
      </c>
      <c r="AP110" t="s">
        <v>526</v>
      </c>
      <c r="AQ110" t="s">
        <v>527</v>
      </c>
      <c r="AR110" t="s">
        <v>528</v>
      </c>
      <c r="AS110" t="s">
        <v>529</v>
      </c>
      <c r="AW110"/>
    </row>
    <row r="111" spans="1:49" x14ac:dyDescent="0.3">
      <c r="A111" t="s">
        <v>560</v>
      </c>
      <c r="B111" s="1">
        <v>45739</v>
      </c>
      <c r="C111" t="s">
        <v>305</v>
      </c>
      <c r="D111" s="5">
        <v>0.16666666666666666</v>
      </c>
      <c r="E111" s="5">
        <v>0.1736111111111111</v>
      </c>
      <c r="F111" t="s">
        <v>459</v>
      </c>
      <c r="G111" t="s">
        <v>462</v>
      </c>
      <c r="H111" t="s">
        <v>561</v>
      </c>
      <c r="I111" t="s">
        <v>562</v>
      </c>
      <c r="J111" t="s">
        <v>563</v>
      </c>
      <c r="K111" t="s">
        <v>59</v>
      </c>
      <c r="L111" t="s">
        <v>564</v>
      </c>
      <c r="M111" t="s">
        <v>60</v>
      </c>
      <c r="N111" t="s">
        <v>565</v>
      </c>
      <c r="O111" t="s">
        <v>251</v>
      </c>
      <c r="P111">
        <v>5</v>
      </c>
      <c r="Q111" t="s">
        <v>566</v>
      </c>
      <c r="T111" t="s">
        <v>567</v>
      </c>
      <c r="U111" t="s">
        <v>118</v>
      </c>
      <c r="V111" t="s">
        <v>568</v>
      </c>
      <c r="W111" t="s">
        <v>66</v>
      </c>
      <c r="AB111" t="s">
        <v>569</v>
      </c>
      <c r="AC111" t="s">
        <v>106</v>
      </c>
      <c r="AD111" t="s">
        <v>70</v>
      </c>
      <c r="AE111" t="s">
        <v>123</v>
      </c>
      <c r="AF111" t="s">
        <v>72</v>
      </c>
      <c r="AG111" t="s">
        <v>73</v>
      </c>
      <c r="AH111">
        <v>2025</v>
      </c>
      <c r="AI111">
        <v>13</v>
      </c>
      <c r="AJ111">
        <v>5</v>
      </c>
      <c r="AK111">
        <v>23</v>
      </c>
      <c r="AL111">
        <v>82</v>
      </c>
      <c r="AM111" s="2">
        <v>45739.173611111109</v>
      </c>
      <c r="AN111">
        <v>24</v>
      </c>
      <c r="AO111" t="s">
        <v>566</v>
      </c>
      <c r="AP111" t="s">
        <v>570</v>
      </c>
      <c r="AQ111" t="s">
        <v>571</v>
      </c>
      <c r="AR111" t="s">
        <v>572</v>
      </c>
      <c r="AS111" t="s">
        <v>549</v>
      </c>
      <c r="AW111"/>
    </row>
    <row r="112" spans="1:49" x14ac:dyDescent="0.3">
      <c r="A112" t="s">
        <v>606</v>
      </c>
      <c r="B112" s="1">
        <v>45747</v>
      </c>
      <c r="C112" t="s">
        <v>96</v>
      </c>
      <c r="D112" s="5">
        <v>0.75</v>
      </c>
      <c r="E112" s="5">
        <v>0.75</v>
      </c>
      <c r="F112" t="s">
        <v>451</v>
      </c>
      <c r="G112" t="s">
        <v>462</v>
      </c>
      <c r="H112" t="s">
        <v>212</v>
      </c>
      <c r="I112" t="s">
        <v>607</v>
      </c>
      <c r="J112" t="s">
        <v>59</v>
      </c>
      <c r="K112" t="s">
        <v>59</v>
      </c>
      <c r="L112" t="s">
        <v>60</v>
      </c>
      <c r="M112" t="s">
        <v>60</v>
      </c>
      <c r="N112" t="s">
        <v>608</v>
      </c>
      <c r="O112" t="s">
        <v>216</v>
      </c>
      <c r="Q112" t="s">
        <v>609</v>
      </c>
      <c r="R112">
        <v>2</v>
      </c>
      <c r="S112">
        <v>0</v>
      </c>
      <c r="T112" t="s">
        <v>610</v>
      </c>
      <c r="U112" t="s">
        <v>254</v>
      </c>
      <c r="V112" t="s">
        <v>611</v>
      </c>
      <c r="W112" t="s">
        <v>66</v>
      </c>
      <c r="AB112" t="s">
        <v>469</v>
      </c>
      <c r="AC112" t="s">
        <v>612</v>
      </c>
      <c r="AD112" t="s">
        <v>613</v>
      </c>
      <c r="AE112" t="s">
        <v>161</v>
      </c>
      <c r="AF112" t="s">
        <v>196</v>
      </c>
      <c r="AG112" t="s">
        <v>614</v>
      </c>
      <c r="AH112">
        <v>2025</v>
      </c>
      <c r="AI112">
        <v>14</v>
      </c>
      <c r="AJ112">
        <v>6</v>
      </c>
      <c r="AK112">
        <v>31</v>
      </c>
      <c r="AL112">
        <v>90</v>
      </c>
      <c r="AM112" s="2">
        <v>45747.75</v>
      </c>
      <c r="AN112">
        <v>310</v>
      </c>
      <c r="AO112" t="s">
        <v>609</v>
      </c>
      <c r="AP112" t="s">
        <v>615</v>
      </c>
      <c r="AQ112" t="s">
        <v>60</v>
      </c>
      <c r="AR112" t="s">
        <v>60</v>
      </c>
      <c r="AS112" t="s">
        <v>582</v>
      </c>
      <c r="AW112"/>
    </row>
    <row r="113" spans="1:49" x14ac:dyDescent="0.3">
      <c r="A113" t="s">
        <v>616</v>
      </c>
      <c r="B113" s="1">
        <v>45747</v>
      </c>
      <c r="C113" t="s">
        <v>110</v>
      </c>
      <c r="D113" s="5">
        <v>0.83333333333333337</v>
      </c>
      <c r="E113" s="5">
        <v>0.83333333333333337</v>
      </c>
      <c r="F113" t="s">
        <v>451</v>
      </c>
      <c r="G113" t="s">
        <v>462</v>
      </c>
      <c r="H113" t="s">
        <v>212</v>
      </c>
      <c r="I113" t="s">
        <v>607</v>
      </c>
      <c r="J113" t="s">
        <v>59</v>
      </c>
      <c r="K113" t="s">
        <v>59</v>
      </c>
      <c r="L113" t="s">
        <v>60</v>
      </c>
      <c r="M113" t="s">
        <v>60</v>
      </c>
      <c r="N113" t="s">
        <v>608</v>
      </c>
      <c r="O113" t="s">
        <v>216</v>
      </c>
      <c r="P113">
        <v>9</v>
      </c>
      <c r="Q113" t="s">
        <v>617</v>
      </c>
      <c r="R113">
        <v>5</v>
      </c>
      <c r="S113">
        <v>0</v>
      </c>
      <c r="T113" t="s">
        <v>618</v>
      </c>
      <c r="U113" t="s">
        <v>254</v>
      </c>
      <c r="V113" t="s">
        <v>619</v>
      </c>
      <c r="W113" t="s">
        <v>66</v>
      </c>
      <c r="AB113" t="s">
        <v>469</v>
      </c>
      <c r="AC113" t="s">
        <v>612</v>
      </c>
      <c r="AD113" t="s">
        <v>613</v>
      </c>
      <c r="AE113" t="s">
        <v>161</v>
      </c>
      <c r="AF113" t="s">
        <v>196</v>
      </c>
      <c r="AG113" t="s">
        <v>614</v>
      </c>
      <c r="AH113">
        <v>2025</v>
      </c>
      <c r="AI113">
        <v>14</v>
      </c>
      <c r="AJ113">
        <v>6</v>
      </c>
      <c r="AK113">
        <v>31</v>
      </c>
      <c r="AL113">
        <v>90</v>
      </c>
      <c r="AM113" s="2">
        <v>45747.833333333336</v>
      </c>
      <c r="AN113">
        <v>310</v>
      </c>
      <c r="AO113" t="s">
        <v>617</v>
      </c>
      <c r="AP113" t="s">
        <v>620</v>
      </c>
      <c r="AQ113" t="s">
        <v>60</v>
      </c>
      <c r="AR113" t="s">
        <v>60</v>
      </c>
      <c r="AS113" t="s">
        <v>582</v>
      </c>
      <c r="AW113"/>
    </row>
    <row r="114" spans="1:49" x14ac:dyDescent="0.3">
      <c r="A114" t="s">
        <v>621</v>
      </c>
      <c r="B114" s="1">
        <v>45748</v>
      </c>
      <c r="C114" t="s">
        <v>110</v>
      </c>
      <c r="D114" s="5">
        <v>0.83333333333333337</v>
      </c>
      <c r="E114" s="5">
        <v>0.85324074074074074</v>
      </c>
      <c r="F114" t="s">
        <v>452</v>
      </c>
      <c r="G114" t="s">
        <v>599</v>
      </c>
      <c r="H114" t="s">
        <v>57</v>
      </c>
      <c r="I114" t="s">
        <v>622</v>
      </c>
      <c r="J114" t="s">
        <v>59</v>
      </c>
      <c r="K114" t="s">
        <v>59</v>
      </c>
      <c r="L114" t="s">
        <v>60</v>
      </c>
      <c r="M114" t="s">
        <v>60</v>
      </c>
      <c r="N114" t="s">
        <v>623</v>
      </c>
      <c r="O114" t="s">
        <v>328</v>
      </c>
      <c r="P114">
        <v>7</v>
      </c>
      <c r="Q114" t="s">
        <v>624</v>
      </c>
      <c r="T114" t="s">
        <v>625</v>
      </c>
      <c r="U114" t="s">
        <v>626</v>
      </c>
      <c r="V114" t="s">
        <v>627</v>
      </c>
      <c r="W114" t="s">
        <v>66</v>
      </c>
      <c r="AB114" t="s">
        <v>67</v>
      </c>
      <c r="AC114" t="s">
        <v>331</v>
      </c>
      <c r="AD114" t="s">
        <v>70</v>
      </c>
      <c r="AE114" t="s">
        <v>161</v>
      </c>
      <c r="AF114" t="s">
        <v>72</v>
      </c>
      <c r="AG114" t="s">
        <v>73</v>
      </c>
      <c r="AH114">
        <v>2025</v>
      </c>
      <c r="AI114">
        <v>14</v>
      </c>
      <c r="AJ114">
        <v>1</v>
      </c>
      <c r="AK114">
        <v>1</v>
      </c>
      <c r="AL114">
        <v>91</v>
      </c>
      <c r="AM114" s="2">
        <v>45748.852777777778</v>
      </c>
      <c r="AN114">
        <v>77</v>
      </c>
      <c r="AO114" t="s">
        <v>624</v>
      </c>
      <c r="AP114" t="s">
        <v>628</v>
      </c>
      <c r="AQ114" t="s">
        <v>60</v>
      </c>
      <c r="AR114" t="s">
        <v>60</v>
      </c>
      <c r="AS114" t="s">
        <v>605</v>
      </c>
      <c r="AW114"/>
    </row>
    <row r="115" spans="1:49" x14ac:dyDescent="0.3">
      <c r="A115" t="s">
        <v>800</v>
      </c>
      <c r="B115" s="1">
        <v>45756</v>
      </c>
      <c r="C115" t="s">
        <v>110</v>
      </c>
      <c r="D115" s="5">
        <v>0.95833333333333337</v>
      </c>
      <c r="E115" s="5">
        <v>0.96527777777777779</v>
      </c>
      <c r="F115" t="s">
        <v>453</v>
      </c>
      <c r="G115" t="s">
        <v>599</v>
      </c>
      <c r="H115" t="s">
        <v>801</v>
      </c>
      <c r="I115" t="s">
        <v>802</v>
      </c>
      <c r="J115" t="s">
        <v>59</v>
      </c>
      <c r="K115" t="s">
        <v>59</v>
      </c>
      <c r="L115" t="s">
        <v>60</v>
      </c>
      <c r="M115" t="s">
        <v>60</v>
      </c>
      <c r="N115" t="s">
        <v>803</v>
      </c>
      <c r="O115" t="s">
        <v>156</v>
      </c>
      <c r="P115">
        <v>8</v>
      </c>
      <c r="Q115" t="s">
        <v>804</v>
      </c>
      <c r="T115" t="s">
        <v>805</v>
      </c>
      <c r="U115" t="s">
        <v>556</v>
      </c>
      <c r="V115" t="s">
        <v>806</v>
      </c>
      <c r="W115" t="s">
        <v>66</v>
      </c>
      <c r="AB115" t="s">
        <v>417</v>
      </c>
      <c r="AC115" t="s">
        <v>245</v>
      </c>
      <c r="AD115" t="s">
        <v>207</v>
      </c>
      <c r="AE115" t="s">
        <v>525</v>
      </c>
      <c r="AF115" t="s">
        <v>124</v>
      </c>
      <c r="AH115">
        <v>2025</v>
      </c>
      <c r="AI115">
        <v>15</v>
      </c>
      <c r="AJ115">
        <v>2</v>
      </c>
      <c r="AK115">
        <v>9</v>
      </c>
      <c r="AL115">
        <v>99</v>
      </c>
      <c r="AM115" s="2">
        <v>45756.965277777781</v>
      </c>
      <c r="AN115">
        <v>283</v>
      </c>
      <c r="AO115" t="s">
        <v>804</v>
      </c>
      <c r="AP115" t="s">
        <v>807</v>
      </c>
      <c r="AQ115" t="s">
        <v>808</v>
      </c>
      <c r="AR115" t="s">
        <v>809</v>
      </c>
      <c r="AS115" t="s">
        <v>731</v>
      </c>
      <c r="AW115"/>
    </row>
    <row r="116" spans="1:49" x14ac:dyDescent="0.3">
      <c r="A116" t="s">
        <v>461</v>
      </c>
      <c r="B116" s="1">
        <v>45722</v>
      </c>
      <c r="C116" t="s">
        <v>110</v>
      </c>
      <c r="D116" s="5">
        <v>0.91666666666666663</v>
      </c>
      <c r="E116" s="5">
        <v>0.94149305555555551</v>
      </c>
      <c r="F116" t="s">
        <v>537</v>
      </c>
      <c r="G116" t="s">
        <v>462</v>
      </c>
      <c r="H116" t="s">
        <v>463</v>
      </c>
      <c r="I116" t="s">
        <v>464</v>
      </c>
      <c r="J116" t="s">
        <v>59</v>
      </c>
      <c r="K116" t="s">
        <v>59</v>
      </c>
      <c r="L116" t="s">
        <v>60</v>
      </c>
      <c r="M116" t="s">
        <v>60</v>
      </c>
      <c r="N116" t="s">
        <v>465</v>
      </c>
      <c r="O116" t="s">
        <v>85</v>
      </c>
      <c r="P116">
        <v>8</v>
      </c>
      <c r="Q116" t="s">
        <v>466</v>
      </c>
      <c r="T116" t="s">
        <v>467</v>
      </c>
      <c r="U116" t="s">
        <v>118</v>
      </c>
      <c r="V116" t="s">
        <v>468</v>
      </c>
      <c r="W116" t="s">
        <v>66</v>
      </c>
      <c r="AB116" t="s">
        <v>469</v>
      </c>
      <c r="AC116" t="s">
        <v>69</v>
      </c>
      <c r="AD116" t="s">
        <v>70</v>
      </c>
      <c r="AE116" t="s">
        <v>161</v>
      </c>
      <c r="AF116" t="s">
        <v>124</v>
      </c>
      <c r="AG116" t="s">
        <v>73</v>
      </c>
      <c r="AH116">
        <v>2025</v>
      </c>
      <c r="AI116">
        <v>10</v>
      </c>
      <c r="AJ116">
        <v>2</v>
      </c>
      <c r="AK116">
        <v>6</v>
      </c>
      <c r="AL116">
        <v>65</v>
      </c>
      <c r="AM116" s="2">
        <v>45722.940972222219</v>
      </c>
      <c r="AN116">
        <v>216</v>
      </c>
      <c r="AO116" t="s">
        <v>466</v>
      </c>
      <c r="AP116" t="s">
        <v>470</v>
      </c>
      <c r="AQ116" t="s">
        <v>471</v>
      </c>
      <c r="AR116" t="s">
        <v>472</v>
      </c>
      <c r="AS116" t="s">
        <v>506</v>
      </c>
      <c r="AW116"/>
    </row>
    <row r="117" spans="1:49" x14ac:dyDescent="0.3">
      <c r="A117" t="s">
        <v>473</v>
      </c>
      <c r="B117" s="1">
        <v>45725</v>
      </c>
      <c r="C117" t="s">
        <v>96</v>
      </c>
      <c r="D117" s="5">
        <v>0.79166666666666663</v>
      </c>
      <c r="E117" s="5">
        <v>0.8125</v>
      </c>
      <c r="F117" t="s">
        <v>459</v>
      </c>
      <c r="G117" t="s">
        <v>462</v>
      </c>
      <c r="H117" t="s">
        <v>474</v>
      </c>
      <c r="I117" t="s">
        <v>475</v>
      </c>
      <c r="J117" t="s">
        <v>59</v>
      </c>
      <c r="K117" t="s">
        <v>59</v>
      </c>
      <c r="L117" t="s">
        <v>60</v>
      </c>
      <c r="M117" t="s">
        <v>60</v>
      </c>
      <c r="N117" t="s">
        <v>476</v>
      </c>
      <c r="O117" t="s">
        <v>135</v>
      </c>
      <c r="P117">
        <v>7</v>
      </c>
      <c r="Q117" t="s">
        <v>477</v>
      </c>
      <c r="T117" t="s">
        <v>478</v>
      </c>
      <c r="U117" t="s">
        <v>479</v>
      </c>
      <c r="V117" t="s">
        <v>480</v>
      </c>
      <c r="W117" t="s">
        <v>66</v>
      </c>
      <c r="AB117" t="s">
        <v>158</v>
      </c>
      <c r="AC117" t="s">
        <v>481</v>
      </c>
      <c r="AD117" t="s">
        <v>352</v>
      </c>
      <c r="AE117" t="s">
        <v>123</v>
      </c>
      <c r="AF117" t="s">
        <v>72</v>
      </c>
      <c r="AG117" t="s">
        <v>73</v>
      </c>
      <c r="AH117">
        <v>2025</v>
      </c>
      <c r="AI117">
        <v>11</v>
      </c>
      <c r="AJ117">
        <v>3</v>
      </c>
      <c r="AK117">
        <v>9</v>
      </c>
      <c r="AL117">
        <v>68</v>
      </c>
      <c r="AM117" s="2">
        <v>45725.8125</v>
      </c>
      <c r="AN117">
        <v>282</v>
      </c>
      <c r="AO117" t="s">
        <v>477</v>
      </c>
      <c r="AP117" t="s">
        <v>482</v>
      </c>
      <c r="AQ117" t="s">
        <v>483</v>
      </c>
      <c r="AR117" t="s">
        <v>484</v>
      </c>
      <c r="AS117" t="s">
        <v>506</v>
      </c>
      <c r="AW117"/>
    </row>
    <row r="118" spans="1:49" x14ac:dyDescent="0.3">
      <c r="A118" t="s">
        <v>517</v>
      </c>
      <c r="B118" s="1">
        <v>45727</v>
      </c>
      <c r="C118" t="s">
        <v>77</v>
      </c>
      <c r="D118" s="5">
        <v>0.58333333333333337</v>
      </c>
      <c r="E118" s="5">
        <v>0.60416666666666663</v>
      </c>
      <c r="F118" t="s">
        <v>452</v>
      </c>
      <c r="G118" t="s">
        <v>462</v>
      </c>
      <c r="H118" t="s">
        <v>518</v>
      </c>
      <c r="I118" t="s">
        <v>519</v>
      </c>
      <c r="J118" t="s">
        <v>59</v>
      </c>
      <c r="K118" t="s">
        <v>59</v>
      </c>
      <c r="L118" t="s">
        <v>60</v>
      </c>
      <c r="M118" t="s">
        <v>60</v>
      </c>
      <c r="N118" t="s">
        <v>520</v>
      </c>
      <c r="O118" t="s">
        <v>85</v>
      </c>
      <c r="P118">
        <v>8</v>
      </c>
      <c r="Q118" t="s">
        <v>521</v>
      </c>
      <c r="T118" t="s">
        <v>522</v>
      </c>
      <c r="U118" t="s">
        <v>523</v>
      </c>
      <c r="V118" t="s">
        <v>524</v>
      </c>
      <c r="W118" t="s">
        <v>66</v>
      </c>
      <c r="AB118" t="s">
        <v>417</v>
      </c>
      <c r="AC118" t="s">
        <v>159</v>
      </c>
      <c r="AD118" t="s">
        <v>160</v>
      </c>
      <c r="AE118" t="s">
        <v>525</v>
      </c>
      <c r="AF118" t="s">
        <v>72</v>
      </c>
      <c r="AG118" t="s">
        <v>73</v>
      </c>
      <c r="AH118">
        <v>2025</v>
      </c>
      <c r="AI118">
        <v>11</v>
      </c>
      <c r="AJ118">
        <v>3</v>
      </c>
      <c r="AK118">
        <v>11</v>
      </c>
      <c r="AL118">
        <v>70</v>
      </c>
      <c r="AM118" s="2">
        <v>45727.604166666664</v>
      </c>
      <c r="AN118">
        <v>123</v>
      </c>
      <c r="AO118" t="s">
        <v>521</v>
      </c>
      <c r="AP118" t="s">
        <v>526</v>
      </c>
      <c r="AQ118" t="s">
        <v>527</v>
      </c>
      <c r="AR118" t="s">
        <v>528</v>
      </c>
      <c r="AS118" t="s">
        <v>529</v>
      </c>
      <c r="AW118"/>
    </row>
    <row r="119" spans="1:49" x14ac:dyDescent="0.3">
      <c r="A119" t="s">
        <v>560</v>
      </c>
      <c r="B119" s="1">
        <v>45739</v>
      </c>
      <c r="C119" t="s">
        <v>305</v>
      </c>
      <c r="D119" s="5">
        <v>0.16666666666666666</v>
      </c>
      <c r="E119" s="5">
        <v>0.1736111111111111</v>
      </c>
      <c r="F119" t="s">
        <v>459</v>
      </c>
      <c r="G119" t="s">
        <v>462</v>
      </c>
      <c r="H119" t="s">
        <v>561</v>
      </c>
      <c r="I119" t="s">
        <v>562</v>
      </c>
      <c r="J119" t="s">
        <v>563</v>
      </c>
      <c r="K119" t="s">
        <v>59</v>
      </c>
      <c r="L119" t="s">
        <v>564</v>
      </c>
      <c r="M119" t="s">
        <v>60</v>
      </c>
      <c r="N119" t="s">
        <v>565</v>
      </c>
      <c r="O119" t="s">
        <v>251</v>
      </c>
      <c r="P119">
        <v>5</v>
      </c>
      <c r="Q119" t="s">
        <v>566</v>
      </c>
      <c r="T119" t="s">
        <v>567</v>
      </c>
      <c r="U119" t="s">
        <v>118</v>
      </c>
      <c r="V119" t="s">
        <v>568</v>
      </c>
      <c r="W119" t="s">
        <v>66</v>
      </c>
      <c r="AB119" t="s">
        <v>569</v>
      </c>
      <c r="AC119" t="s">
        <v>106</v>
      </c>
      <c r="AD119" t="s">
        <v>70</v>
      </c>
      <c r="AE119" t="s">
        <v>123</v>
      </c>
      <c r="AF119" t="s">
        <v>72</v>
      </c>
      <c r="AG119" t="s">
        <v>73</v>
      </c>
      <c r="AH119">
        <v>2025</v>
      </c>
      <c r="AI119">
        <v>13</v>
      </c>
      <c r="AJ119">
        <v>5</v>
      </c>
      <c r="AK119">
        <v>23</v>
      </c>
      <c r="AL119">
        <v>82</v>
      </c>
      <c r="AM119" s="2">
        <v>45739.173611111109</v>
      </c>
      <c r="AN119">
        <v>24</v>
      </c>
      <c r="AO119" t="s">
        <v>566</v>
      </c>
      <c r="AP119" t="s">
        <v>570</v>
      </c>
      <c r="AQ119" t="s">
        <v>571</v>
      </c>
      <c r="AR119" t="s">
        <v>572</v>
      </c>
      <c r="AS119" t="s">
        <v>549</v>
      </c>
      <c r="AW119"/>
    </row>
    <row r="120" spans="1:49" x14ac:dyDescent="0.3">
      <c r="A120" t="s">
        <v>606</v>
      </c>
      <c r="B120" s="1">
        <v>45747</v>
      </c>
      <c r="C120" t="s">
        <v>96</v>
      </c>
      <c r="D120" s="5">
        <v>0.75</v>
      </c>
      <c r="E120" s="5">
        <v>0.75</v>
      </c>
      <c r="F120" t="s">
        <v>451</v>
      </c>
      <c r="G120" t="s">
        <v>462</v>
      </c>
      <c r="H120" t="s">
        <v>212</v>
      </c>
      <c r="I120" t="s">
        <v>607</v>
      </c>
      <c r="J120" t="s">
        <v>59</v>
      </c>
      <c r="K120" t="s">
        <v>59</v>
      </c>
      <c r="L120" t="s">
        <v>60</v>
      </c>
      <c r="M120" t="s">
        <v>60</v>
      </c>
      <c r="N120" t="s">
        <v>608</v>
      </c>
      <c r="O120" t="s">
        <v>216</v>
      </c>
      <c r="Q120" t="s">
        <v>609</v>
      </c>
      <c r="R120">
        <v>2</v>
      </c>
      <c r="S120">
        <v>0</v>
      </c>
      <c r="T120" t="s">
        <v>610</v>
      </c>
      <c r="U120" t="s">
        <v>254</v>
      </c>
      <c r="V120" t="s">
        <v>611</v>
      </c>
      <c r="W120" t="s">
        <v>66</v>
      </c>
      <c r="AB120" t="s">
        <v>469</v>
      </c>
      <c r="AC120" t="s">
        <v>612</v>
      </c>
      <c r="AD120" t="s">
        <v>613</v>
      </c>
      <c r="AE120" t="s">
        <v>161</v>
      </c>
      <c r="AF120" t="s">
        <v>196</v>
      </c>
      <c r="AG120" t="s">
        <v>614</v>
      </c>
      <c r="AH120">
        <v>2025</v>
      </c>
      <c r="AI120">
        <v>14</v>
      </c>
      <c r="AJ120">
        <v>6</v>
      </c>
      <c r="AK120">
        <v>31</v>
      </c>
      <c r="AL120">
        <v>90</v>
      </c>
      <c r="AM120" s="2">
        <v>45747.75</v>
      </c>
      <c r="AN120">
        <v>310</v>
      </c>
      <c r="AO120" t="s">
        <v>609</v>
      </c>
      <c r="AP120" t="s">
        <v>615</v>
      </c>
      <c r="AQ120" t="s">
        <v>60</v>
      </c>
      <c r="AR120" t="s">
        <v>60</v>
      </c>
      <c r="AS120" t="s">
        <v>582</v>
      </c>
      <c r="AW120"/>
    </row>
    <row r="121" spans="1:49" x14ac:dyDescent="0.3">
      <c r="A121" t="s">
        <v>616</v>
      </c>
      <c r="B121" s="1">
        <v>45747</v>
      </c>
      <c r="C121" t="s">
        <v>110</v>
      </c>
      <c r="D121" s="5">
        <v>0.83333333333333337</v>
      </c>
      <c r="E121" s="5">
        <v>0.83333333333333337</v>
      </c>
      <c r="F121" t="s">
        <v>451</v>
      </c>
      <c r="G121" t="s">
        <v>462</v>
      </c>
      <c r="H121" t="s">
        <v>212</v>
      </c>
      <c r="I121" t="s">
        <v>607</v>
      </c>
      <c r="J121" t="s">
        <v>59</v>
      </c>
      <c r="K121" t="s">
        <v>59</v>
      </c>
      <c r="L121" t="s">
        <v>60</v>
      </c>
      <c r="M121" t="s">
        <v>60</v>
      </c>
      <c r="N121" t="s">
        <v>608</v>
      </c>
      <c r="O121" t="s">
        <v>216</v>
      </c>
      <c r="P121">
        <v>9</v>
      </c>
      <c r="Q121" t="s">
        <v>617</v>
      </c>
      <c r="R121">
        <v>5</v>
      </c>
      <c r="S121">
        <v>0</v>
      </c>
      <c r="T121" t="s">
        <v>618</v>
      </c>
      <c r="U121" t="s">
        <v>254</v>
      </c>
      <c r="V121" t="s">
        <v>619</v>
      </c>
      <c r="W121" t="s">
        <v>66</v>
      </c>
      <c r="AB121" t="s">
        <v>469</v>
      </c>
      <c r="AC121" t="s">
        <v>612</v>
      </c>
      <c r="AD121" t="s">
        <v>613</v>
      </c>
      <c r="AE121" t="s">
        <v>161</v>
      </c>
      <c r="AF121" t="s">
        <v>196</v>
      </c>
      <c r="AG121" t="s">
        <v>614</v>
      </c>
      <c r="AH121">
        <v>2025</v>
      </c>
      <c r="AI121">
        <v>14</v>
      </c>
      <c r="AJ121">
        <v>6</v>
      </c>
      <c r="AK121">
        <v>31</v>
      </c>
      <c r="AL121">
        <v>90</v>
      </c>
      <c r="AM121" s="2">
        <v>45747.833333333336</v>
      </c>
      <c r="AN121">
        <v>310</v>
      </c>
      <c r="AO121" t="s">
        <v>617</v>
      </c>
      <c r="AP121" t="s">
        <v>620</v>
      </c>
      <c r="AQ121" t="s">
        <v>60</v>
      </c>
      <c r="AR121" t="s">
        <v>60</v>
      </c>
      <c r="AS121" t="s">
        <v>582</v>
      </c>
      <c r="AW121"/>
    </row>
    <row r="122" spans="1:49" x14ac:dyDescent="0.3">
      <c r="A122" t="s">
        <v>621</v>
      </c>
      <c r="B122" s="1">
        <v>45748</v>
      </c>
      <c r="C122" t="s">
        <v>110</v>
      </c>
      <c r="D122" s="5">
        <v>0.83333333333333337</v>
      </c>
      <c r="E122" s="5">
        <v>0.85324074074074074</v>
      </c>
      <c r="F122" t="s">
        <v>452</v>
      </c>
      <c r="G122" t="s">
        <v>599</v>
      </c>
      <c r="H122" t="s">
        <v>57</v>
      </c>
      <c r="I122" t="s">
        <v>622</v>
      </c>
      <c r="J122" t="s">
        <v>59</v>
      </c>
      <c r="K122" t="s">
        <v>59</v>
      </c>
      <c r="L122" t="s">
        <v>60</v>
      </c>
      <c r="M122" t="s">
        <v>60</v>
      </c>
      <c r="N122" t="s">
        <v>623</v>
      </c>
      <c r="O122" t="s">
        <v>328</v>
      </c>
      <c r="P122">
        <v>7</v>
      </c>
      <c r="Q122" t="s">
        <v>624</v>
      </c>
      <c r="T122" t="s">
        <v>625</v>
      </c>
      <c r="U122" t="s">
        <v>626</v>
      </c>
      <c r="V122" t="s">
        <v>627</v>
      </c>
      <c r="W122" t="s">
        <v>66</v>
      </c>
      <c r="AB122" t="s">
        <v>67</v>
      </c>
      <c r="AC122" t="s">
        <v>331</v>
      </c>
      <c r="AD122" t="s">
        <v>70</v>
      </c>
      <c r="AE122" t="s">
        <v>161</v>
      </c>
      <c r="AF122" t="s">
        <v>72</v>
      </c>
      <c r="AG122" t="s">
        <v>73</v>
      </c>
      <c r="AH122">
        <v>2025</v>
      </c>
      <c r="AI122">
        <v>14</v>
      </c>
      <c r="AJ122">
        <v>1</v>
      </c>
      <c r="AK122">
        <v>1</v>
      </c>
      <c r="AL122">
        <v>91</v>
      </c>
      <c r="AM122" s="2">
        <v>45748.852777777778</v>
      </c>
      <c r="AN122">
        <v>77</v>
      </c>
      <c r="AO122" t="s">
        <v>624</v>
      </c>
      <c r="AP122" t="s">
        <v>628</v>
      </c>
      <c r="AQ122" t="s">
        <v>60</v>
      </c>
      <c r="AR122" t="s">
        <v>60</v>
      </c>
      <c r="AS122" t="s">
        <v>605</v>
      </c>
      <c r="AW12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5D26B-1CC3-445D-A21F-D38E08E16AD1}">
  <sheetPr>
    <tabColor rgb="FF00B050"/>
  </sheetPr>
  <dimension ref="A1:O2"/>
  <sheetViews>
    <sheetView topLeftCell="C1" workbookViewId="0">
      <selection activeCell="C1" sqref="C1:C1048576"/>
    </sheetView>
  </sheetViews>
  <sheetFormatPr defaultRowHeight="15.6" x14ac:dyDescent="0.3"/>
  <cols>
    <col min="1" max="1" width="35.88671875" style="152" bestFit="1" customWidth="1"/>
    <col min="2" max="2" width="21.21875" style="153" bestFit="1" customWidth="1"/>
    <col min="3" max="3" width="17.88671875" style="154" bestFit="1" customWidth="1"/>
    <col min="4" max="4" width="39" style="152" bestFit="1" customWidth="1"/>
    <col min="5" max="5" width="40" style="152" bestFit="1" customWidth="1"/>
    <col min="6" max="6" width="26.77734375" style="152" bestFit="1" customWidth="1"/>
    <col min="7" max="7" width="18.5546875" style="152" bestFit="1" customWidth="1"/>
    <col min="8" max="8" width="25.44140625" style="152" bestFit="1" customWidth="1"/>
    <col min="9" max="9" width="27.109375" style="152" bestFit="1" customWidth="1"/>
    <col min="10" max="10" width="36.77734375" style="152" bestFit="1" customWidth="1"/>
    <col min="11" max="11" width="18.109375" style="152" bestFit="1" customWidth="1"/>
    <col min="12" max="12" width="31.77734375" style="152" bestFit="1" customWidth="1"/>
    <col min="13" max="13" width="24" style="152" bestFit="1" customWidth="1"/>
    <col min="14" max="14" width="26.33203125" style="152" bestFit="1" customWidth="1"/>
    <col min="15" max="15" width="255.77734375" style="152" bestFit="1" customWidth="1"/>
    <col min="16" max="16384" width="8.88671875" style="152"/>
  </cols>
  <sheetData>
    <row r="1" spans="1:15" s="154" customFormat="1" x14ac:dyDescent="0.3">
      <c r="A1" s="130" t="s">
        <v>662</v>
      </c>
      <c r="B1" s="129" t="s">
        <v>35</v>
      </c>
      <c r="C1" s="130" t="s">
        <v>650</v>
      </c>
      <c r="D1" s="130" t="s">
        <v>651</v>
      </c>
      <c r="E1" s="130" t="s">
        <v>652</v>
      </c>
      <c r="F1" s="130" t="s">
        <v>653</v>
      </c>
      <c r="G1" s="130" t="s">
        <v>654</v>
      </c>
      <c r="H1" s="130" t="s">
        <v>655</v>
      </c>
      <c r="I1" s="130" t="s">
        <v>656</v>
      </c>
      <c r="J1" s="130" t="s">
        <v>657</v>
      </c>
      <c r="K1" s="130" t="s">
        <v>658</v>
      </c>
      <c r="L1" s="130" t="s">
        <v>659</v>
      </c>
      <c r="M1" s="130" t="s">
        <v>660</v>
      </c>
      <c r="N1" s="130" t="s">
        <v>661</v>
      </c>
      <c r="O1" s="130" t="s">
        <v>460</v>
      </c>
    </row>
    <row r="2" spans="1:15" x14ac:dyDescent="0.3">
      <c r="A2" s="44" t="s">
        <v>801</v>
      </c>
      <c r="B2" s="129">
        <v>45756</v>
      </c>
      <c r="C2" s="130" t="s">
        <v>453</v>
      </c>
      <c r="D2" s="44" t="s">
        <v>110</v>
      </c>
      <c r="E2" s="44" t="s">
        <v>807</v>
      </c>
      <c r="F2" s="44"/>
      <c r="G2" s="44"/>
      <c r="H2" s="44"/>
      <c r="I2" s="44"/>
      <c r="J2" s="44"/>
      <c r="K2" s="44"/>
      <c r="L2" s="44"/>
      <c r="M2" s="44"/>
      <c r="N2" s="44"/>
      <c r="O2" s="44" t="s">
        <v>804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78986-90B3-41AE-81F6-B4CB0C2C0B55}">
  <sheetPr codeName="Sheet2">
    <tabColor rgb="FF00B050"/>
  </sheetPr>
  <dimension ref="A1:AB38"/>
  <sheetViews>
    <sheetView topLeftCell="Z1" workbookViewId="0">
      <selection activeCell="N5" sqref="N5:AB5"/>
    </sheetView>
  </sheetViews>
  <sheetFormatPr defaultRowHeight="14.4" x14ac:dyDescent="0.3"/>
  <cols>
    <col min="1" max="1" width="28" bestFit="1" customWidth="1"/>
    <col min="2" max="2" width="10.77734375" bestFit="1" customWidth="1"/>
    <col min="3" max="3" width="6" bestFit="1" customWidth="1"/>
    <col min="4" max="4" width="5.21875" bestFit="1" customWidth="1"/>
    <col min="5" max="5" width="6.33203125" bestFit="1" customWidth="1"/>
    <col min="6" max="6" width="6.109375" bestFit="1" customWidth="1"/>
    <col min="7" max="7" width="4.88671875" bestFit="1" customWidth="1"/>
    <col min="8" max="9" width="7.6640625" customWidth="1"/>
    <col min="10" max="10" width="35.5546875" bestFit="1" customWidth="1"/>
    <col min="11" max="11" width="24" bestFit="1" customWidth="1"/>
    <col min="12" max="12" width="15.109375" style="42" bestFit="1" customWidth="1"/>
    <col min="13" max="13" width="21.88671875" style="42" bestFit="1" customWidth="1"/>
    <col min="14" max="14" width="30.33203125" style="42" bestFit="1" customWidth="1"/>
    <col min="15" max="15" width="15.21875" style="148" bestFit="1" customWidth="1"/>
    <col min="16" max="16" width="14.109375" style="42" bestFit="1" customWidth="1"/>
    <col min="17" max="17" width="33.21875" style="42" bestFit="1" customWidth="1"/>
    <col min="18" max="18" width="31.5546875" style="42" bestFit="1" customWidth="1"/>
    <col min="19" max="19" width="22.21875" style="42" bestFit="1" customWidth="1"/>
    <col min="20" max="20" width="15" bestFit="1" customWidth="1"/>
    <col min="21" max="21" width="21.77734375" bestFit="1" customWidth="1"/>
    <col min="22" max="22" width="22.77734375" bestFit="1" customWidth="1"/>
    <col min="23" max="23" width="31.44140625" bestFit="1" customWidth="1"/>
    <col min="24" max="24" width="18.88671875" bestFit="1" customWidth="1"/>
    <col min="25" max="25" width="26.77734375" bestFit="1" customWidth="1"/>
    <col min="26" max="26" width="19.77734375" bestFit="1" customWidth="1"/>
    <col min="27" max="27" width="22.109375" bestFit="1" customWidth="1"/>
    <col min="28" max="28" width="109" style="42" customWidth="1"/>
    <col min="44" max="44" width="25.109375" bestFit="1" customWidth="1"/>
    <col min="45" max="45" width="15.109375" bestFit="1" customWidth="1"/>
    <col min="46" max="46" width="15.5546875" bestFit="1" customWidth="1"/>
    <col min="47" max="47" width="24.5546875" bestFit="1" customWidth="1"/>
    <col min="48" max="48" width="24.88671875" bestFit="1" customWidth="1"/>
    <col min="49" max="49" width="13.88671875" bestFit="1" customWidth="1"/>
    <col min="50" max="50" width="14.109375" bestFit="1" customWidth="1"/>
    <col min="51" max="51" width="7.33203125" bestFit="1" customWidth="1"/>
    <col min="52" max="52" width="15.44140625" bestFit="1" customWidth="1"/>
    <col min="53" max="53" width="17.44140625" bestFit="1" customWidth="1"/>
    <col min="54" max="54" width="6.5546875" bestFit="1" customWidth="1"/>
    <col min="55" max="55" width="13.33203125" bestFit="1" customWidth="1"/>
    <col min="56" max="56" width="22.6640625" bestFit="1" customWidth="1"/>
    <col min="57" max="57" width="6" bestFit="1" customWidth="1"/>
  </cols>
  <sheetData>
    <row r="1" spans="1:28" ht="18.600000000000001" thickBot="1" x14ac:dyDescent="0.4">
      <c r="A1" s="113" t="s">
        <v>1</v>
      </c>
      <c r="B1" s="7" t="s">
        <v>128</v>
      </c>
      <c r="C1" s="7"/>
      <c r="D1" s="7"/>
      <c r="E1" s="7"/>
      <c r="F1" s="7"/>
      <c r="L1"/>
      <c r="M1"/>
      <c r="N1" s="18" t="s">
        <v>662</v>
      </c>
      <c r="O1" s="31" t="s">
        <v>35</v>
      </c>
      <c r="P1" s="18" t="s">
        <v>650</v>
      </c>
      <c r="Q1" s="18" t="s">
        <v>651</v>
      </c>
      <c r="R1" s="18" t="s">
        <v>652</v>
      </c>
      <c r="S1" s="18" t="s">
        <v>653</v>
      </c>
      <c r="T1" s="18" t="s">
        <v>654</v>
      </c>
      <c r="U1" s="18" t="s">
        <v>655</v>
      </c>
      <c r="V1" s="18" t="s">
        <v>656</v>
      </c>
      <c r="W1" s="18" t="s">
        <v>657</v>
      </c>
      <c r="X1" s="18" t="s">
        <v>658</v>
      </c>
      <c r="Y1" s="18" t="s">
        <v>659</v>
      </c>
      <c r="Z1" s="18" t="s">
        <v>660</v>
      </c>
      <c r="AA1" s="18" t="s">
        <v>661</v>
      </c>
      <c r="AB1" s="49" t="s">
        <v>460</v>
      </c>
    </row>
    <row r="2" spans="1:28" ht="18" x14ac:dyDescent="0.35">
      <c r="A2" s="113" t="s">
        <v>10</v>
      </c>
      <c r="B2" s="7" t="s">
        <v>128</v>
      </c>
      <c r="C2" s="7"/>
      <c r="D2" s="7"/>
      <c r="E2" s="7"/>
      <c r="F2" s="7"/>
      <c r="J2" s="72" t="s">
        <v>662</v>
      </c>
      <c r="K2" s="102" t="s">
        <v>57</v>
      </c>
      <c r="L2"/>
      <c r="M2"/>
      <c r="N2" s="145"/>
      <c r="O2" s="147"/>
      <c r="P2" s="146"/>
      <c r="Q2" s="146"/>
      <c r="R2" s="58"/>
      <c r="S2" s="58"/>
      <c r="T2" s="58"/>
      <c r="U2" s="58"/>
      <c r="V2" s="58"/>
      <c r="W2" s="58"/>
      <c r="X2" s="58"/>
      <c r="Y2" s="58"/>
      <c r="Z2" s="58"/>
      <c r="AA2" s="58"/>
      <c r="AB2" s="68"/>
    </row>
    <row r="3" spans="1:28" ht="18" x14ac:dyDescent="0.35">
      <c r="A3" s="7"/>
      <c r="B3" s="7"/>
      <c r="C3" s="7"/>
      <c r="D3" s="7"/>
      <c r="E3" s="7"/>
      <c r="F3" s="7"/>
      <c r="H3" s="7"/>
      <c r="I3" s="7"/>
      <c r="J3" s="74" t="s">
        <v>35</v>
      </c>
      <c r="K3" s="103">
        <v>45748</v>
      </c>
    </row>
    <row r="4" spans="1:28" s="47" customFormat="1" ht="18" x14ac:dyDescent="0.35">
      <c r="A4" s="135" t="s">
        <v>129</v>
      </c>
      <c r="B4" s="135" t="s">
        <v>5</v>
      </c>
      <c r="C4" s="50"/>
      <c r="D4" s="50"/>
      <c r="E4" s="50"/>
      <c r="F4" s="50"/>
      <c r="G4" s="50"/>
      <c r="H4"/>
      <c r="I4"/>
      <c r="J4" s="75" t="s">
        <v>650</v>
      </c>
      <c r="K4" s="104" t="s">
        <v>452</v>
      </c>
      <c r="O4" s="149"/>
      <c r="AB4" s="151"/>
    </row>
    <row r="5" spans="1:28" ht="18" x14ac:dyDescent="0.35">
      <c r="A5" s="91" t="s">
        <v>450</v>
      </c>
      <c r="B5" s="8" t="s">
        <v>459</v>
      </c>
      <c r="C5" s="8" t="s">
        <v>451</v>
      </c>
      <c r="D5" s="8" t="s">
        <v>452</v>
      </c>
      <c r="E5" s="8" t="s">
        <v>453</v>
      </c>
      <c r="F5" s="8" t="s">
        <v>537</v>
      </c>
      <c r="G5" s="8" t="s">
        <v>456</v>
      </c>
      <c r="J5" s="75" t="s">
        <v>651</v>
      </c>
      <c r="K5" s="105" t="s">
        <v>110</v>
      </c>
      <c r="M5"/>
      <c r="N5" t="s">
        <v>662</v>
      </c>
      <c r="O5" s="150" t="s">
        <v>35</v>
      </c>
      <c r="P5" t="s">
        <v>650</v>
      </c>
      <c r="Q5" t="s">
        <v>651</v>
      </c>
      <c r="R5" t="s">
        <v>652</v>
      </c>
      <c r="S5" t="s">
        <v>653</v>
      </c>
      <c r="T5" t="s">
        <v>654</v>
      </c>
      <c r="U5" t="s">
        <v>655</v>
      </c>
      <c r="V5" t="s">
        <v>656</v>
      </c>
      <c r="W5" t="s">
        <v>657</v>
      </c>
      <c r="X5" t="s">
        <v>658</v>
      </c>
      <c r="Y5" t="s">
        <v>659</v>
      </c>
      <c r="Z5" t="s">
        <v>660</v>
      </c>
      <c r="AA5" t="s">
        <v>661</v>
      </c>
      <c r="AB5" s="42" t="s">
        <v>460</v>
      </c>
    </row>
    <row r="6" spans="1:28" ht="18" x14ac:dyDescent="0.35">
      <c r="A6" s="46" t="s">
        <v>77</v>
      </c>
      <c r="B6" s="44"/>
      <c r="C6" s="44">
        <v>14</v>
      </c>
      <c r="D6" s="44">
        <v>11</v>
      </c>
      <c r="E6" s="44"/>
      <c r="F6" s="44"/>
      <c r="G6" s="44"/>
      <c r="J6" s="74" t="s">
        <v>652</v>
      </c>
      <c r="K6" s="103" t="s">
        <v>732</v>
      </c>
      <c r="M6"/>
      <c r="N6"/>
      <c r="O6" s="150"/>
      <c r="P6"/>
      <c r="Q6"/>
      <c r="R6"/>
      <c r="S6"/>
    </row>
    <row r="7" spans="1:28" ht="18" x14ac:dyDescent="0.35">
      <c r="A7" s="46" t="s">
        <v>96</v>
      </c>
      <c r="B7" s="44">
        <v>13</v>
      </c>
      <c r="C7" s="44">
        <v>6</v>
      </c>
      <c r="D7" s="44"/>
      <c r="E7" s="44"/>
      <c r="F7" s="44">
        <v>14</v>
      </c>
      <c r="G7" s="44">
        <v>14</v>
      </c>
      <c r="J7" s="75" t="s">
        <v>653</v>
      </c>
      <c r="K7" s="105" t="s">
        <v>733</v>
      </c>
      <c r="M7"/>
      <c r="N7"/>
      <c r="O7" s="150"/>
      <c r="P7"/>
      <c r="Q7"/>
      <c r="R7"/>
      <c r="S7"/>
    </row>
    <row r="8" spans="1:28" ht="18" x14ac:dyDescent="0.35">
      <c r="A8" s="46" t="s">
        <v>305</v>
      </c>
      <c r="B8" s="44">
        <v>9</v>
      </c>
      <c r="C8" s="44"/>
      <c r="D8" s="44"/>
      <c r="E8" s="44"/>
      <c r="F8" s="44"/>
      <c r="G8" s="44"/>
      <c r="J8" s="74" t="s">
        <v>654</v>
      </c>
      <c r="K8" s="103"/>
      <c r="M8"/>
      <c r="N8"/>
      <c r="O8" s="150"/>
      <c r="P8"/>
      <c r="Q8"/>
      <c r="R8"/>
      <c r="S8"/>
    </row>
    <row r="9" spans="1:28" ht="18" x14ac:dyDescent="0.35">
      <c r="A9" s="46" t="s">
        <v>110</v>
      </c>
      <c r="B9" s="44">
        <v>14</v>
      </c>
      <c r="C9" s="44">
        <v>6</v>
      </c>
      <c r="D9" s="44">
        <v>6</v>
      </c>
      <c r="E9" s="44">
        <v>1</v>
      </c>
      <c r="F9" s="44">
        <v>13</v>
      </c>
      <c r="G9" s="44"/>
      <c r="J9" s="74" t="s">
        <v>656</v>
      </c>
      <c r="K9" s="103" t="s">
        <v>573</v>
      </c>
      <c r="M9"/>
      <c r="N9"/>
      <c r="O9" s="150"/>
      <c r="P9"/>
      <c r="Q9"/>
      <c r="R9"/>
      <c r="S9"/>
    </row>
    <row r="10" spans="1:28" ht="18" x14ac:dyDescent="0.3">
      <c r="J10" s="76" t="s">
        <v>657</v>
      </c>
      <c r="K10" s="106" t="s">
        <v>573</v>
      </c>
      <c r="R10"/>
    </row>
    <row r="11" spans="1:28" ht="18" x14ac:dyDescent="0.35">
      <c r="J11" s="74" t="s">
        <v>658</v>
      </c>
      <c r="K11" s="103" t="s">
        <v>734</v>
      </c>
      <c r="R11"/>
    </row>
    <row r="12" spans="1:28" ht="18" x14ac:dyDescent="0.35">
      <c r="J12" s="75" t="s">
        <v>659</v>
      </c>
      <c r="K12" s="105" t="s">
        <v>516</v>
      </c>
      <c r="R12"/>
    </row>
    <row r="13" spans="1:28" ht="18" x14ac:dyDescent="0.35">
      <c r="J13" s="74" t="s">
        <v>660</v>
      </c>
      <c r="K13" s="107" t="s">
        <v>670</v>
      </c>
      <c r="R13"/>
    </row>
    <row r="14" spans="1:28" ht="18" x14ac:dyDescent="0.35">
      <c r="J14" s="109" t="s">
        <v>661</v>
      </c>
      <c r="K14" s="110" t="s">
        <v>666</v>
      </c>
      <c r="R14"/>
    </row>
    <row r="15" spans="1:28" ht="18.600000000000001" thickBot="1" x14ac:dyDescent="0.4">
      <c r="J15" s="111" t="s">
        <v>460</v>
      </c>
      <c r="K15" s="112"/>
      <c r="R15"/>
    </row>
    <row r="16" spans="1:28" ht="23.4" x14ac:dyDescent="0.45">
      <c r="A16" s="193" t="s">
        <v>457</v>
      </c>
      <c r="B16" s="193"/>
      <c r="C16" s="193"/>
      <c r="D16" s="193"/>
      <c r="E16" s="193"/>
      <c r="F16" s="193"/>
      <c r="G16" s="193"/>
      <c r="H16" s="12"/>
      <c r="R16"/>
    </row>
    <row r="17" spans="1:18" ht="18" x14ac:dyDescent="0.35">
      <c r="A17" s="136" t="str" cm="1">
        <f t="array" ref="A17:G21">A5:G9</f>
        <v>Time of Day</v>
      </c>
      <c r="B17" s="137" t="str">
        <v>Sun</v>
      </c>
      <c r="C17" s="137" t="str">
        <v>Mon</v>
      </c>
      <c r="D17" s="137" t="str">
        <v>Tue</v>
      </c>
      <c r="E17" s="137" t="str">
        <v>Wed</v>
      </c>
      <c r="F17" s="137" t="str">
        <v>Thur</v>
      </c>
      <c r="G17" s="136" t="str">
        <v>Sat</v>
      </c>
      <c r="R17"/>
    </row>
    <row r="18" spans="1:18" ht="15.6" x14ac:dyDescent="0.3">
      <c r="A18" s="138" t="str">
        <v>Afternoon (12:00-15:59)</v>
      </c>
      <c r="B18" s="139">
        <v>0</v>
      </c>
      <c r="C18" s="139">
        <v>14</v>
      </c>
      <c r="D18" s="139">
        <v>11</v>
      </c>
      <c r="E18" s="140">
        <v>0</v>
      </c>
      <c r="F18" s="139">
        <v>0</v>
      </c>
      <c r="G18" s="139">
        <v>0</v>
      </c>
    </row>
    <row r="19" spans="1:18" ht="15.6" x14ac:dyDescent="0.3">
      <c r="A19" s="46" t="str">
        <v>Evening Peak (16:00-19:59)</v>
      </c>
      <c r="B19" s="44">
        <v>13</v>
      </c>
      <c r="C19" s="44">
        <v>6</v>
      </c>
      <c r="D19" s="44">
        <v>0</v>
      </c>
      <c r="E19">
        <v>0</v>
      </c>
      <c r="F19" s="44">
        <v>14</v>
      </c>
      <c r="G19" s="44">
        <v>14</v>
      </c>
    </row>
    <row r="20" spans="1:18" ht="15.6" x14ac:dyDescent="0.3">
      <c r="A20" s="138" t="str">
        <v>Morning (04:00-07:59)</v>
      </c>
      <c r="B20" s="139">
        <v>9</v>
      </c>
      <c r="C20" s="139">
        <v>0</v>
      </c>
      <c r="D20" s="139">
        <v>0</v>
      </c>
      <c r="E20" s="140">
        <v>0</v>
      </c>
      <c r="F20" s="139">
        <v>0</v>
      </c>
      <c r="G20" s="139">
        <v>0</v>
      </c>
    </row>
    <row r="21" spans="1:18" ht="15.6" x14ac:dyDescent="0.3">
      <c r="A21" s="141" t="str">
        <v>Night (20:00-23:59)</v>
      </c>
      <c r="B21" s="142">
        <v>14</v>
      </c>
      <c r="C21" s="142">
        <v>6</v>
      </c>
      <c r="D21" s="142">
        <v>6</v>
      </c>
      <c r="E21" s="133">
        <v>1</v>
      </c>
      <c r="F21" s="142">
        <v>13</v>
      </c>
      <c r="G21" s="142">
        <v>0</v>
      </c>
    </row>
    <row r="24" spans="1:18" ht="28.8" x14ac:dyDescent="0.3">
      <c r="A24" s="113" t="s">
        <v>1</v>
      </c>
      <c r="B24" s="114" t="s">
        <v>210</v>
      </c>
      <c r="C24" s="7"/>
      <c r="D24" s="7"/>
      <c r="E24" s="7"/>
      <c r="F24" s="7"/>
    </row>
    <row r="25" spans="1:18" x14ac:dyDescent="0.3">
      <c r="A25" s="113" t="s">
        <v>10</v>
      </c>
      <c r="B25" s="7" t="s">
        <v>128</v>
      </c>
      <c r="C25" s="7"/>
      <c r="D25" s="7"/>
      <c r="E25" s="7"/>
      <c r="F25" s="7"/>
    </row>
    <row r="26" spans="1:18" x14ac:dyDescent="0.3">
      <c r="A26" s="7"/>
      <c r="B26" s="7"/>
      <c r="C26" s="7"/>
      <c r="D26" s="7"/>
      <c r="E26" s="7"/>
      <c r="F26" s="7"/>
    </row>
    <row r="27" spans="1:18" x14ac:dyDescent="0.3">
      <c r="A27" s="135" t="s">
        <v>129</v>
      </c>
      <c r="B27" s="135" t="s">
        <v>5</v>
      </c>
      <c r="C27" s="50"/>
      <c r="D27" s="50"/>
      <c r="E27" s="50"/>
    </row>
    <row r="28" spans="1:18" ht="18" x14ac:dyDescent="0.35">
      <c r="A28" s="91" t="s">
        <v>450</v>
      </c>
      <c r="B28" s="8" t="s">
        <v>459</v>
      </c>
      <c r="C28" s="8" t="s">
        <v>451</v>
      </c>
      <c r="D28" s="8" t="s">
        <v>452</v>
      </c>
      <c r="E28" s="8" t="s">
        <v>453</v>
      </c>
    </row>
    <row r="29" spans="1:18" ht="15.6" x14ac:dyDescent="0.3">
      <c r="A29" s="46" t="s">
        <v>96</v>
      </c>
      <c r="B29" s="44"/>
      <c r="C29" s="44">
        <v>6</v>
      </c>
      <c r="D29" s="44"/>
      <c r="E29" s="44"/>
    </row>
    <row r="30" spans="1:18" ht="15.6" x14ac:dyDescent="0.3">
      <c r="A30" s="46" t="s">
        <v>305</v>
      </c>
      <c r="B30" s="44">
        <v>9</v>
      </c>
      <c r="C30" s="44"/>
      <c r="D30" s="44"/>
      <c r="E30" s="44"/>
    </row>
    <row r="31" spans="1:18" ht="15.6" x14ac:dyDescent="0.3">
      <c r="A31" s="46" t="s">
        <v>110</v>
      </c>
      <c r="B31" s="44"/>
      <c r="C31" s="44">
        <v>6</v>
      </c>
      <c r="D31" s="44">
        <v>6</v>
      </c>
      <c r="E31" s="44">
        <v>1</v>
      </c>
    </row>
    <row r="34" spans="1:8" ht="23.4" x14ac:dyDescent="0.45">
      <c r="A34" s="193" t="s">
        <v>458</v>
      </c>
      <c r="B34" s="193"/>
      <c r="C34" s="193"/>
      <c r="D34" s="193"/>
      <c r="E34" s="193"/>
      <c r="F34" s="12"/>
      <c r="G34" s="12"/>
      <c r="H34" s="12"/>
    </row>
    <row r="35" spans="1:8" ht="18" x14ac:dyDescent="0.35">
      <c r="A35" s="136" t="str" cm="1">
        <f t="array" ref="A35:E38">A28:E31</f>
        <v>Time of Day</v>
      </c>
      <c r="B35" s="137" t="str">
        <v>Sun</v>
      </c>
      <c r="C35" s="137" t="str">
        <v>Mon</v>
      </c>
      <c r="D35" s="137" t="str">
        <v>Tue</v>
      </c>
      <c r="E35" s="137" t="str">
        <v>Wed</v>
      </c>
    </row>
    <row r="36" spans="1:8" ht="15.6" x14ac:dyDescent="0.3">
      <c r="A36" s="138" t="str">
        <v>Evening Peak (16:00-19:59)</v>
      </c>
      <c r="B36" s="139">
        <v>0</v>
      </c>
      <c r="C36" s="139">
        <v>6</v>
      </c>
      <c r="D36" s="139">
        <v>0</v>
      </c>
      <c r="E36" s="140">
        <v>0</v>
      </c>
    </row>
    <row r="37" spans="1:8" ht="15.6" x14ac:dyDescent="0.3">
      <c r="A37" s="46" t="str">
        <v>Morning (04:00-07:59)</v>
      </c>
      <c r="B37" s="44">
        <v>9</v>
      </c>
      <c r="C37" s="44">
        <v>0</v>
      </c>
      <c r="D37" s="44">
        <v>0</v>
      </c>
      <c r="E37">
        <v>0</v>
      </c>
    </row>
    <row r="38" spans="1:8" ht="15.6" x14ac:dyDescent="0.3">
      <c r="A38" s="138" t="str">
        <v>Night (20:00-23:59)</v>
      </c>
      <c r="B38" s="139">
        <v>0</v>
      </c>
      <c r="C38" s="139">
        <v>6</v>
      </c>
      <c r="D38" s="139">
        <v>6</v>
      </c>
      <c r="E38" s="140">
        <v>1</v>
      </c>
    </row>
  </sheetData>
  <mergeCells count="2">
    <mergeCell ref="A16:G16"/>
    <mergeCell ref="A34:E34"/>
  </mergeCells>
  <phoneticPr fontId="12" type="noConversion"/>
  <pageMargins left="0.7" right="0.7" top="0.75" bottom="0.75" header="0.3" footer="0.3"/>
  <pageSetup orientation="portrait"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5CD91-03EB-4B99-9CAE-3A6AA2BD27D9}">
  <sheetPr codeName="Sheet3">
    <tabColor rgb="FFFFC000"/>
  </sheetPr>
  <dimension ref="A1:BB11"/>
  <sheetViews>
    <sheetView workbookViewId="0">
      <selection sqref="A1:BB11"/>
    </sheetView>
  </sheetViews>
  <sheetFormatPr defaultColWidth="8.88671875" defaultRowHeight="15.6" x14ac:dyDescent="0.3"/>
  <cols>
    <col min="1" max="1" width="20.109375" style="15" bestFit="1" customWidth="1"/>
    <col min="2" max="2" width="16" style="32" bestFit="1" customWidth="1"/>
    <col min="3" max="3" width="24.33203125" style="16" bestFit="1" customWidth="1"/>
    <col min="4" max="4" width="18.77734375" style="24" bestFit="1" customWidth="1"/>
    <col min="5" max="5" width="15.44140625" style="24" bestFit="1" customWidth="1"/>
    <col min="6" max="6" width="16.21875" style="3" bestFit="1" customWidth="1"/>
    <col min="7" max="7" width="19" style="3" bestFit="1" customWidth="1"/>
    <col min="8" max="8" width="24.109375" style="3" bestFit="1" customWidth="1"/>
    <col min="9" max="9" width="18" style="3" bestFit="1" customWidth="1"/>
    <col min="10" max="10" width="66.33203125" style="3" bestFit="1" customWidth="1"/>
    <col min="11" max="11" width="22" style="3" bestFit="1" customWidth="1"/>
    <col min="12" max="12" width="22.44140625" style="3" bestFit="1" customWidth="1"/>
    <col min="13" max="13" width="22.21875" style="3" bestFit="1" customWidth="1"/>
    <col min="14" max="14" width="40.33203125" style="3" bestFit="1" customWidth="1"/>
    <col min="15" max="15" width="10" style="15" bestFit="1" customWidth="1"/>
    <col min="16" max="16" width="10.6640625" style="15" bestFit="1" customWidth="1"/>
    <col min="17" max="17" width="80.88671875" style="3" bestFit="1" customWidth="1"/>
    <col min="18" max="18" width="24.44140625" style="15" bestFit="1" customWidth="1"/>
    <col min="19" max="19" width="26.44140625" style="15" bestFit="1" customWidth="1"/>
    <col min="20" max="20" width="20.21875" style="15" bestFit="1" customWidth="1"/>
    <col min="21" max="21" width="12.44140625" style="15" bestFit="1" customWidth="1"/>
    <col min="22" max="22" width="13.33203125" style="15" bestFit="1" customWidth="1"/>
    <col min="23" max="23" width="17.109375" style="15" bestFit="1" customWidth="1"/>
    <col min="24" max="24" width="20.21875" style="15" bestFit="1" customWidth="1"/>
    <col min="25" max="25" width="17.109375" style="15" bestFit="1" customWidth="1"/>
    <col min="26" max="26" width="12.44140625" style="15" bestFit="1" customWidth="1"/>
    <col min="27" max="27" width="13.33203125" style="15" bestFit="1" customWidth="1"/>
    <col min="28" max="28" width="18.88671875" style="3" bestFit="1" customWidth="1"/>
    <col min="29" max="29" width="20.88671875" style="3" bestFit="1" customWidth="1"/>
    <col min="30" max="30" width="28.44140625" style="3" bestFit="1" customWidth="1"/>
    <col min="31" max="31" width="12" style="15" bestFit="1" customWidth="1"/>
    <col min="32" max="32" width="27.33203125" style="3" bestFit="1" customWidth="1"/>
    <col min="33" max="33" width="28.44140625" style="3" bestFit="1" customWidth="1"/>
    <col min="34" max="34" width="31.88671875" style="3" bestFit="1" customWidth="1"/>
    <col min="35" max="35" width="31.6640625" style="15" bestFit="1" customWidth="1"/>
    <col min="36" max="36" width="19.6640625" style="32" bestFit="1" customWidth="1"/>
    <col min="37" max="37" width="19.88671875" style="24" bestFit="1" customWidth="1"/>
    <col min="38" max="38" width="30.33203125" style="32" bestFit="1" customWidth="1"/>
    <col min="39" max="39" width="30.5546875" style="24" bestFit="1" customWidth="1"/>
    <col min="40" max="40" width="18.109375" style="32" bestFit="1" customWidth="1"/>
    <col min="41" max="41" width="18.33203125" style="24" bestFit="1" customWidth="1"/>
    <col min="42" max="42" width="10.21875" style="15" bestFit="1" customWidth="1"/>
    <col min="43" max="43" width="19.33203125" style="26" bestFit="1" customWidth="1"/>
    <col min="44" max="44" width="21.21875" style="26" bestFit="1" customWidth="1"/>
    <col min="45" max="45" width="9.44140625" style="26" bestFit="1" customWidth="1"/>
    <col min="46" max="46" width="17.21875" style="28" bestFit="1" customWidth="1"/>
    <col min="47" max="47" width="28.109375" style="30" bestFit="1" customWidth="1"/>
    <col min="48" max="48" width="8.77734375" style="15" bestFit="1" customWidth="1"/>
    <col min="49" max="49" width="80.88671875" style="3" bestFit="1" customWidth="1"/>
    <col min="50" max="50" width="14.77734375" style="3" bestFit="1" customWidth="1"/>
    <col min="51" max="52" width="80.88671875" style="3" bestFit="1" customWidth="1"/>
    <col min="53" max="53" width="22.33203125" style="15" bestFit="1" customWidth="1"/>
    <col min="54" max="54" width="25.77734375" style="15" bestFit="1" customWidth="1"/>
    <col min="55" max="55" width="26.88671875" style="3" bestFit="1" customWidth="1"/>
    <col min="56" max="16384" width="8.88671875" style="3"/>
  </cols>
  <sheetData>
    <row r="1" spans="1:54" s="18" customFormat="1" ht="18" x14ac:dyDescent="0.35">
      <c r="A1" s="18" t="s">
        <v>0</v>
      </c>
      <c r="B1" s="31" t="s">
        <v>1</v>
      </c>
      <c r="C1" s="18" t="s">
        <v>2</v>
      </c>
      <c r="D1" s="22" t="s">
        <v>3</v>
      </c>
      <c r="E1" s="22" t="s">
        <v>4</v>
      </c>
      <c r="F1" s="18" t="s">
        <v>5</v>
      </c>
      <c r="G1" s="18" t="s">
        <v>6</v>
      </c>
      <c r="H1" s="18" t="s">
        <v>7</v>
      </c>
      <c r="I1" s="18" t="s">
        <v>8</v>
      </c>
      <c r="J1" s="18" t="s">
        <v>10</v>
      </c>
      <c r="K1" s="18" t="s">
        <v>9</v>
      </c>
      <c r="L1" s="18" t="s">
        <v>11</v>
      </c>
      <c r="M1" s="18" t="s">
        <v>12</v>
      </c>
      <c r="N1" s="18" t="s">
        <v>13</v>
      </c>
      <c r="O1" s="18" t="s">
        <v>14</v>
      </c>
      <c r="P1" s="18" t="s">
        <v>15</v>
      </c>
      <c r="Q1" s="18" t="s">
        <v>16</v>
      </c>
      <c r="R1" s="18" t="s">
        <v>17</v>
      </c>
      <c r="S1" s="18" t="s">
        <v>18</v>
      </c>
      <c r="T1" s="18" t="s">
        <v>19</v>
      </c>
      <c r="U1" s="18" t="s">
        <v>20</v>
      </c>
      <c r="V1" s="18" t="s">
        <v>21</v>
      </c>
      <c r="W1" s="18" t="s">
        <v>22</v>
      </c>
      <c r="X1" s="18" t="s">
        <v>23</v>
      </c>
      <c r="Y1" s="18" t="s">
        <v>24</v>
      </c>
      <c r="Z1" s="18" t="s">
        <v>25</v>
      </c>
      <c r="AA1" s="18" t="s">
        <v>26</v>
      </c>
      <c r="AB1" s="18" t="s">
        <v>27</v>
      </c>
      <c r="AC1" s="18" t="s">
        <v>28</v>
      </c>
      <c r="AD1" s="18" t="s">
        <v>29</v>
      </c>
      <c r="AE1" s="18" t="s">
        <v>30</v>
      </c>
      <c r="AF1" s="18" t="s">
        <v>31</v>
      </c>
      <c r="AG1" s="18" t="s">
        <v>32</v>
      </c>
      <c r="AH1" s="18" t="s">
        <v>33</v>
      </c>
      <c r="AI1" s="18" t="s">
        <v>34</v>
      </c>
      <c r="AJ1" s="31" t="s">
        <v>35</v>
      </c>
      <c r="AK1" s="22" t="s">
        <v>36</v>
      </c>
      <c r="AL1" s="31" t="s">
        <v>37</v>
      </c>
      <c r="AM1" s="22" t="s">
        <v>38</v>
      </c>
      <c r="AN1" s="31" t="s">
        <v>39</v>
      </c>
      <c r="AO1" s="22" t="s">
        <v>40</v>
      </c>
      <c r="AP1" s="18" t="s">
        <v>41</v>
      </c>
      <c r="AQ1" s="25" t="s">
        <v>42</v>
      </c>
      <c r="AR1" s="25" t="s">
        <v>43</v>
      </c>
      <c r="AS1" s="25" t="s">
        <v>44</v>
      </c>
      <c r="AT1" s="27" t="s">
        <v>45</v>
      </c>
      <c r="AU1" s="29" t="s">
        <v>46</v>
      </c>
      <c r="AV1" s="18" t="s">
        <v>47</v>
      </c>
      <c r="AW1" t="s">
        <v>460</v>
      </c>
      <c r="AX1" s="18" t="s">
        <v>49</v>
      </c>
      <c r="AY1" s="18" t="s">
        <v>50</v>
      </c>
      <c r="AZ1" s="18" t="s">
        <v>51</v>
      </c>
      <c r="BA1" s="18" t="s">
        <v>52</v>
      </c>
      <c r="BB1" s="18" t="s">
        <v>53</v>
      </c>
    </row>
    <row r="2" spans="1:54" x14ac:dyDescent="0.3">
      <c r="A2" s="56" t="s">
        <v>130</v>
      </c>
      <c r="B2" s="57">
        <v>45673</v>
      </c>
      <c r="C2" s="58" t="s">
        <v>55</v>
      </c>
      <c r="D2" s="59">
        <v>0.5</v>
      </c>
      <c r="E2" s="59">
        <v>0.5</v>
      </c>
      <c r="F2" s="58" t="s">
        <v>537</v>
      </c>
      <c r="G2" s="58" t="s">
        <v>56</v>
      </c>
      <c r="H2" s="58" t="s">
        <v>131</v>
      </c>
      <c r="I2" s="58" t="s">
        <v>132</v>
      </c>
      <c r="J2" s="58" t="s">
        <v>133</v>
      </c>
      <c r="K2" s="58" t="s">
        <v>133</v>
      </c>
      <c r="L2" s="58" t="s">
        <v>60</v>
      </c>
      <c r="M2" s="58" t="s">
        <v>60</v>
      </c>
      <c r="N2" s="58" t="s">
        <v>134</v>
      </c>
      <c r="O2" s="56" t="s">
        <v>135</v>
      </c>
      <c r="P2" s="56">
        <v>7</v>
      </c>
      <c r="Q2" s="58" t="s">
        <v>136</v>
      </c>
      <c r="R2" s="56"/>
      <c r="S2" s="56"/>
      <c r="T2" s="56"/>
      <c r="U2" s="56"/>
      <c r="V2" s="56"/>
      <c r="W2" s="56"/>
      <c r="X2" s="56"/>
      <c r="Y2" s="56"/>
      <c r="Z2" s="56"/>
      <c r="AA2" s="56"/>
      <c r="AB2" s="58" t="s">
        <v>67</v>
      </c>
      <c r="AC2" s="58" t="s">
        <v>68</v>
      </c>
      <c r="AD2" s="58" t="s">
        <v>137</v>
      </c>
      <c r="AE2" s="56" t="s">
        <v>70</v>
      </c>
      <c r="AF2" s="58" t="s">
        <v>71</v>
      </c>
      <c r="AG2" s="58" t="s">
        <v>72</v>
      </c>
      <c r="AH2" s="58" t="s">
        <v>138</v>
      </c>
      <c r="AI2" s="56">
        <v>9</v>
      </c>
      <c r="AJ2" s="57">
        <v>45673</v>
      </c>
      <c r="AK2" s="60">
        <v>0.5</v>
      </c>
      <c r="AL2" s="57">
        <v>45673</v>
      </c>
      <c r="AM2" s="60">
        <v>0.75</v>
      </c>
      <c r="AN2" s="57">
        <v>45673</v>
      </c>
      <c r="AO2" s="60">
        <v>0.81587962962962968</v>
      </c>
      <c r="AP2" s="56">
        <v>2025</v>
      </c>
      <c r="AQ2" s="61">
        <v>3</v>
      </c>
      <c r="AR2" s="61">
        <v>3</v>
      </c>
      <c r="AS2" s="61">
        <v>16</v>
      </c>
      <c r="AT2" s="62">
        <v>16</v>
      </c>
      <c r="AU2" s="63">
        <v>45673.5</v>
      </c>
      <c r="AV2" s="56">
        <v>30</v>
      </c>
      <c r="AW2" t="s">
        <v>136</v>
      </c>
      <c r="AX2" s="58"/>
      <c r="AY2" s="58" t="s">
        <v>139</v>
      </c>
      <c r="AZ2" s="58" t="s">
        <v>140</v>
      </c>
      <c r="BA2" s="56" t="s">
        <v>513</v>
      </c>
      <c r="BB2" s="58" t="s">
        <v>77</v>
      </c>
    </row>
    <row r="3" spans="1:54" x14ac:dyDescent="0.3">
      <c r="A3" s="56" t="s">
        <v>141</v>
      </c>
      <c r="B3" s="57">
        <v>45682</v>
      </c>
      <c r="C3" s="58" t="s">
        <v>142</v>
      </c>
      <c r="D3" s="59">
        <v>0.45833333333333331</v>
      </c>
      <c r="E3" s="59">
        <v>0.45833333333333331</v>
      </c>
      <c r="F3" s="58" t="s">
        <v>456</v>
      </c>
      <c r="G3" s="58" t="s">
        <v>56</v>
      </c>
      <c r="H3" s="58" t="s">
        <v>143</v>
      </c>
      <c r="I3" s="58" t="s">
        <v>144</v>
      </c>
      <c r="J3" s="58" t="s">
        <v>133</v>
      </c>
      <c r="K3" s="58" t="s">
        <v>133</v>
      </c>
      <c r="L3" s="58" t="s">
        <v>60</v>
      </c>
      <c r="M3" s="58" t="s">
        <v>60</v>
      </c>
      <c r="N3" s="58" t="s">
        <v>145</v>
      </c>
      <c r="O3" s="56" t="s">
        <v>146</v>
      </c>
      <c r="P3" s="56">
        <v>5</v>
      </c>
      <c r="Q3" s="58" t="s">
        <v>147</v>
      </c>
      <c r="R3" s="56"/>
      <c r="S3" s="56"/>
      <c r="T3" s="56"/>
      <c r="U3" s="56"/>
      <c r="V3" s="56"/>
      <c r="W3" s="56"/>
      <c r="X3" s="56"/>
      <c r="Y3" s="56"/>
      <c r="Z3" s="56"/>
      <c r="AA3" s="56"/>
      <c r="AB3" s="58" t="s">
        <v>89</v>
      </c>
      <c r="AC3" s="58" t="s">
        <v>68</v>
      </c>
      <c r="AD3" s="58" t="s">
        <v>148</v>
      </c>
      <c r="AE3" s="56" t="s">
        <v>91</v>
      </c>
      <c r="AF3" s="58" t="s">
        <v>71</v>
      </c>
      <c r="AG3" s="58" t="s">
        <v>124</v>
      </c>
      <c r="AH3" s="58" t="s">
        <v>138</v>
      </c>
      <c r="AI3" s="56">
        <v>9</v>
      </c>
      <c r="AJ3" s="57">
        <v>45682</v>
      </c>
      <c r="AK3" s="60">
        <v>0.45833333333333331</v>
      </c>
      <c r="AL3" s="57">
        <v>45682</v>
      </c>
      <c r="AM3" s="60">
        <v>0.58333333333333337</v>
      </c>
      <c r="AN3" s="57">
        <v>45682</v>
      </c>
      <c r="AO3" s="60">
        <v>0.58054398148148145</v>
      </c>
      <c r="AP3" s="56">
        <v>2025</v>
      </c>
      <c r="AQ3" s="61">
        <v>4</v>
      </c>
      <c r="AR3" s="61">
        <v>4</v>
      </c>
      <c r="AS3" s="61">
        <v>25</v>
      </c>
      <c r="AT3" s="62">
        <v>25</v>
      </c>
      <c r="AU3" s="63">
        <v>45682.458333333336</v>
      </c>
      <c r="AV3" s="56">
        <v>60</v>
      </c>
      <c r="AW3" t="s">
        <v>147</v>
      </c>
      <c r="AX3" s="58"/>
      <c r="AY3" s="58" t="s">
        <v>149</v>
      </c>
      <c r="AZ3" s="58" t="s">
        <v>150</v>
      </c>
      <c r="BA3" s="56" t="s">
        <v>512</v>
      </c>
      <c r="BB3" s="58" t="s">
        <v>151</v>
      </c>
    </row>
    <row r="4" spans="1:54" x14ac:dyDescent="0.3">
      <c r="A4" s="56" t="s">
        <v>152</v>
      </c>
      <c r="B4" s="57">
        <v>45688</v>
      </c>
      <c r="C4" s="58" t="s">
        <v>142</v>
      </c>
      <c r="D4" s="59">
        <v>0.45833333333333331</v>
      </c>
      <c r="E4" s="59">
        <v>0.49988425925925928</v>
      </c>
      <c r="F4" s="58" t="s">
        <v>455</v>
      </c>
      <c r="G4" s="58" t="s">
        <v>56</v>
      </c>
      <c r="H4" s="58" t="s">
        <v>153</v>
      </c>
      <c r="I4" s="58" t="s">
        <v>154</v>
      </c>
      <c r="J4" s="58" t="s">
        <v>133</v>
      </c>
      <c r="K4" s="58" t="s">
        <v>133</v>
      </c>
      <c r="L4" s="58" t="s">
        <v>60</v>
      </c>
      <c r="M4" s="58" t="s">
        <v>60</v>
      </c>
      <c r="N4" s="58" t="s">
        <v>155</v>
      </c>
      <c r="O4" s="56" t="s">
        <v>156</v>
      </c>
      <c r="P4" s="56">
        <v>8</v>
      </c>
      <c r="Q4" s="58" t="s">
        <v>157</v>
      </c>
      <c r="R4" s="56"/>
      <c r="S4" s="56"/>
      <c r="T4" s="56"/>
      <c r="U4" s="56"/>
      <c r="V4" s="56"/>
      <c r="W4" s="56"/>
      <c r="X4" s="56"/>
      <c r="Y4" s="56"/>
      <c r="Z4" s="56"/>
      <c r="AA4" s="56"/>
      <c r="AB4" s="58" t="s">
        <v>158</v>
      </c>
      <c r="AC4" s="58" t="s">
        <v>68</v>
      </c>
      <c r="AD4" s="58" t="s">
        <v>159</v>
      </c>
      <c r="AE4" s="56" t="s">
        <v>160</v>
      </c>
      <c r="AF4" s="58" t="s">
        <v>161</v>
      </c>
      <c r="AG4" s="58" t="s">
        <v>72</v>
      </c>
      <c r="AH4" s="58" t="s">
        <v>138</v>
      </c>
      <c r="AI4" s="56">
        <v>9</v>
      </c>
      <c r="AJ4" s="57">
        <v>45688</v>
      </c>
      <c r="AK4" s="60">
        <v>0.49988425925925928</v>
      </c>
      <c r="AL4" s="57"/>
      <c r="AM4" s="60"/>
      <c r="AN4" s="57">
        <v>45688</v>
      </c>
      <c r="AO4" s="60">
        <v>0.49988425925925928</v>
      </c>
      <c r="AP4" s="56">
        <v>2025</v>
      </c>
      <c r="AQ4" s="61">
        <v>5</v>
      </c>
      <c r="AR4" s="61">
        <v>5</v>
      </c>
      <c r="AS4" s="61">
        <v>31</v>
      </c>
      <c r="AT4" s="62">
        <v>31</v>
      </c>
      <c r="AU4" s="63">
        <v>45688.499305555553</v>
      </c>
      <c r="AV4" s="56">
        <v>292</v>
      </c>
      <c r="AW4" t="s">
        <v>157</v>
      </c>
      <c r="AX4" s="58"/>
      <c r="AY4" s="58" t="s">
        <v>60</v>
      </c>
      <c r="AZ4" s="58" t="s">
        <v>60</v>
      </c>
      <c r="BA4" s="56" t="s">
        <v>511</v>
      </c>
      <c r="BB4" s="58" t="s">
        <v>151</v>
      </c>
    </row>
    <row r="5" spans="1:54" x14ac:dyDescent="0.3">
      <c r="A5" s="56" t="s">
        <v>162</v>
      </c>
      <c r="B5" s="57">
        <v>45693</v>
      </c>
      <c r="C5" s="58" t="s">
        <v>163</v>
      </c>
      <c r="D5" s="59">
        <v>8.3333333333333329E-2</v>
      </c>
      <c r="E5" s="59">
        <v>0.12291666666666666</v>
      </c>
      <c r="F5" s="58" t="s">
        <v>453</v>
      </c>
      <c r="G5" s="58" t="s">
        <v>112</v>
      </c>
      <c r="H5" s="58" t="s">
        <v>164</v>
      </c>
      <c r="I5" s="58" t="s">
        <v>165</v>
      </c>
      <c r="J5" s="58" t="s">
        <v>167</v>
      </c>
      <c r="K5" s="58" t="s">
        <v>166</v>
      </c>
      <c r="L5" s="58" t="s">
        <v>168</v>
      </c>
      <c r="M5" s="58" t="s">
        <v>60</v>
      </c>
      <c r="N5" s="58" t="s">
        <v>169</v>
      </c>
      <c r="O5" s="56" t="s">
        <v>156</v>
      </c>
      <c r="P5" s="56">
        <v>8</v>
      </c>
      <c r="Q5" s="58" t="s">
        <v>170</v>
      </c>
      <c r="R5" s="56"/>
      <c r="S5" s="56"/>
      <c r="T5" s="56"/>
      <c r="U5" s="56"/>
      <c r="V5" s="56"/>
      <c r="W5" s="56"/>
      <c r="X5" s="56"/>
      <c r="Y5" s="56"/>
      <c r="Z5" s="56"/>
      <c r="AA5" s="56"/>
      <c r="AB5" s="58" t="s">
        <v>120</v>
      </c>
      <c r="AC5" s="58" t="s">
        <v>68</v>
      </c>
      <c r="AD5" s="58" t="s">
        <v>171</v>
      </c>
      <c r="AE5" s="56" t="s">
        <v>91</v>
      </c>
      <c r="AF5" s="58" t="s">
        <v>172</v>
      </c>
      <c r="AG5" s="58" t="s">
        <v>124</v>
      </c>
      <c r="AH5" s="58" t="s">
        <v>138</v>
      </c>
      <c r="AI5" s="56">
        <v>9</v>
      </c>
      <c r="AJ5" s="57">
        <v>45693</v>
      </c>
      <c r="AK5" s="60">
        <v>0.12291666666666666</v>
      </c>
      <c r="AL5" s="57"/>
      <c r="AM5" s="60"/>
      <c r="AN5" s="57">
        <v>45693</v>
      </c>
      <c r="AO5" s="60">
        <v>0.1233912037037037</v>
      </c>
      <c r="AP5" s="56">
        <v>2025</v>
      </c>
      <c r="AQ5" s="61">
        <v>6</v>
      </c>
      <c r="AR5" s="61">
        <v>2</v>
      </c>
      <c r="AS5" s="61">
        <v>5</v>
      </c>
      <c r="AT5" s="62">
        <v>36</v>
      </c>
      <c r="AU5" s="63">
        <v>45693.122916666667</v>
      </c>
      <c r="AV5" s="56">
        <v>441</v>
      </c>
      <c r="AW5" t="s">
        <v>170</v>
      </c>
      <c r="AX5" s="58"/>
      <c r="AY5" s="58" t="s">
        <v>60</v>
      </c>
      <c r="AZ5" s="58" t="s">
        <v>60</v>
      </c>
      <c r="BA5" s="56" t="s">
        <v>510</v>
      </c>
      <c r="BB5" s="58" t="s">
        <v>173</v>
      </c>
    </row>
    <row r="6" spans="1:54" x14ac:dyDescent="0.3">
      <c r="A6" s="56" t="s">
        <v>174</v>
      </c>
      <c r="B6" s="57">
        <v>45705</v>
      </c>
      <c r="C6" s="58" t="s">
        <v>55</v>
      </c>
      <c r="D6" s="59">
        <v>0.5</v>
      </c>
      <c r="E6" s="59">
        <v>0.52497685185185183</v>
      </c>
      <c r="F6" s="58" t="s">
        <v>451</v>
      </c>
      <c r="G6" s="58" t="s">
        <v>112</v>
      </c>
      <c r="H6" s="58" t="s">
        <v>99</v>
      </c>
      <c r="I6" s="58" t="s">
        <v>175</v>
      </c>
      <c r="J6" s="58" t="s">
        <v>176</v>
      </c>
      <c r="K6" s="58" t="s">
        <v>166</v>
      </c>
      <c r="L6" s="58" t="s">
        <v>177</v>
      </c>
      <c r="M6" s="58" t="s">
        <v>60</v>
      </c>
      <c r="N6" s="58" t="s">
        <v>178</v>
      </c>
      <c r="O6" s="56" t="s">
        <v>179</v>
      </c>
      <c r="P6" s="56">
        <v>9</v>
      </c>
      <c r="Q6" s="58" t="s">
        <v>180</v>
      </c>
      <c r="R6" s="56"/>
      <c r="S6" s="56"/>
      <c r="T6" s="56"/>
      <c r="U6" s="56"/>
      <c r="V6" s="56"/>
      <c r="W6" s="56"/>
      <c r="X6" s="56"/>
      <c r="Y6" s="56"/>
      <c r="Z6" s="56"/>
      <c r="AA6" s="56"/>
      <c r="AB6" s="58" t="s">
        <v>67</v>
      </c>
      <c r="AC6" s="58" t="s">
        <v>68</v>
      </c>
      <c r="AD6" s="58" t="s">
        <v>69</v>
      </c>
      <c r="AE6" s="56" t="s">
        <v>70</v>
      </c>
      <c r="AF6" s="58" t="s">
        <v>181</v>
      </c>
      <c r="AG6" s="58" t="s">
        <v>182</v>
      </c>
      <c r="AH6" s="58" t="s">
        <v>138</v>
      </c>
      <c r="AI6" s="56">
        <v>9</v>
      </c>
      <c r="AJ6" s="57">
        <v>45705</v>
      </c>
      <c r="AK6" s="60">
        <v>0.52497685185185183</v>
      </c>
      <c r="AL6" s="57"/>
      <c r="AM6" s="60"/>
      <c r="AN6" s="57">
        <v>45705</v>
      </c>
      <c r="AO6" s="60">
        <v>0.52497685185185183</v>
      </c>
      <c r="AP6" s="56">
        <v>2025</v>
      </c>
      <c r="AQ6" s="61">
        <v>8</v>
      </c>
      <c r="AR6" s="61">
        <v>4</v>
      </c>
      <c r="AS6" s="61">
        <v>17</v>
      </c>
      <c r="AT6" s="62">
        <v>48</v>
      </c>
      <c r="AU6" s="63">
        <v>45705.524305555555</v>
      </c>
      <c r="AV6" s="56">
        <v>35</v>
      </c>
      <c r="AW6" t="s">
        <v>180</v>
      </c>
      <c r="AX6" s="58"/>
      <c r="AY6" s="58" t="s">
        <v>183</v>
      </c>
      <c r="AZ6" s="58" t="s">
        <v>184</v>
      </c>
      <c r="BA6" s="56" t="s">
        <v>509</v>
      </c>
      <c r="BB6" s="58" t="s">
        <v>77</v>
      </c>
    </row>
    <row r="7" spans="1:54" x14ac:dyDescent="0.3">
      <c r="A7" s="56" t="s">
        <v>530</v>
      </c>
      <c r="B7" s="57">
        <v>45726</v>
      </c>
      <c r="C7" s="58" t="s">
        <v>163</v>
      </c>
      <c r="D7" s="59">
        <v>4.1666666666666664E-2</v>
      </c>
      <c r="E7" s="59">
        <v>4.6527777777777779E-2</v>
      </c>
      <c r="F7" s="58" t="s">
        <v>451</v>
      </c>
      <c r="G7" s="58" t="s">
        <v>462</v>
      </c>
      <c r="H7" s="58" t="s">
        <v>531</v>
      </c>
      <c r="I7" s="58" t="s">
        <v>532</v>
      </c>
      <c r="J7" s="58" t="s">
        <v>133</v>
      </c>
      <c r="K7" s="58" t="s">
        <v>133</v>
      </c>
      <c r="L7" s="58" t="s">
        <v>60</v>
      </c>
      <c r="M7" s="58" t="s">
        <v>60</v>
      </c>
      <c r="N7" s="58" t="s">
        <v>533</v>
      </c>
      <c r="O7" s="56" t="s">
        <v>284</v>
      </c>
      <c r="P7" s="56">
        <v>8</v>
      </c>
      <c r="Q7" s="58" t="s">
        <v>534</v>
      </c>
      <c r="R7" s="56"/>
      <c r="S7" s="56"/>
      <c r="T7" s="56"/>
      <c r="U7" s="56"/>
      <c r="V7" s="56"/>
      <c r="W7" s="56"/>
      <c r="X7" s="56"/>
      <c r="Y7" s="56"/>
      <c r="Z7" s="56"/>
      <c r="AA7" s="56"/>
      <c r="AB7" s="58" t="s">
        <v>535</v>
      </c>
      <c r="AC7" s="58" t="s">
        <v>68</v>
      </c>
      <c r="AD7" s="58" t="s">
        <v>220</v>
      </c>
      <c r="AE7" s="56" t="s">
        <v>160</v>
      </c>
      <c r="AF7" s="58" t="s">
        <v>107</v>
      </c>
      <c r="AG7" s="58" t="s">
        <v>124</v>
      </c>
      <c r="AH7" s="58" t="s">
        <v>138</v>
      </c>
      <c r="AI7" s="56">
        <v>9</v>
      </c>
      <c r="AJ7" s="57">
        <v>45726</v>
      </c>
      <c r="AK7" s="60">
        <v>4.6527777777777779E-2</v>
      </c>
      <c r="AL7" s="57">
        <v>45726</v>
      </c>
      <c r="AM7" s="60">
        <v>0.16180555555555556</v>
      </c>
      <c r="AN7" s="57">
        <v>45727</v>
      </c>
      <c r="AO7" s="60">
        <v>0.44234953703703705</v>
      </c>
      <c r="AP7" s="56">
        <v>2025</v>
      </c>
      <c r="AQ7" s="61">
        <v>11</v>
      </c>
      <c r="AR7" s="61">
        <v>3</v>
      </c>
      <c r="AS7" s="61">
        <v>10</v>
      </c>
      <c r="AT7" s="62">
        <v>69</v>
      </c>
      <c r="AU7" s="63">
        <v>45726.046527777777</v>
      </c>
      <c r="AV7" s="56">
        <v>1</v>
      </c>
      <c r="AW7" t="s">
        <v>534</v>
      </c>
      <c r="AX7" s="58"/>
      <c r="AY7" s="58" t="s">
        <v>536</v>
      </c>
      <c r="AZ7" s="58" t="s">
        <v>60</v>
      </c>
      <c r="BA7" s="56" t="s">
        <v>506</v>
      </c>
      <c r="BB7" s="58" t="s">
        <v>173</v>
      </c>
    </row>
    <row r="8" spans="1:54" x14ac:dyDescent="0.3">
      <c r="A8" s="56" t="s">
        <v>574</v>
      </c>
      <c r="B8" s="57">
        <v>45743</v>
      </c>
      <c r="C8" s="58" t="s">
        <v>98</v>
      </c>
      <c r="D8" s="59">
        <v>0.91666666666666663</v>
      </c>
      <c r="E8" s="59">
        <v>0.94666666666666666</v>
      </c>
      <c r="F8" s="58" t="s">
        <v>537</v>
      </c>
      <c r="G8" s="58" t="s">
        <v>462</v>
      </c>
      <c r="H8" s="58" t="s">
        <v>486</v>
      </c>
      <c r="I8" s="58" t="s">
        <v>575</v>
      </c>
      <c r="J8" s="58" t="s">
        <v>576</v>
      </c>
      <c r="K8" s="58" t="s">
        <v>166</v>
      </c>
      <c r="L8" s="58" t="s">
        <v>577</v>
      </c>
      <c r="M8" s="58" t="s">
        <v>361</v>
      </c>
      <c r="N8" s="58" t="s">
        <v>578</v>
      </c>
      <c r="O8" s="56" t="s">
        <v>262</v>
      </c>
      <c r="P8" s="56">
        <v>6</v>
      </c>
      <c r="Q8" s="58" t="s">
        <v>579</v>
      </c>
      <c r="R8" s="56"/>
      <c r="S8" s="56"/>
      <c r="T8" s="56"/>
      <c r="U8" s="56"/>
      <c r="V8" s="56"/>
      <c r="W8" s="56"/>
      <c r="X8" s="56"/>
      <c r="Y8" s="56"/>
      <c r="Z8" s="56"/>
      <c r="AA8" s="56"/>
      <c r="AB8" s="58" t="s">
        <v>417</v>
      </c>
      <c r="AC8" s="58" t="s">
        <v>68</v>
      </c>
      <c r="AD8" s="58" t="s">
        <v>580</v>
      </c>
      <c r="AE8" s="56" t="s">
        <v>122</v>
      </c>
      <c r="AF8" s="58" t="s">
        <v>379</v>
      </c>
      <c r="AG8" s="58" t="s">
        <v>124</v>
      </c>
      <c r="AH8" s="58"/>
      <c r="AI8" s="56">
        <v>9</v>
      </c>
      <c r="AJ8" s="57">
        <v>45743</v>
      </c>
      <c r="AK8" s="60">
        <v>0.94666666666666666</v>
      </c>
      <c r="AL8" s="57"/>
      <c r="AM8" s="60"/>
      <c r="AN8" s="57">
        <v>45743</v>
      </c>
      <c r="AO8" s="60">
        <v>0.94666666666666666</v>
      </c>
      <c r="AP8" s="56">
        <v>2025</v>
      </c>
      <c r="AQ8" s="61">
        <v>13</v>
      </c>
      <c r="AR8" s="61">
        <v>5</v>
      </c>
      <c r="AS8" s="61">
        <v>27</v>
      </c>
      <c r="AT8" s="62">
        <v>86</v>
      </c>
      <c r="AU8" s="63">
        <v>45743.946527777778</v>
      </c>
      <c r="AV8" s="56">
        <v>211</v>
      </c>
      <c r="AW8" t="s">
        <v>579</v>
      </c>
      <c r="AX8" s="58"/>
      <c r="AY8" s="58" t="s">
        <v>60</v>
      </c>
      <c r="AZ8" s="58" t="s">
        <v>581</v>
      </c>
      <c r="BA8" s="56" t="s">
        <v>582</v>
      </c>
      <c r="BB8" s="58" t="s">
        <v>110</v>
      </c>
    </row>
    <row r="9" spans="1:54" x14ac:dyDescent="0.3">
      <c r="A9" s="56" t="s">
        <v>583</v>
      </c>
      <c r="B9" s="57">
        <v>45743</v>
      </c>
      <c r="C9" s="58" t="s">
        <v>98</v>
      </c>
      <c r="D9" s="59">
        <v>0.95833333333333337</v>
      </c>
      <c r="E9" s="59">
        <v>0.97916666666666663</v>
      </c>
      <c r="F9" s="58" t="s">
        <v>537</v>
      </c>
      <c r="G9" s="58" t="s">
        <v>462</v>
      </c>
      <c r="H9" s="58" t="s">
        <v>531</v>
      </c>
      <c r="I9" s="58" t="s">
        <v>584</v>
      </c>
      <c r="J9" s="58" t="s">
        <v>133</v>
      </c>
      <c r="K9" s="58" t="s">
        <v>133</v>
      </c>
      <c r="L9" s="58" t="s">
        <v>60</v>
      </c>
      <c r="M9" s="58" t="s">
        <v>60</v>
      </c>
      <c r="N9" s="58" t="s">
        <v>585</v>
      </c>
      <c r="O9" s="56" t="s">
        <v>284</v>
      </c>
      <c r="P9" s="56">
        <v>8</v>
      </c>
      <c r="Q9" s="58" t="s">
        <v>586</v>
      </c>
      <c r="R9" s="56">
        <v>50300</v>
      </c>
      <c r="S9" s="56"/>
      <c r="T9" s="56"/>
      <c r="U9" s="56"/>
      <c r="V9" s="56"/>
      <c r="W9" s="56"/>
      <c r="X9" s="56"/>
      <c r="Y9" s="56"/>
      <c r="Z9" s="56"/>
      <c r="AA9" s="56"/>
      <c r="AB9" s="58" t="s">
        <v>158</v>
      </c>
      <c r="AC9" s="58" t="s">
        <v>68</v>
      </c>
      <c r="AD9" s="58" t="s">
        <v>481</v>
      </c>
      <c r="AE9" s="56" t="s">
        <v>352</v>
      </c>
      <c r="AF9" s="58" t="s">
        <v>587</v>
      </c>
      <c r="AG9" s="58" t="s">
        <v>124</v>
      </c>
      <c r="AH9" s="58"/>
      <c r="AI9" s="56">
        <v>9</v>
      </c>
      <c r="AJ9" s="57">
        <v>45743</v>
      </c>
      <c r="AK9" s="60">
        <v>0.97916666666666663</v>
      </c>
      <c r="AL9" s="57">
        <v>45744</v>
      </c>
      <c r="AM9" s="60">
        <v>2.5000000000000001E-2</v>
      </c>
      <c r="AN9" s="57">
        <v>45744</v>
      </c>
      <c r="AO9" s="60">
        <v>0.46781250000000002</v>
      </c>
      <c r="AP9" s="56">
        <v>2025</v>
      </c>
      <c r="AQ9" s="61">
        <v>13</v>
      </c>
      <c r="AR9" s="61">
        <v>5</v>
      </c>
      <c r="AS9" s="61">
        <v>27</v>
      </c>
      <c r="AT9" s="62">
        <v>86</v>
      </c>
      <c r="AU9" s="63">
        <v>45743.979166666664</v>
      </c>
      <c r="AV9" s="56">
        <v>2</v>
      </c>
      <c r="AW9" t="s">
        <v>586</v>
      </c>
      <c r="AX9" s="58"/>
      <c r="AY9" s="58" t="s">
        <v>588</v>
      </c>
      <c r="AZ9" s="58" t="s">
        <v>589</v>
      </c>
      <c r="BA9" s="56" t="s">
        <v>582</v>
      </c>
      <c r="BB9" s="58" t="s">
        <v>110</v>
      </c>
    </row>
    <row r="10" spans="1:54" x14ac:dyDescent="0.3">
      <c r="A10" s="56" t="s">
        <v>590</v>
      </c>
      <c r="B10" s="57">
        <v>45747</v>
      </c>
      <c r="C10" s="58" t="s">
        <v>55</v>
      </c>
      <c r="D10" s="59">
        <v>0.5</v>
      </c>
      <c r="E10" s="59">
        <v>0.5</v>
      </c>
      <c r="F10" s="58" t="s">
        <v>451</v>
      </c>
      <c r="G10" s="58" t="s">
        <v>462</v>
      </c>
      <c r="H10" s="58" t="s">
        <v>258</v>
      </c>
      <c r="I10" s="58" t="s">
        <v>591</v>
      </c>
      <c r="J10" s="58" t="s">
        <v>133</v>
      </c>
      <c r="K10" s="58" t="s">
        <v>133</v>
      </c>
      <c r="L10" s="58" t="s">
        <v>60</v>
      </c>
      <c r="M10" s="58" t="s">
        <v>60</v>
      </c>
      <c r="N10" s="58" t="s">
        <v>592</v>
      </c>
      <c r="O10" s="56" t="s">
        <v>593</v>
      </c>
      <c r="P10" s="56">
        <v>7</v>
      </c>
      <c r="Q10" s="58" t="s">
        <v>594</v>
      </c>
      <c r="R10" s="56"/>
      <c r="S10" s="56"/>
      <c r="T10" s="56"/>
      <c r="U10" s="56"/>
      <c r="V10" s="56"/>
      <c r="W10" s="56"/>
      <c r="X10" s="56"/>
      <c r="Y10" s="56"/>
      <c r="Z10" s="56"/>
      <c r="AA10" s="56"/>
      <c r="AB10" s="58" t="s">
        <v>569</v>
      </c>
      <c r="AC10" s="58" t="s">
        <v>68</v>
      </c>
      <c r="AD10" s="58" t="s">
        <v>595</v>
      </c>
      <c r="AE10" s="56" t="s">
        <v>91</v>
      </c>
      <c r="AF10" s="58"/>
      <c r="AG10" s="58"/>
      <c r="AH10" s="58"/>
      <c r="AI10" s="56">
        <v>9</v>
      </c>
      <c r="AJ10" s="57">
        <v>45747</v>
      </c>
      <c r="AK10" s="60">
        <v>0.5</v>
      </c>
      <c r="AL10" s="57"/>
      <c r="AM10" s="60"/>
      <c r="AN10" s="57">
        <v>45747</v>
      </c>
      <c r="AO10" s="60">
        <v>0.54355324074074074</v>
      </c>
      <c r="AP10" s="56">
        <v>2025</v>
      </c>
      <c r="AQ10" s="61">
        <v>14</v>
      </c>
      <c r="AR10" s="61">
        <v>6</v>
      </c>
      <c r="AS10" s="61">
        <v>31</v>
      </c>
      <c r="AT10" s="62">
        <v>90</v>
      </c>
      <c r="AU10" s="63">
        <v>45747.5</v>
      </c>
      <c r="AV10" s="56">
        <v>100</v>
      </c>
      <c r="AW10" t="s">
        <v>594</v>
      </c>
      <c r="AX10" s="58"/>
      <c r="AY10" s="58" t="s">
        <v>596</v>
      </c>
      <c r="AZ10" s="58" t="s">
        <v>597</v>
      </c>
      <c r="BA10" s="56" t="s">
        <v>582</v>
      </c>
      <c r="BB10" s="58" t="s">
        <v>77</v>
      </c>
    </row>
    <row r="11" spans="1:54" x14ac:dyDescent="0.3">
      <c r="A11" s="56" t="s">
        <v>598</v>
      </c>
      <c r="B11" s="57">
        <v>45748</v>
      </c>
      <c r="C11" s="58" t="s">
        <v>55</v>
      </c>
      <c r="D11" s="59">
        <v>0.5</v>
      </c>
      <c r="E11" s="59">
        <v>0.5</v>
      </c>
      <c r="F11" s="58" t="s">
        <v>452</v>
      </c>
      <c r="G11" s="58" t="s">
        <v>599</v>
      </c>
      <c r="H11" s="58" t="s">
        <v>600</v>
      </c>
      <c r="I11" s="58" t="s">
        <v>601</v>
      </c>
      <c r="J11" s="58" t="s">
        <v>133</v>
      </c>
      <c r="K11" s="58" t="s">
        <v>133</v>
      </c>
      <c r="L11" s="58" t="s">
        <v>60</v>
      </c>
      <c r="M11" s="58" t="s">
        <v>60</v>
      </c>
      <c r="N11" s="58" t="s">
        <v>602</v>
      </c>
      <c r="O11" s="56" t="s">
        <v>146</v>
      </c>
      <c r="P11" s="56">
        <v>5</v>
      </c>
      <c r="Q11" s="58" t="s">
        <v>603</v>
      </c>
      <c r="R11" s="56"/>
      <c r="S11" s="56"/>
      <c r="T11" s="56"/>
      <c r="U11" s="56"/>
      <c r="V11" s="56"/>
      <c r="W11" s="56"/>
      <c r="X11" s="56"/>
      <c r="Y11" s="56"/>
      <c r="Z11" s="56"/>
      <c r="AA11" s="56"/>
      <c r="AB11" s="58" t="s">
        <v>158</v>
      </c>
      <c r="AC11" s="58" t="s">
        <v>68</v>
      </c>
      <c r="AD11" s="58" t="s">
        <v>604</v>
      </c>
      <c r="AE11" s="56" t="s">
        <v>207</v>
      </c>
      <c r="AF11" s="58" t="s">
        <v>525</v>
      </c>
      <c r="AG11" s="58" t="s">
        <v>124</v>
      </c>
      <c r="AH11" s="58"/>
      <c r="AI11" s="56">
        <v>9</v>
      </c>
      <c r="AJ11" s="57">
        <v>45748</v>
      </c>
      <c r="AK11" s="60">
        <v>0.5</v>
      </c>
      <c r="AL11" s="57">
        <v>45751</v>
      </c>
      <c r="AM11" s="60">
        <v>0.52083333333333337</v>
      </c>
      <c r="AN11" s="57">
        <v>45751</v>
      </c>
      <c r="AO11" s="60">
        <v>0.54546296296296293</v>
      </c>
      <c r="AP11" s="56">
        <v>2025</v>
      </c>
      <c r="AQ11" s="61">
        <v>14</v>
      </c>
      <c r="AR11" s="61">
        <v>1</v>
      </c>
      <c r="AS11" s="61">
        <v>1</v>
      </c>
      <c r="AT11" s="62">
        <v>91</v>
      </c>
      <c r="AU11" s="63">
        <v>45748.5</v>
      </c>
      <c r="AV11" s="56">
        <v>75</v>
      </c>
      <c r="AW11" t="s">
        <v>603</v>
      </c>
      <c r="AX11" s="58"/>
      <c r="AY11" s="58" t="s">
        <v>60</v>
      </c>
      <c r="AZ11" s="58" t="s">
        <v>60</v>
      </c>
      <c r="BA11" s="56" t="s">
        <v>605</v>
      </c>
      <c r="BB11" s="58" t="s">
        <v>77</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A086C-B833-40E8-8DE0-053C329D2789}">
  <sheetPr codeName="Sheet4">
    <tabColor rgb="FFFFC000"/>
  </sheetPr>
  <dimension ref="A1:CK35"/>
  <sheetViews>
    <sheetView showGridLines="0" workbookViewId="0">
      <selection activeCell="J39" sqref="J39"/>
    </sheetView>
  </sheetViews>
  <sheetFormatPr defaultColWidth="8.88671875" defaultRowHeight="14.4" x14ac:dyDescent="0.3"/>
  <cols>
    <col min="1" max="1" width="22.109375" style="7" bestFit="1" customWidth="1"/>
    <col min="2" max="2" width="16.77734375" style="7" bestFit="1" customWidth="1"/>
    <col min="3" max="3" width="5.21875" style="7" bestFit="1" customWidth="1"/>
    <col min="4" max="5" width="6.109375" style="7" bestFit="1" customWidth="1"/>
    <col min="6" max="6" width="3.88671875" style="7" bestFit="1" customWidth="1"/>
    <col min="7" max="7" width="4.88671875" style="7" bestFit="1" customWidth="1"/>
    <col min="8" max="8" width="7.6640625" style="7" customWidth="1"/>
    <col min="9" max="9" width="17.33203125" style="7" bestFit="1" customWidth="1"/>
    <col min="10" max="10" width="14" style="7" bestFit="1" customWidth="1"/>
    <col min="11" max="11" width="4" style="7" bestFit="1" customWidth="1"/>
    <col min="12" max="12" width="3.5546875" style="7" bestFit="1" customWidth="1"/>
    <col min="13" max="13" width="14.44140625" style="7" bestFit="1" customWidth="1"/>
    <col min="14" max="14" width="11.6640625" style="7" bestFit="1" customWidth="1"/>
    <col min="15" max="15" width="22.88671875" style="7" bestFit="1" customWidth="1"/>
    <col min="16" max="16" width="14" style="7" bestFit="1" customWidth="1"/>
    <col min="17" max="17" width="11.5546875" style="7" bestFit="1" customWidth="1"/>
    <col min="18" max="18" width="11.88671875" style="7" bestFit="1" customWidth="1"/>
    <col min="19" max="19" width="14.44140625" style="7" bestFit="1" customWidth="1"/>
    <col min="20" max="20" width="21.88671875" style="7" bestFit="1" customWidth="1"/>
    <col min="21" max="21" width="16.33203125" style="7" bestFit="1" customWidth="1"/>
    <col min="22" max="22" width="60.44140625" style="7" bestFit="1" customWidth="1"/>
    <col min="23" max="23" width="19.33203125" style="7" bestFit="1" customWidth="1"/>
    <col min="24" max="24" width="20.5546875" style="7" bestFit="1" customWidth="1"/>
    <col min="25" max="25" width="20.33203125" style="7" bestFit="1" customWidth="1"/>
    <col min="26" max="26" width="36.109375" style="7" bestFit="1" customWidth="1"/>
    <col min="27" max="27" width="6.6640625" style="7" bestFit="1" customWidth="1"/>
    <col min="28" max="28" width="7.44140625" style="7" bestFit="1" customWidth="1"/>
    <col min="29" max="29" width="80.88671875" style="7" bestFit="1" customWidth="1"/>
    <col min="30" max="30" width="24.44140625" style="7" bestFit="1" customWidth="1"/>
    <col min="31" max="31" width="26.44140625" style="7" bestFit="1" customWidth="1"/>
    <col min="32" max="32" width="20.21875" style="7" bestFit="1" customWidth="1"/>
    <col min="33" max="33" width="12.44140625" style="7" bestFit="1" customWidth="1"/>
    <col min="34" max="34" width="13.33203125" style="7" bestFit="1" customWidth="1"/>
    <col min="35" max="35" width="17.109375" style="7" bestFit="1" customWidth="1"/>
    <col min="36" max="36" width="20.21875" style="7" bestFit="1" customWidth="1"/>
    <col min="37" max="37" width="17.109375" style="7" bestFit="1" customWidth="1"/>
    <col min="38" max="38" width="12.44140625" style="7" bestFit="1" customWidth="1"/>
    <col min="39" max="39" width="13.33203125" style="7" bestFit="1" customWidth="1"/>
    <col min="40" max="40" width="18.88671875" style="7" bestFit="1" customWidth="1"/>
    <col min="41" max="41" width="20.88671875" style="7" bestFit="1" customWidth="1"/>
    <col min="42" max="42" width="28.5546875" style="7" bestFit="1" customWidth="1"/>
    <col min="43" max="43" width="12" style="7" bestFit="1" customWidth="1"/>
    <col min="44" max="44" width="27.44140625" style="7" bestFit="1" customWidth="1"/>
    <col min="45" max="45" width="28.5546875" style="7" bestFit="1" customWidth="1"/>
    <col min="46" max="46" width="32" style="7" bestFit="1" customWidth="1"/>
    <col min="47" max="47" width="31.6640625" style="7" bestFit="1" customWidth="1"/>
    <col min="48" max="48" width="19.6640625" style="7" bestFit="1" customWidth="1"/>
    <col min="49" max="49" width="19.88671875" style="7" bestFit="1" customWidth="1"/>
    <col min="50" max="50" width="30.33203125" style="7" bestFit="1" customWidth="1"/>
    <col min="51" max="51" width="30.5546875" style="7" bestFit="1" customWidth="1"/>
    <col min="52" max="52" width="18.109375" style="7" bestFit="1" customWidth="1"/>
    <col min="53" max="53" width="18.33203125" style="7" bestFit="1" customWidth="1"/>
    <col min="54" max="54" width="10.21875" style="7" bestFit="1" customWidth="1"/>
    <col min="55" max="55" width="19.33203125" style="7" bestFit="1" customWidth="1"/>
    <col min="56" max="56" width="21.21875" style="7" bestFit="1" customWidth="1"/>
    <col min="57" max="57" width="9.44140625" style="7" bestFit="1" customWidth="1"/>
    <col min="58" max="58" width="17.21875" style="7" bestFit="1" customWidth="1"/>
    <col min="59" max="59" width="28.109375" style="7" bestFit="1" customWidth="1"/>
    <col min="60" max="60" width="8.77734375" style="7" bestFit="1" customWidth="1"/>
    <col min="61" max="61" width="80.88671875" style="7" bestFit="1" customWidth="1"/>
    <col min="62" max="62" width="14.77734375" style="7" bestFit="1" customWidth="1"/>
    <col min="63" max="64" width="80.88671875" style="7" bestFit="1" customWidth="1"/>
    <col min="65" max="65" width="22.33203125" style="7" bestFit="1" customWidth="1"/>
    <col min="66" max="66" width="25.88671875" style="7" bestFit="1" customWidth="1"/>
    <col min="67" max="16384" width="8.88671875" style="7"/>
  </cols>
  <sheetData>
    <row r="1" spans="1:89" ht="18" x14ac:dyDescent="0.35">
      <c r="A1" s="113" t="s">
        <v>1</v>
      </c>
      <c r="B1" s="7" t="s">
        <v>128</v>
      </c>
      <c r="H1" s="50"/>
      <c r="I1"/>
      <c r="J1"/>
      <c r="K1" s="50"/>
      <c r="L1" s="50"/>
      <c r="M1" t="s">
        <v>0</v>
      </c>
      <c r="N1" t="s">
        <v>1</v>
      </c>
      <c r="O1" t="s">
        <v>2</v>
      </c>
      <c r="P1" t="s">
        <v>3</v>
      </c>
      <c r="Q1" t="s">
        <v>4</v>
      </c>
      <c r="R1" t="s">
        <v>5</v>
      </c>
      <c r="S1" t="s">
        <v>6</v>
      </c>
      <c r="T1" t="s">
        <v>7</v>
      </c>
      <c r="U1" t="s">
        <v>8</v>
      </c>
      <c r="V1" t="s">
        <v>10</v>
      </c>
      <c r="W1" t="s">
        <v>9</v>
      </c>
      <c r="X1" t="s">
        <v>11</v>
      </c>
      <c r="Y1" t="s">
        <v>12</v>
      </c>
      <c r="Z1" t="s">
        <v>13</v>
      </c>
      <c r="AA1" t="s">
        <v>14</v>
      </c>
      <c r="AB1" t="s">
        <v>15</v>
      </c>
      <c r="AC1" s="18" t="s">
        <v>16</v>
      </c>
      <c r="AD1" s="18" t="s">
        <v>17</v>
      </c>
      <c r="AE1" s="18" t="s">
        <v>18</v>
      </c>
      <c r="AF1" s="18" t="s">
        <v>19</v>
      </c>
      <c r="AG1" s="18" t="s">
        <v>20</v>
      </c>
      <c r="AH1" s="18" t="s">
        <v>21</v>
      </c>
      <c r="AI1" s="18" t="s">
        <v>22</v>
      </c>
      <c r="AJ1" s="18" t="s">
        <v>23</v>
      </c>
      <c r="AK1" s="18" t="s">
        <v>24</v>
      </c>
      <c r="AL1" s="18" t="s">
        <v>25</v>
      </c>
      <c r="AM1" s="18" t="s">
        <v>26</v>
      </c>
      <c r="AN1" s="18" t="s">
        <v>27</v>
      </c>
      <c r="AO1" s="18" t="s">
        <v>28</v>
      </c>
      <c r="AP1" s="18" t="s">
        <v>29</v>
      </c>
      <c r="AQ1" s="18" t="s">
        <v>30</v>
      </c>
      <c r="AR1" s="18" t="s">
        <v>31</v>
      </c>
      <c r="AS1" s="18" t="s">
        <v>32</v>
      </c>
      <c r="AT1" s="18" t="s">
        <v>33</v>
      </c>
      <c r="AU1" s="18" t="s">
        <v>34</v>
      </c>
      <c r="AV1" s="31" t="s">
        <v>35</v>
      </c>
      <c r="AW1" s="22" t="s">
        <v>36</v>
      </c>
      <c r="AX1" s="31" t="s">
        <v>37</v>
      </c>
      <c r="AY1" s="22" t="s">
        <v>38</v>
      </c>
      <c r="AZ1" s="31" t="s">
        <v>39</v>
      </c>
      <c r="BA1" s="22" t="s">
        <v>40</v>
      </c>
      <c r="BB1" s="18" t="s">
        <v>41</v>
      </c>
      <c r="BC1" s="25" t="s">
        <v>42</v>
      </c>
      <c r="BD1" s="25" t="s">
        <v>43</v>
      </c>
      <c r="BE1" s="25" t="s">
        <v>44</v>
      </c>
      <c r="BF1" s="27" t="s">
        <v>45</v>
      </c>
      <c r="BG1" s="29" t="s">
        <v>46</v>
      </c>
      <c r="BH1" s="18" t="s">
        <v>47</v>
      </c>
      <c r="BI1" t="s">
        <v>460</v>
      </c>
      <c r="BJ1" s="18" t="s">
        <v>49</v>
      </c>
      <c r="BK1" s="18" t="s">
        <v>50</v>
      </c>
      <c r="BL1" s="18" t="s">
        <v>51</v>
      </c>
      <c r="BM1" s="18" t="s">
        <v>52</v>
      </c>
      <c r="BN1" s="18" t="s">
        <v>53</v>
      </c>
      <c r="CJ1" s="92" t="s">
        <v>662</v>
      </c>
      <c r="CK1" s="93" t="s">
        <v>600</v>
      </c>
    </row>
    <row r="2" spans="1:89" ht="18" x14ac:dyDescent="0.35">
      <c r="A2" s="113" t="s">
        <v>10</v>
      </c>
      <c r="B2" s="7" t="s">
        <v>128</v>
      </c>
      <c r="H2" s="50"/>
      <c r="I2"/>
      <c r="J2"/>
      <c r="K2" s="50"/>
      <c r="L2" s="50"/>
      <c r="M2" t="s">
        <v>130</v>
      </c>
      <c r="N2" s="1">
        <v>45673</v>
      </c>
      <c r="O2" t="s">
        <v>55</v>
      </c>
      <c r="P2" s="41">
        <v>0.5</v>
      </c>
      <c r="Q2" s="41">
        <v>0.5</v>
      </c>
      <c r="R2" t="s">
        <v>537</v>
      </c>
      <c r="S2" t="s">
        <v>56</v>
      </c>
      <c r="T2" t="s">
        <v>131</v>
      </c>
      <c r="U2" t="s">
        <v>132</v>
      </c>
      <c r="V2" t="s">
        <v>133</v>
      </c>
      <c r="W2" t="s">
        <v>133</v>
      </c>
      <c r="X2" t="s">
        <v>60</v>
      </c>
      <c r="Y2" t="s">
        <v>60</v>
      </c>
      <c r="Z2" t="s">
        <v>134</v>
      </c>
      <c r="AA2" t="s">
        <v>135</v>
      </c>
      <c r="AB2">
        <v>7</v>
      </c>
      <c r="AC2" s="58" t="s">
        <v>136</v>
      </c>
      <c r="AD2" s="56"/>
      <c r="AE2" s="56"/>
      <c r="AF2" s="56"/>
      <c r="AG2" s="56"/>
      <c r="AH2" s="56"/>
      <c r="AI2" s="56"/>
      <c r="AJ2" s="56"/>
      <c r="AK2" s="56"/>
      <c r="AL2" s="56"/>
      <c r="AM2" s="56"/>
      <c r="AN2" s="58" t="s">
        <v>67</v>
      </c>
      <c r="AO2" s="58" t="s">
        <v>68</v>
      </c>
      <c r="AP2" s="58" t="s">
        <v>137</v>
      </c>
      <c r="AQ2" s="56" t="s">
        <v>70</v>
      </c>
      <c r="AR2" s="58" t="s">
        <v>71</v>
      </c>
      <c r="AS2" s="58" t="s">
        <v>72</v>
      </c>
      <c r="AT2" s="58" t="s">
        <v>138</v>
      </c>
      <c r="AU2" s="56">
        <v>9</v>
      </c>
      <c r="AV2" s="57">
        <v>45673</v>
      </c>
      <c r="AW2" s="60">
        <v>0.5</v>
      </c>
      <c r="AX2" s="57">
        <v>45673</v>
      </c>
      <c r="AY2" s="60">
        <v>0.75</v>
      </c>
      <c r="AZ2" s="57">
        <v>45673</v>
      </c>
      <c r="BA2" s="60">
        <v>0.81587962962962968</v>
      </c>
      <c r="BB2" s="56">
        <v>2025</v>
      </c>
      <c r="BC2" s="61">
        <v>3</v>
      </c>
      <c r="BD2" s="61">
        <v>3</v>
      </c>
      <c r="BE2" s="61">
        <v>16</v>
      </c>
      <c r="BF2" s="62">
        <v>16</v>
      </c>
      <c r="BG2" s="63">
        <v>45673.5</v>
      </c>
      <c r="BH2" s="56">
        <v>30</v>
      </c>
      <c r="BI2" t="s">
        <v>136</v>
      </c>
      <c r="BJ2" s="58"/>
      <c r="BK2" s="58" t="s">
        <v>139</v>
      </c>
      <c r="BL2" s="58" t="s">
        <v>140</v>
      </c>
      <c r="BM2" s="56" t="s">
        <v>513</v>
      </c>
      <c r="BN2" s="58" t="s">
        <v>77</v>
      </c>
      <c r="CJ2" s="70" t="s">
        <v>35</v>
      </c>
      <c r="CK2" s="94">
        <v>45748</v>
      </c>
    </row>
    <row r="3" spans="1:89" ht="18" x14ac:dyDescent="0.35">
      <c r="H3" s="50"/>
      <c r="I3" s="50"/>
      <c r="J3" s="50"/>
      <c r="K3" s="50"/>
      <c r="L3" s="50"/>
      <c r="M3" t="s">
        <v>141</v>
      </c>
      <c r="N3" s="1">
        <v>45682</v>
      </c>
      <c r="O3" t="s">
        <v>142</v>
      </c>
      <c r="P3" s="41">
        <v>0.45833333333333331</v>
      </c>
      <c r="Q3" s="41">
        <v>0.45833333333333331</v>
      </c>
      <c r="R3" t="s">
        <v>456</v>
      </c>
      <c r="S3" t="s">
        <v>56</v>
      </c>
      <c r="T3" t="s">
        <v>143</v>
      </c>
      <c r="U3" t="s">
        <v>144</v>
      </c>
      <c r="V3" t="s">
        <v>133</v>
      </c>
      <c r="W3" t="s">
        <v>133</v>
      </c>
      <c r="X3" t="s">
        <v>60</v>
      </c>
      <c r="Y3" t="s">
        <v>60</v>
      </c>
      <c r="Z3" t="s">
        <v>145</v>
      </c>
      <c r="AA3" t="s">
        <v>146</v>
      </c>
      <c r="AB3">
        <v>5</v>
      </c>
      <c r="AC3" s="58" t="s">
        <v>147</v>
      </c>
      <c r="AD3" s="56"/>
      <c r="AE3" s="56"/>
      <c r="AF3" s="56"/>
      <c r="AG3" s="56"/>
      <c r="AH3" s="56"/>
      <c r="AI3" s="56"/>
      <c r="AJ3" s="56"/>
      <c r="AK3" s="56"/>
      <c r="AL3" s="56"/>
      <c r="AM3" s="56"/>
      <c r="AN3" s="58" t="s">
        <v>89</v>
      </c>
      <c r="AO3" s="58" t="s">
        <v>68</v>
      </c>
      <c r="AP3" s="58" t="s">
        <v>148</v>
      </c>
      <c r="AQ3" s="56" t="s">
        <v>91</v>
      </c>
      <c r="AR3" s="58" t="s">
        <v>71</v>
      </c>
      <c r="AS3" s="58" t="s">
        <v>124</v>
      </c>
      <c r="AT3" s="58" t="s">
        <v>138</v>
      </c>
      <c r="AU3" s="56">
        <v>9</v>
      </c>
      <c r="AV3" s="57">
        <v>45682</v>
      </c>
      <c r="AW3" s="60">
        <v>0.45833333333333331</v>
      </c>
      <c r="AX3" s="57">
        <v>45682</v>
      </c>
      <c r="AY3" s="60">
        <v>0.58333333333333337</v>
      </c>
      <c r="AZ3" s="57">
        <v>45682</v>
      </c>
      <c r="BA3" s="60">
        <v>0.58054398148148145</v>
      </c>
      <c r="BB3" s="56">
        <v>2025</v>
      </c>
      <c r="BC3" s="61">
        <v>4</v>
      </c>
      <c r="BD3" s="61">
        <v>4</v>
      </c>
      <c r="BE3" s="61">
        <v>25</v>
      </c>
      <c r="BF3" s="62">
        <v>25</v>
      </c>
      <c r="BG3" s="63">
        <v>45682.458333333336</v>
      </c>
      <c r="BH3" s="56">
        <v>60</v>
      </c>
      <c r="BI3" t="s">
        <v>147</v>
      </c>
      <c r="BJ3" s="58"/>
      <c r="BK3" s="58" t="s">
        <v>149</v>
      </c>
      <c r="BL3" s="58" t="s">
        <v>150</v>
      </c>
      <c r="BM3" s="56" t="s">
        <v>512</v>
      </c>
      <c r="BN3" s="58" t="s">
        <v>151</v>
      </c>
      <c r="CJ3" s="95" t="s">
        <v>650</v>
      </c>
      <c r="CK3" s="96" t="s">
        <v>452</v>
      </c>
    </row>
    <row r="4" spans="1:89" ht="18" x14ac:dyDescent="0.35">
      <c r="A4" s="115" t="s">
        <v>129</v>
      </c>
      <c r="B4" s="115" t="s">
        <v>5</v>
      </c>
      <c r="H4" s="50"/>
      <c r="I4"/>
      <c r="J4"/>
      <c r="K4"/>
      <c r="L4"/>
      <c r="M4" t="s">
        <v>152</v>
      </c>
      <c r="N4" s="1">
        <v>45688</v>
      </c>
      <c r="O4" t="s">
        <v>142</v>
      </c>
      <c r="P4" s="41">
        <v>0.45833333333333331</v>
      </c>
      <c r="Q4" s="41">
        <v>0.49988425925925928</v>
      </c>
      <c r="R4" t="s">
        <v>455</v>
      </c>
      <c r="S4" t="s">
        <v>56</v>
      </c>
      <c r="T4" t="s">
        <v>153</v>
      </c>
      <c r="U4" t="s">
        <v>154</v>
      </c>
      <c r="V4" t="s">
        <v>133</v>
      </c>
      <c r="W4" t="s">
        <v>133</v>
      </c>
      <c r="X4" t="s">
        <v>60</v>
      </c>
      <c r="Y4" t="s">
        <v>60</v>
      </c>
      <c r="Z4" t="s">
        <v>155</v>
      </c>
      <c r="AA4" t="s">
        <v>156</v>
      </c>
      <c r="AB4">
        <v>8</v>
      </c>
      <c r="AC4" s="58" t="s">
        <v>157</v>
      </c>
      <c r="AD4" s="56"/>
      <c r="AE4" s="56"/>
      <c r="AF4" s="56"/>
      <c r="AG4" s="56"/>
      <c r="AH4" s="56"/>
      <c r="AI4" s="56"/>
      <c r="AJ4" s="56"/>
      <c r="AK4" s="56"/>
      <c r="AL4" s="56"/>
      <c r="AM4" s="56"/>
      <c r="AN4" s="58" t="s">
        <v>158</v>
      </c>
      <c r="AO4" s="58" t="s">
        <v>68</v>
      </c>
      <c r="AP4" s="58" t="s">
        <v>159</v>
      </c>
      <c r="AQ4" s="56" t="s">
        <v>160</v>
      </c>
      <c r="AR4" s="58" t="s">
        <v>161</v>
      </c>
      <c r="AS4" s="58" t="s">
        <v>72</v>
      </c>
      <c r="AT4" s="58" t="s">
        <v>138</v>
      </c>
      <c r="AU4" s="56">
        <v>9</v>
      </c>
      <c r="AV4" s="57">
        <v>45688</v>
      </c>
      <c r="AW4" s="60">
        <v>0.49988425925925928</v>
      </c>
      <c r="AX4" s="57"/>
      <c r="AY4" s="60"/>
      <c r="AZ4" s="57">
        <v>45688</v>
      </c>
      <c r="BA4" s="60">
        <v>0.49988425925925928</v>
      </c>
      <c r="BB4" s="56">
        <v>2025</v>
      </c>
      <c r="BC4" s="61">
        <v>5</v>
      </c>
      <c r="BD4" s="61">
        <v>5</v>
      </c>
      <c r="BE4" s="61">
        <v>31</v>
      </c>
      <c r="BF4" s="62">
        <v>31</v>
      </c>
      <c r="BG4" s="63">
        <v>45688.499305555553</v>
      </c>
      <c r="BH4" s="56">
        <v>292</v>
      </c>
      <c r="BI4" t="s">
        <v>157</v>
      </c>
      <c r="BJ4" s="58"/>
      <c r="BK4" s="58" t="s">
        <v>60</v>
      </c>
      <c r="BL4" s="58" t="s">
        <v>60</v>
      </c>
      <c r="BM4" s="56" t="s">
        <v>511</v>
      </c>
      <c r="BN4" s="58" t="s">
        <v>151</v>
      </c>
      <c r="CJ4" s="70" t="s">
        <v>651</v>
      </c>
      <c r="CK4" s="97" t="s">
        <v>77</v>
      </c>
    </row>
    <row r="5" spans="1:89" ht="18" x14ac:dyDescent="0.35">
      <c r="A5" s="91" t="s">
        <v>450</v>
      </c>
      <c r="B5" s="8" t="s">
        <v>451</v>
      </c>
      <c r="C5" s="11" t="s">
        <v>452</v>
      </c>
      <c r="D5" s="11" t="s">
        <v>453</v>
      </c>
      <c r="E5" s="11" t="s">
        <v>537</v>
      </c>
      <c r="F5" s="11" t="s">
        <v>455</v>
      </c>
      <c r="G5" s="11" t="s">
        <v>456</v>
      </c>
      <c r="H5" s="50"/>
      <c r="I5"/>
      <c r="J5"/>
      <c r="K5"/>
      <c r="L5"/>
      <c r="M5" t="s">
        <v>162</v>
      </c>
      <c r="N5" s="1">
        <v>45693</v>
      </c>
      <c r="O5" t="s">
        <v>163</v>
      </c>
      <c r="P5" s="41">
        <v>8.3333333333333329E-2</v>
      </c>
      <c r="Q5" s="41">
        <v>0.12291666666666666</v>
      </c>
      <c r="R5" t="s">
        <v>453</v>
      </c>
      <c r="S5" t="s">
        <v>112</v>
      </c>
      <c r="T5" t="s">
        <v>164</v>
      </c>
      <c r="U5" t="s">
        <v>165</v>
      </c>
      <c r="V5" t="s">
        <v>167</v>
      </c>
      <c r="W5" t="s">
        <v>166</v>
      </c>
      <c r="X5" t="s">
        <v>168</v>
      </c>
      <c r="Y5" t="s">
        <v>60</v>
      </c>
      <c r="Z5" t="s">
        <v>169</v>
      </c>
      <c r="AA5" t="s">
        <v>156</v>
      </c>
      <c r="AB5">
        <v>8</v>
      </c>
      <c r="AC5" s="58" t="s">
        <v>170</v>
      </c>
      <c r="AD5" s="56"/>
      <c r="AE5" s="56"/>
      <c r="AF5" s="56"/>
      <c r="AG5" s="56"/>
      <c r="AH5" s="56"/>
      <c r="AI5" s="56"/>
      <c r="AJ5" s="56"/>
      <c r="AK5" s="56"/>
      <c r="AL5" s="56"/>
      <c r="AM5" s="56"/>
      <c r="AN5" s="58" t="s">
        <v>120</v>
      </c>
      <c r="AO5" s="58" t="s">
        <v>68</v>
      </c>
      <c r="AP5" s="58" t="s">
        <v>171</v>
      </c>
      <c r="AQ5" s="56" t="s">
        <v>91</v>
      </c>
      <c r="AR5" s="58" t="s">
        <v>172</v>
      </c>
      <c r="AS5" s="58" t="s">
        <v>124</v>
      </c>
      <c r="AT5" s="58" t="s">
        <v>138</v>
      </c>
      <c r="AU5" s="56">
        <v>9</v>
      </c>
      <c r="AV5" s="57">
        <v>45693</v>
      </c>
      <c r="AW5" s="60">
        <v>0.12291666666666666</v>
      </c>
      <c r="AX5" s="57"/>
      <c r="AY5" s="60"/>
      <c r="AZ5" s="57">
        <v>45693</v>
      </c>
      <c r="BA5" s="60">
        <v>0.1233912037037037</v>
      </c>
      <c r="BB5" s="56">
        <v>2025</v>
      </c>
      <c r="BC5" s="61">
        <v>6</v>
      </c>
      <c r="BD5" s="61">
        <v>2</v>
      </c>
      <c r="BE5" s="61">
        <v>5</v>
      </c>
      <c r="BF5" s="62">
        <v>36</v>
      </c>
      <c r="BG5" s="63">
        <v>45693.122916666667</v>
      </c>
      <c r="BH5" s="56">
        <v>441</v>
      </c>
      <c r="BI5" t="s">
        <v>170</v>
      </c>
      <c r="BJ5" s="58"/>
      <c r="BK5" s="58" t="s">
        <v>60</v>
      </c>
      <c r="BL5" s="58" t="s">
        <v>60</v>
      </c>
      <c r="BM5" s="56" t="s">
        <v>510</v>
      </c>
      <c r="BN5" s="58" t="s">
        <v>173</v>
      </c>
      <c r="CJ5" s="95" t="s">
        <v>663</v>
      </c>
      <c r="CK5" s="98" t="s">
        <v>735</v>
      </c>
    </row>
    <row r="6" spans="1:89" ht="18" x14ac:dyDescent="0.35">
      <c r="A6" s="7" t="s">
        <v>77</v>
      </c>
      <c r="B6" s="7">
        <v>2</v>
      </c>
      <c r="C6" s="7">
        <v>1</v>
      </c>
      <c r="E6" s="7">
        <v>1</v>
      </c>
      <c r="H6" s="50"/>
      <c r="I6"/>
      <c r="J6"/>
      <c r="K6"/>
      <c r="L6"/>
      <c r="M6" t="s">
        <v>174</v>
      </c>
      <c r="N6" s="1">
        <v>45705</v>
      </c>
      <c r="O6" t="s">
        <v>55</v>
      </c>
      <c r="P6" s="41">
        <v>0.5</v>
      </c>
      <c r="Q6" s="41">
        <v>0.52497685185185183</v>
      </c>
      <c r="R6" t="s">
        <v>451</v>
      </c>
      <c r="S6" t="s">
        <v>112</v>
      </c>
      <c r="T6" t="s">
        <v>99</v>
      </c>
      <c r="U6" t="s">
        <v>175</v>
      </c>
      <c r="V6" t="s">
        <v>176</v>
      </c>
      <c r="W6" t="s">
        <v>166</v>
      </c>
      <c r="X6" t="s">
        <v>177</v>
      </c>
      <c r="Y6" t="s">
        <v>60</v>
      </c>
      <c r="Z6" t="s">
        <v>178</v>
      </c>
      <c r="AA6" t="s">
        <v>179</v>
      </c>
      <c r="AB6">
        <v>9</v>
      </c>
      <c r="AC6" s="58" t="s">
        <v>180</v>
      </c>
      <c r="AD6" s="56"/>
      <c r="AE6" s="56"/>
      <c r="AF6" s="56"/>
      <c r="AG6" s="56"/>
      <c r="AH6" s="56"/>
      <c r="AI6" s="56"/>
      <c r="AJ6" s="56"/>
      <c r="AK6" s="56"/>
      <c r="AL6" s="56"/>
      <c r="AM6" s="56"/>
      <c r="AN6" s="58" t="s">
        <v>67</v>
      </c>
      <c r="AO6" s="58" t="s">
        <v>68</v>
      </c>
      <c r="AP6" s="58" t="s">
        <v>69</v>
      </c>
      <c r="AQ6" s="56" t="s">
        <v>70</v>
      </c>
      <c r="AR6" s="58" t="s">
        <v>181</v>
      </c>
      <c r="AS6" s="58" t="s">
        <v>182</v>
      </c>
      <c r="AT6" s="58" t="s">
        <v>138</v>
      </c>
      <c r="AU6" s="56">
        <v>9</v>
      </c>
      <c r="AV6" s="57">
        <v>45705</v>
      </c>
      <c r="AW6" s="60">
        <v>0.52497685185185183</v>
      </c>
      <c r="AX6" s="57"/>
      <c r="AY6" s="60"/>
      <c r="AZ6" s="57">
        <v>45705</v>
      </c>
      <c r="BA6" s="60">
        <v>0.52497685185185183</v>
      </c>
      <c r="BB6" s="56">
        <v>2025</v>
      </c>
      <c r="BC6" s="61">
        <v>8</v>
      </c>
      <c r="BD6" s="61">
        <v>4</v>
      </c>
      <c r="BE6" s="61">
        <v>17</v>
      </c>
      <c r="BF6" s="62">
        <v>48</v>
      </c>
      <c r="BG6" s="63">
        <v>45705.524305555555</v>
      </c>
      <c r="BH6" s="56">
        <v>35</v>
      </c>
      <c r="BI6" t="s">
        <v>180</v>
      </c>
      <c r="BJ6" s="58"/>
      <c r="BK6" s="58" t="s">
        <v>183</v>
      </c>
      <c r="BL6" s="58" t="s">
        <v>184</v>
      </c>
      <c r="BM6" s="56" t="s">
        <v>509</v>
      </c>
      <c r="BN6" s="58" t="s">
        <v>77</v>
      </c>
      <c r="CJ6" s="70" t="s">
        <v>654</v>
      </c>
      <c r="CK6" s="97" t="s">
        <v>573</v>
      </c>
    </row>
    <row r="7" spans="1:89" ht="18" x14ac:dyDescent="0.35">
      <c r="A7" s="7" t="s">
        <v>173</v>
      </c>
      <c r="B7" s="7">
        <v>1</v>
      </c>
      <c r="D7" s="7">
        <v>1</v>
      </c>
      <c r="H7" s="50"/>
      <c r="I7"/>
      <c r="J7"/>
      <c r="K7"/>
      <c r="L7"/>
      <c r="M7" t="s">
        <v>530</v>
      </c>
      <c r="N7" s="1">
        <v>45726</v>
      </c>
      <c r="O7" t="s">
        <v>163</v>
      </c>
      <c r="P7" s="41">
        <v>4.1666666666666664E-2</v>
      </c>
      <c r="Q7" s="41">
        <v>4.6527777777777779E-2</v>
      </c>
      <c r="R7" t="s">
        <v>451</v>
      </c>
      <c r="S7" t="s">
        <v>462</v>
      </c>
      <c r="T7" t="s">
        <v>531</v>
      </c>
      <c r="U7" t="s">
        <v>532</v>
      </c>
      <c r="V7" t="s">
        <v>133</v>
      </c>
      <c r="W7" t="s">
        <v>133</v>
      </c>
      <c r="X7" t="s">
        <v>60</v>
      </c>
      <c r="Y7" t="s">
        <v>60</v>
      </c>
      <c r="Z7" t="s">
        <v>533</v>
      </c>
      <c r="AA7" t="s">
        <v>284</v>
      </c>
      <c r="AB7">
        <v>8</v>
      </c>
      <c r="AC7" s="58" t="s">
        <v>534</v>
      </c>
      <c r="AD7" s="56"/>
      <c r="AE7" s="56"/>
      <c r="AF7" s="56"/>
      <c r="AG7" s="56"/>
      <c r="AH7" s="56"/>
      <c r="AI7" s="56"/>
      <c r="AJ7" s="56"/>
      <c r="AK7" s="56"/>
      <c r="AL7" s="56"/>
      <c r="AM7" s="56"/>
      <c r="AN7" s="58" t="s">
        <v>535</v>
      </c>
      <c r="AO7" s="58" t="s">
        <v>68</v>
      </c>
      <c r="AP7" s="58" t="s">
        <v>220</v>
      </c>
      <c r="AQ7" s="56" t="s">
        <v>160</v>
      </c>
      <c r="AR7" s="58" t="s">
        <v>107</v>
      </c>
      <c r="AS7" s="58" t="s">
        <v>124</v>
      </c>
      <c r="AT7" s="58" t="s">
        <v>138</v>
      </c>
      <c r="AU7" s="56">
        <v>9</v>
      </c>
      <c r="AV7" s="57">
        <v>45726</v>
      </c>
      <c r="AW7" s="60">
        <v>4.6527777777777779E-2</v>
      </c>
      <c r="AX7" s="57">
        <v>45726</v>
      </c>
      <c r="AY7" s="60">
        <v>0.16180555555555556</v>
      </c>
      <c r="AZ7" s="57">
        <v>45727</v>
      </c>
      <c r="BA7" s="60">
        <v>0.44234953703703705</v>
      </c>
      <c r="BB7" s="56">
        <v>2025</v>
      </c>
      <c r="BC7" s="61">
        <v>11</v>
      </c>
      <c r="BD7" s="61">
        <v>3</v>
      </c>
      <c r="BE7" s="61">
        <v>10</v>
      </c>
      <c r="BF7" s="62">
        <v>69</v>
      </c>
      <c r="BG7" s="63">
        <v>45726.046527777777</v>
      </c>
      <c r="BH7" s="56">
        <v>1</v>
      </c>
      <c r="BI7" t="s">
        <v>534</v>
      </c>
      <c r="BJ7" s="58"/>
      <c r="BK7" s="58" t="s">
        <v>536</v>
      </c>
      <c r="BL7" s="58" t="s">
        <v>60</v>
      </c>
      <c r="BM7" s="56" t="s">
        <v>506</v>
      </c>
      <c r="BN7" s="58" t="s">
        <v>173</v>
      </c>
      <c r="CJ7" s="95" t="s">
        <v>664</v>
      </c>
      <c r="CK7" s="98" t="s">
        <v>573</v>
      </c>
    </row>
    <row r="8" spans="1:89" ht="18" x14ac:dyDescent="0.35">
      <c r="A8" s="7" t="s">
        <v>151</v>
      </c>
      <c r="F8" s="7">
        <v>1</v>
      </c>
      <c r="G8" s="7">
        <v>1</v>
      </c>
      <c r="H8" s="50"/>
      <c r="I8" s="47"/>
      <c r="J8" s="47"/>
      <c r="K8" s="47"/>
      <c r="L8" s="47"/>
      <c r="M8" t="s">
        <v>574</v>
      </c>
      <c r="N8" s="1">
        <v>45743</v>
      </c>
      <c r="O8" t="s">
        <v>98</v>
      </c>
      <c r="P8" s="41">
        <v>0.91666666666666663</v>
      </c>
      <c r="Q8" s="41">
        <v>0.94666666666666666</v>
      </c>
      <c r="R8" t="s">
        <v>537</v>
      </c>
      <c r="S8" t="s">
        <v>462</v>
      </c>
      <c r="T8" t="s">
        <v>486</v>
      </c>
      <c r="U8" t="s">
        <v>575</v>
      </c>
      <c r="V8" t="s">
        <v>576</v>
      </c>
      <c r="W8" t="s">
        <v>166</v>
      </c>
      <c r="X8" t="s">
        <v>577</v>
      </c>
      <c r="Y8" t="s">
        <v>361</v>
      </c>
      <c r="Z8" t="s">
        <v>578</v>
      </c>
      <c r="AA8" t="s">
        <v>262</v>
      </c>
      <c r="AB8">
        <v>6</v>
      </c>
      <c r="AC8" s="58" t="s">
        <v>579</v>
      </c>
      <c r="AD8" s="56"/>
      <c r="AE8" s="56"/>
      <c r="AF8" s="56"/>
      <c r="AG8" s="56"/>
      <c r="AH8" s="56"/>
      <c r="AI8" s="56"/>
      <c r="AJ8" s="56"/>
      <c r="AK8" s="56"/>
      <c r="AL8" s="56"/>
      <c r="AM8" s="56"/>
      <c r="AN8" s="58" t="s">
        <v>417</v>
      </c>
      <c r="AO8" s="58" t="s">
        <v>68</v>
      </c>
      <c r="AP8" s="58" t="s">
        <v>580</v>
      </c>
      <c r="AQ8" s="56" t="s">
        <v>122</v>
      </c>
      <c r="AR8" s="58" t="s">
        <v>379</v>
      </c>
      <c r="AS8" s="58" t="s">
        <v>124</v>
      </c>
      <c r="AT8" s="58"/>
      <c r="AU8" s="56">
        <v>9</v>
      </c>
      <c r="AV8" s="57">
        <v>45743</v>
      </c>
      <c r="AW8" s="60">
        <v>0.94666666666666666</v>
      </c>
      <c r="AX8" s="57"/>
      <c r="AY8" s="60"/>
      <c r="AZ8" s="57">
        <v>45743</v>
      </c>
      <c r="BA8" s="60">
        <v>0.94666666666666666</v>
      </c>
      <c r="BB8" s="56">
        <v>2025</v>
      </c>
      <c r="BC8" s="61">
        <v>13</v>
      </c>
      <c r="BD8" s="61">
        <v>5</v>
      </c>
      <c r="BE8" s="61">
        <v>27</v>
      </c>
      <c r="BF8" s="62">
        <v>86</v>
      </c>
      <c r="BG8" s="63">
        <v>45743.946527777778</v>
      </c>
      <c r="BH8" s="56">
        <v>211</v>
      </c>
      <c r="BI8" t="s">
        <v>579</v>
      </c>
      <c r="BJ8" s="58"/>
      <c r="BK8" s="58" t="s">
        <v>60</v>
      </c>
      <c r="BL8" s="58" t="s">
        <v>581</v>
      </c>
      <c r="BM8" s="56" t="s">
        <v>582</v>
      </c>
      <c r="BN8" s="58" t="s">
        <v>110</v>
      </c>
      <c r="CJ8" s="70" t="s">
        <v>665</v>
      </c>
      <c r="CK8" s="97" t="s">
        <v>736</v>
      </c>
    </row>
    <row r="9" spans="1:89" ht="18" x14ac:dyDescent="0.35">
      <c r="A9" s="7" t="s">
        <v>110</v>
      </c>
      <c r="E9" s="7">
        <v>2</v>
      </c>
      <c r="H9" s="50"/>
      <c r="I9" s="50"/>
      <c r="J9" s="50"/>
      <c r="K9" s="50"/>
      <c r="L9" s="50"/>
      <c r="M9" t="s">
        <v>583</v>
      </c>
      <c r="N9" s="1">
        <v>45743</v>
      </c>
      <c r="O9" t="s">
        <v>98</v>
      </c>
      <c r="P9" s="41">
        <v>0.95833333333333337</v>
      </c>
      <c r="Q9" s="41">
        <v>0.97916666666666663</v>
      </c>
      <c r="R9" t="s">
        <v>537</v>
      </c>
      <c r="S9" t="s">
        <v>462</v>
      </c>
      <c r="T9" t="s">
        <v>531</v>
      </c>
      <c r="U9" t="s">
        <v>584</v>
      </c>
      <c r="V9" t="s">
        <v>133</v>
      </c>
      <c r="W9" t="s">
        <v>133</v>
      </c>
      <c r="X9" t="s">
        <v>60</v>
      </c>
      <c r="Y9" t="s">
        <v>60</v>
      </c>
      <c r="Z9" t="s">
        <v>585</v>
      </c>
      <c r="AA9" t="s">
        <v>284</v>
      </c>
      <c r="AB9">
        <v>8</v>
      </c>
      <c r="AC9" s="58" t="s">
        <v>586</v>
      </c>
      <c r="AD9" s="56">
        <v>50300</v>
      </c>
      <c r="AE9" s="56"/>
      <c r="AF9" s="56"/>
      <c r="AG9" s="56"/>
      <c r="AH9" s="56"/>
      <c r="AI9" s="56"/>
      <c r="AJ9" s="56"/>
      <c r="AK9" s="56"/>
      <c r="AL9" s="56"/>
      <c r="AM9" s="56"/>
      <c r="AN9" s="58" t="s">
        <v>158</v>
      </c>
      <c r="AO9" s="58" t="s">
        <v>68</v>
      </c>
      <c r="AP9" s="58" t="s">
        <v>481</v>
      </c>
      <c r="AQ9" s="56" t="s">
        <v>352</v>
      </c>
      <c r="AR9" s="58" t="s">
        <v>587</v>
      </c>
      <c r="AS9" s="58" t="s">
        <v>124</v>
      </c>
      <c r="AT9" s="58"/>
      <c r="AU9" s="56">
        <v>9</v>
      </c>
      <c r="AV9" s="57">
        <v>45743</v>
      </c>
      <c r="AW9" s="60">
        <v>0.97916666666666663</v>
      </c>
      <c r="AX9" s="57">
        <v>45744</v>
      </c>
      <c r="AY9" s="60">
        <v>2.5000000000000001E-2</v>
      </c>
      <c r="AZ9" s="57">
        <v>45744</v>
      </c>
      <c r="BA9" s="60">
        <v>0.46781250000000002</v>
      </c>
      <c r="BB9" s="56">
        <v>2025</v>
      </c>
      <c r="BC9" s="61">
        <v>13</v>
      </c>
      <c r="BD9" s="61">
        <v>5</v>
      </c>
      <c r="BE9" s="61">
        <v>27</v>
      </c>
      <c r="BF9" s="62">
        <v>86</v>
      </c>
      <c r="BG9" s="63">
        <v>45743.979166666664</v>
      </c>
      <c r="BH9" s="56">
        <v>2</v>
      </c>
      <c r="BI9" t="s">
        <v>586</v>
      </c>
      <c r="BJ9" s="58"/>
      <c r="BK9" s="58" t="s">
        <v>588</v>
      </c>
      <c r="BL9" s="58" t="s">
        <v>589</v>
      </c>
      <c r="BM9" s="56" t="s">
        <v>582</v>
      </c>
      <c r="BN9" s="58" t="s">
        <v>110</v>
      </c>
      <c r="CJ9" s="95" t="s">
        <v>656</v>
      </c>
      <c r="CK9" s="98" t="s">
        <v>573</v>
      </c>
    </row>
    <row r="10" spans="1:89" ht="18" x14ac:dyDescent="0.35">
      <c r="A10"/>
      <c r="B10"/>
      <c r="C10"/>
      <c r="D10"/>
      <c r="E10"/>
      <c r="F10"/>
      <c r="G10"/>
      <c r="H10" s="50"/>
      <c r="I10" s="50"/>
      <c r="J10" s="50"/>
      <c r="K10" s="50"/>
      <c r="L10" s="50"/>
      <c r="M10" t="s">
        <v>590</v>
      </c>
      <c r="N10" s="1">
        <v>45747</v>
      </c>
      <c r="O10" t="s">
        <v>55</v>
      </c>
      <c r="P10" s="41">
        <v>0.5</v>
      </c>
      <c r="Q10" s="41">
        <v>0.5</v>
      </c>
      <c r="R10" t="s">
        <v>451</v>
      </c>
      <c r="S10" t="s">
        <v>462</v>
      </c>
      <c r="T10" t="s">
        <v>258</v>
      </c>
      <c r="U10" t="s">
        <v>591</v>
      </c>
      <c r="V10" t="s">
        <v>133</v>
      </c>
      <c r="W10" t="s">
        <v>133</v>
      </c>
      <c r="X10" t="s">
        <v>60</v>
      </c>
      <c r="Y10" t="s">
        <v>60</v>
      </c>
      <c r="Z10" t="s">
        <v>592</v>
      </c>
      <c r="AA10" t="s">
        <v>593</v>
      </c>
      <c r="AB10">
        <v>7</v>
      </c>
      <c r="AC10" s="58" t="s">
        <v>594</v>
      </c>
      <c r="AD10" s="56"/>
      <c r="AE10" s="56"/>
      <c r="AF10" s="56"/>
      <c r="AG10" s="56"/>
      <c r="AH10" s="56"/>
      <c r="AI10" s="56"/>
      <c r="AJ10" s="56"/>
      <c r="AK10" s="56"/>
      <c r="AL10" s="56"/>
      <c r="AM10" s="56"/>
      <c r="AN10" s="58" t="s">
        <v>569</v>
      </c>
      <c r="AO10" s="58" t="s">
        <v>68</v>
      </c>
      <c r="AP10" s="58" t="s">
        <v>595</v>
      </c>
      <c r="AQ10" s="56" t="s">
        <v>91</v>
      </c>
      <c r="AR10" s="58"/>
      <c r="AS10" s="58"/>
      <c r="AT10" s="58"/>
      <c r="AU10" s="56">
        <v>9</v>
      </c>
      <c r="AV10" s="57">
        <v>45747</v>
      </c>
      <c r="AW10" s="60">
        <v>0.5</v>
      </c>
      <c r="AX10" s="57"/>
      <c r="AY10" s="60"/>
      <c r="AZ10" s="57">
        <v>45747</v>
      </c>
      <c r="BA10" s="60">
        <v>0.54355324074074074</v>
      </c>
      <c r="BB10" s="56">
        <v>2025</v>
      </c>
      <c r="BC10" s="61">
        <v>14</v>
      </c>
      <c r="BD10" s="61">
        <v>6</v>
      </c>
      <c r="BE10" s="61">
        <v>31</v>
      </c>
      <c r="BF10" s="62">
        <v>90</v>
      </c>
      <c r="BG10" s="63">
        <v>45747.5</v>
      </c>
      <c r="BH10" s="56">
        <v>100</v>
      </c>
      <c r="BI10" t="s">
        <v>594</v>
      </c>
      <c r="BJ10" s="58"/>
      <c r="BK10" s="58" t="s">
        <v>596</v>
      </c>
      <c r="BL10" s="58" t="s">
        <v>597</v>
      </c>
      <c r="BM10" s="56" t="s">
        <v>582</v>
      </c>
      <c r="BN10" s="58" t="s">
        <v>77</v>
      </c>
      <c r="CJ10" s="70" t="s">
        <v>657</v>
      </c>
      <c r="CK10" s="97" t="s">
        <v>573</v>
      </c>
    </row>
    <row r="11" spans="1:89" ht="18" x14ac:dyDescent="0.3">
      <c r="A11"/>
      <c r="B11"/>
      <c r="C11"/>
      <c r="D11"/>
      <c r="E11"/>
      <c r="F11"/>
      <c r="G11"/>
      <c r="H11"/>
      <c r="M11" t="s">
        <v>598</v>
      </c>
      <c r="N11" s="1">
        <v>45748</v>
      </c>
      <c r="O11" t="s">
        <v>55</v>
      </c>
      <c r="P11" s="41">
        <v>0.5</v>
      </c>
      <c r="Q11" s="41">
        <v>0.5</v>
      </c>
      <c r="R11" t="s">
        <v>452</v>
      </c>
      <c r="S11" t="s">
        <v>599</v>
      </c>
      <c r="T11" t="s">
        <v>600</v>
      </c>
      <c r="U11" t="s">
        <v>601</v>
      </c>
      <c r="V11" t="s">
        <v>133</v>
      </c>
      <c r="W11" t="s">
        <v>133</v>
      </c>
      <c r="X11" t="s">
        <v>60</v>
      </c>
      <c r="Y11" t="s">
        <v>60</v>
      </c>
      <c r="Z11" t="s">
        <v>602</v>
      </c>
      <c r="AA11" t="s">
        <v>146</v>
      </c>
      <c r="AB11">
        <v>5</v>
      </c>
      <c r="AC11" s="58" t="s">
        <v>603</v>
      </c>
      <c r="AD11" s="56"/>
      <c r="AE11" s="56"/>
      <c r="AF11" s="56"/>
      <c r="AG11" s="56"/>
      <c r="AH11" s="56"/>
      <c r="AI11" s="56"/>
      <c r="AJ11" s="56"/>
      <c r="AK11" s="56"/>
      <c r="AL11" s="56"/>
      <c r="AM11" s="56"/>
      <c r="AN11" s="58" t="s">
        <v>158</v>
      </c>
      <c r="AO11" s="58" t="s">
        <v>68</v>
      </c>
      <c r="AP11" s="58" t="s">
        <v>604</v>
      </c>
      <c r="AQ11" s="56" t="s">
        <v>207</v>
      </c>
      <c r="AR11" s="58" t="s">
        <v>525</v>
      </c>
      <c r="AS11" s="58" t="s">
        <v>124</v>
      </c>
      <c r="AT11" s="58"/>
      <c r="AU11" s="56">
        <v>9</v>
      </c>
      <c r="AV11" s="57">
        <v>45748</v>
      </c>
      <c r="AW11" s="60">
        <v>0.5</v>
      </c>
      <c r="AX11" s="57">
        <v>45751</v>
      </c>
      <c r="AY11" s="60">
        <v>0.52083333333333337</v>
      </c>
      <c r="AZ11" s="57">
        <v>45751</v>
      </c>
      <c r="BA11" s="60">
        <v>0.54546296296296293</v>
      </c>
      <c r="BB11" s="56">
        <v>2025</v>
      </c>
      <c r="BC11" s="61">
        <v>14</v>
      </c>
      <c r="BD11" s="61">
        <v>1</v>
      </c>
      <c r="BE11" s="61">
        <v>1</v>
      </c>
      <c r="BF11" s="62">
        <v>91</v>
      </c>
      <c r="BG11" s="63">
        <v>45748.5</v>
      </c>
      <c r="BH11" s="56">
        <v>75</v>
      </c>
      <c r="BI11" t="s">
        <v>603</v>
      </c>
      <c r="BJ11" s="58"/>
      <c r="BK11" s="58" t="s">
        <v>60</v>
      </c>
      <c r="BL11" s="58" t="s">
        <v>60</v>
      </c>
      <c r="BM11" s="56" t="s">
        <v>605</v>
      </c>
      <c r="BN11" s="58" t="s">
        <v>77</v>
      </c>
      <c r="CJ11" s="99" t="s">
        <v>658</v>
      </c>
      <c r="CK11" s="100" t="s">
        <v>737</v>
      </c>
    </row>
    <row r="12" spans="1:89" s="8" customFormat="1" ht="18" x14ac:dyDescent="0.35">
      <c r="A12"/>
      <c r="B12"/>
      <c r="C12"/>
      <c r="D12"/>
      <c r="E12"/>
      <c r="F12"/>
      <c r="G12"/>
      <c r="H12"/>
      <c r="M12" s="7"/>
      <c r="N12" s="7"/>
      <c r="O12" s="7"/>
      <c r="P12" s="58"/>
      <c r="Q12" s="7"/>
      <c r="R12" s="58"/>
      <c r="S12" s="58"/>
      <c r="T12" s="58"/>
      <c r="U12" s="58"/>
      <c r="V12" s="58"/>
      <c r="W12" s="58"/>
      <c r="X12" s="58"/>
      <c r="Y12" s="58"/>
      <c r="Z12" s="58"/>
      <c r="AA12" s="58"/>
      <c r="AB12" s="58"/>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CJ12" s="70" t="s">
        <v>659</v>
      </c>
      <c r="CK12" s="116" t="s">
        <v>573</v>
      </c>
    </row>
    <row r="13" spans="1:89" s="9" customFormat="1" ht="18" x14ac:dyDescent="0.35">
      <c r="A13"/>
      <c r="B13"/>
      <c r="C13"/>
      <c r="D13"/>
      <c r="E13"/>
      <c r="F13"/>
      <c r="G13"/>
      <c r="H13"/>
      <c r="M13" s="7"/>
      <c r="N13" s="7"/>
      <c r="O13" s="7"/>
      <c r="P13" s="58"/>
      <c r="Q13" s="7"/>
      <c r="R13" s="58"/>
      <c r="S13" s="58"/>
      <c r="T13" s="58"/>
      <c r="U13" s="58"/>
      <c r="V13" s="58"/>
      <c r="W13" s="58"/>
      <c r="X13" s="58"/>
      <c r="Y13" s="58"/>
      <c r="Z13" s="58"/>
      <c r="AA13" s="58"/>
      <c r="AB13" s="58"/>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CJ13" s="95" t="s">
        <v>661</v>
      </c>
      <c r="CK13" s="98" t="s">
        <v>666</v>
      </c>
    </row>
    <row r="14" spans="1:89" s="9" customFormat="1" ht="24" thickBot="1" x14ac:dyDescent="0.5">
      <c r="A14" s="194" t="s">
        <v>457</v>
      </c>
      <c r="B14" s="194"/>
      <c r="C14" s="194"/>
      <c r="D14" s="194"/>
      <c r="E14" s="194"/>
      <c r="F14" s="194"/>
      <c r="G14" s="194"/>
      <c r="H14" s="194"/>
      <c r="M14" s="7"/>
      <c r="N14" s="7"/>
      <c r="O14" s="7"/>
      <c r="P14" s="58"/>
      <c r="Q14" s="7"/>
      <c r="R14" s="58"/>
      <c r="S14" s="58"/>
      <c r="T14" s="58"/>
      <c r="U14" s="58"/>
      <c r="V14" s="58"/>
      <c r="W14" s="58"/>
      <c r="X14" s="58"/>
      <c r="Y14" s="58"/>
      <c r="Z14" s="58"/>
      <c r="AA14" s="58"/>
      <c r="AB14" s="58"/>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CJ14" s="71" t="s">
        <v>460</v>
      </c>
      <c r="CK14" s="155" t="s">
        <v>738</v>
      </c>
    </row>
    <row r="15" spans="1:89" s="9" customFormat="1" ht="18" x14ac:dyDescent="0.35">
      <c r="A15" s="136" t="str" cm="1">
        <f t="array" ref="A15:G19">A5:G9</f>
        <v>Time of Day</v>
      </c>
      <c r="B15" s="137" t="str">
        <v>Mon</v>
      </c>
      <c r="C15" s="137" t="str">
        <v>Tue</v>
      </c>
      <c r="D15" s="136" t="str">
        <v>Wed</v>
      </c>
      <c r="E15" s="136" t="str">
        <v>Thur</v>
      </c>
      <c r="F15" s="136" t="str">
        <v>Fri</v>
      </c>
      <c r="G15" s="136" t="str">
        <v>Sat</v>
      </c>
      <c r="M15" s="7"/>
      <c r="N15" s="7"/>
      <c r="O15" s="7"/>
      <c r="P15" s="58"/>
      <c r="Q15" s="7"/>
      <c r="R15" s="58"/>
      <c r="S15" s="58"/>
      <c r="T15" s="58"/>
      <c r="U15" s="58"/>
      <c r="V15" s="58"/>
      <c r="W15" s="58"/>
      <c r="X15" s="58"/>
      <c r="Y15" s="58"/>
      <c r="Z15" s="58"/>
      <c r="AA15" s="58"/>
      <c r="AB15" s="58"/>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row>
    <row r="16" spans="1:89" ht="15.6" x14ac:dyDescent="0.3">
      <c r="A16" s="156" t="str">
        <v>Afternoon (12:00-15:59)</v>
      </c>
      <c r="B16" s="157">
        <v>2</v>
      </c>
      <c r="C16" s="157">
        <v>1</v>
      </c>
      <c r="D16" s="157">
        <v>0</v>
      </c>
      <c r="E16" s="157">
        <v>1</v>
      </c>
      <c r="F16" s="157">
        <v>0</v>
      </c>
      <c r="G16" s="157">
        <v>0</v>
      </c>
      <c r="H16"/>
      <c r="O16" s="9"/>
      <c r="P16" s="9"/>
      <c r="Q16" s="9"/>
      <c r="R16" s="9"/>
      <c r="S16" s="9"/>
      <c r="T16" s="9"/>
      <c r="U16" s="9"/>
      <c r="V16" s="9"/>
      <c r="W16" s="9"/>
      <c r="X16" s="9"/>
      <c r="Y16" s="9"/>
      <c r="Z16" s="9"/>
      <c r="AA16" s="58"/>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row>
    <row r="17" spans="1:66" ht="15.6" x14ac:dyDescent="0.3">
      <c r="A17" s="46" t="str">
        <v>Early Morning (00:00-03:59)</v>
      </c>
      <c r="B17" s="44">
        <v>1</v>
      </c>
      <c r="C17" s="44">
        <v>0</v>
      </c>
      <c r="D17" s="44">
        <v>1</v>
      </c>
      <c r="E17" s="44">
        <v>0</v>
      </c>
      <c r="F17" s="44">
        <v>0</v>
      </c>
      <c r="G17" s="44">
        <v>0</v>
      </c>
      <c r="H17"/>
      <c r="O17" s="9"/>
      <c r="P17" s="9"/>
      <c r="Q17" s="9"/>
      <c r="R17" s="9"/>
      <c r="S17" s="9"/>
      <c r="T17" s="9"/>
      <c r="U17" s="9"/>
      <c r="V17" s="9"/>
      <c r="W17" s="9"/>
      <c r="X17" s="9"/>
      <c r="Y17" s="9"/>
      <c r="Z17" s="9"/>
      <c r="AA17" s="58"/>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row>
    <row r="18" spans="1:66" ht="15.6" x14ac:dyDescent="0.3">
      <c r="A18" s="138" t="str">
        <v>Morning Peak (08:00-11:59)</v>
      </c>
      <c r="B18" s="139">
        <v>0</v>
      </c>
      <c r="C18" s="139">
        <v>0</v>
      </c>
      <c r="D18" s="139">
        <v>0</v>
      </c>
      <c r="E18" s="139">
        <v>0</v>
      </c>
      <c r="F18" s="139">
        <v>1</v>
      </c>
      <c r="G18" s="139">
        <v>1</v>
      </c>
      <c r="H18"/>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row>
    <row r="19" spans="1:66" ht="15.6" x14ac:dyDescent="0.3">
      <c r="A19" s="141" t="str">
        <v>Night (20:00-23:59)</v>
      </c>
      <c r="B19" s="142">
        <v>0</v>
      </c>
      <c r="C19" s="142">
        <v>0</v>
      </c>
      <c r="D19" s="142">
        <v>0</v>
      </c>
      <c r="E19" s="142">
        <v>2</v>
      </c>
      <c r="F19" s="142">
        <v>0</v>
      </c>
      <c r="G19" s="142">
        <v>0</v>
      </c>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row>
    <row r="20" spans="1:66" ht="15.6" x14ac:dyDescent="0.3">
      <c r="A20" s="46"/>
      <c r="B20" s="44"/>
      <c r="C20" s="44"/>
      <c r="D20" s="44"/>
      <c r="E20" s="44"/>
      <c r="F20" s="44"/>
      <c r="G20" s="44"/>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row>
    <row r="21" spans="1:66" ht="15.6" x14ac:dyDescent="0.3">
      <c r="A21" s="46"/>
      <c r="B21" s="44"/>
      <c r="C21" s="44"/>
      <c r="D21" s="44"/>
      <c r="E21" s="44"/>
      <c r="F21" s="44"/>
      <c r="G21" s="44"/>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row>
    <row r="22" spans="1:66" ht="15.6" x14ac:dyDescent="0.3">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row>
    <row r="23" spans="1:66" ht="15.6" x14ac:dyDescent="0.3">
      <c r="A23" s="113" t="s">
        <v>1</v>
      </c>
      <c r="B23" s="7" t="s">
        <v>210</v>
      </c>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row>
    <row r="24" spans="1:66" ht="15.6" x14ac:dyDescent="0.3">
      <c r="A24" s="113" t="s">
        <v>10</v>
      </c>
      <c r="B24" s="7" t="s">
        <v>128</v>
      </c>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row>
    <row r="26" spans="1:66" x14ac:dyDescent="0.3">
      <c r="A26" s="115" t="s">
        <v>129</v>
      </c>
      <c r="B26" s="115" t="s">
        <v>5</v>
      </c>
      <c r="E26"/>
      <c r="F26"/>
      <c r="G26"/>
    </row>
    <row r="27" spans="1:66" ht="18" x14ac:dyDescent="0.35">
      <c r="A27" s="91" t="s">
        <v>450</v>
      </c>
      <c r="B27" s="8" t="s">
        <v>451</v>
      </c>
      <c r="C27" s="11" t="s">
        <v>452</v>
      </c>
      <c r="D27" s="11" t="s">
        <v>537</v>
      </c>
      <c r="E27"/>
      <c r="F27"/>
      <c r="G27"/>
    </row>
    <row r="28" spans="1:66" x14ac:dyDescent="0.3">
      <c r="A28" s="7" t="s">
        <v>77</v>
      </c>
      <c r="B28" s="7">
        <v>1</v>
      </c>
      <c r="C28" s="7">
        <v>1</v>
      </c>
      <c r="E28"/>
      <c r="F28"/>
      <c r="G28"/>
    </row>
    <row r="29" spans="1:66" x14ac:dyDescent="0.3">
      <c r="A29" s="7" t="s">
        <v>110</v>
      </c>
      <c r="D29" s="7">
        <v>2</v>
      </c>
      <c r="E29"/>
      <c r="F29"/>
      <c r="G29"/>
    </row>
    <row r="30" spans="1:66" x14ac:dyDescent="0.3">
      <c r="A30"/>
      <c r="B30"/>
      <c r="C30"/>
      <c r="D30"/>
      <c r="E30"/>
      <c r="F30"/>
      <c r="G30"/>
    </row>
    <row r="31" spans="1:66" x14ac:dyDescent="0.3">
      <c r="A31"/>
      <c r="B31"/>
      <c r="C31"/>
      <c r="D31"/>
      <c r="E31"/>
      <c r="F31"/>
      <c r="G31"/>
    </row>
    <row r="32" spans="1:66" ht="23.4" x14ac:dyDescent="0.45">
      <c r="A32" s="194" t="s">
        <v>458</v>
      </c>
      <c r="B32" s="194"/>
      <c r="C32" s="194"/>
      <c r="D32" s="194"/>
      <c r="E32" s="12"/>
      <c r="F32" s="12"/>
      <c r="G32" s="12"/>
      <c r="H32" s="12"/>
    </row>
    <row r="33" spans="1:4" ht="18" x14ac:dyDescent="0.35">
      <c r="A33" s="136" t="str" cm="1">
        <f t="array" ref="A33:D35">A27:D29</f>
        <v>Time of Day</v>
      </c>
      <c r="B33" s="137" t="str">
        <v>Mon</v>
      </c>
      <c r="C33" s="137" t="str">
        <v>Tue</v>
      </c>
      <c r="D33" s="136" t="str">
        <v>Thur</v>
      </c>
    </row>
    <row r="34" spans="1:4" ht="15.6" x14ac:dyDescent="0.3">
      <c r="A34" s="156" t="str">
        <v>Afternoon (12:00-15:59)</v>
      </c>
      <c r="B34" s="157">
        <v>1</v>
      </c>
      <c r="C34" s="157">
        <v>1</v>
      </c>
      <c r="D34" s="157">
        <v>0</v>
      </c>
    </row>
    <row r="35" spans="1:4" ht="15.6" x14ac:dyDescent="0.3">
      <c r="A35" s="46" t="str">
        <v>Night (20:00-23:59)</v>
      </c>
      <c r="B35" s="44">
        <v>0</v>
      </c>
      <c r="C35" s="44">
        <v>0</v>
      </c>
      <c r="D35" s="44">
        <v>2</v>
      </c>
    </row>
  </sheetData>
  <mergeCells count="2">
    <mergeCell ref="A14:H14"/>
    <mergeCell ref="A32:D32"/>
  </mergeCells>
  <phoneticPr fontId="12" type="noConversion"/>
  <pageMargins left="0.7" right="0.7" top="0.75" bottom="0.75" header="0.3" footer="0.3"/>
  <pageSetup orientation="portrait"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FE145-5DDC-4EB9-9999-3B50B564B026}">
  <sheetPr codeName="Sheet5">
    <tabColor rgb="FF0070C0"/>
  </sheetPr>
  <dimension ref="A1:BB15"/>
  <sheetViews>
    <sheetView workbookViewId="0">
      <selection activeCell="D11" sqref="D11"/>
    </sheetView>
  </sheetViews>
  <sheetFormatPr defaultColWidth="8.88671875" defaultRowHeight="15.6" x14ac:dyDescent="0.3"/>
  <cols>
    <col min="1" max="1" width="20.109375" style="15" bestFit="1" customWidth="1"/>
    <col min="2" max="2" width="16" style="21" bestFit="1" customWidth="1"/>
    <col min="3" max="3" width="24.33203125" style="16" bestFit="1" customWidth="1"/>
    <col min="4" max="4" width="18.77734375" style="15" bestFit="1" customWidth="1"/>
    <col min="5" max="5" width="15.44140625" style="15" bestFit="1" customWidth="1"/>
    <col min="6" max="6" width="16.21875" style="3" bestFit="1" customWidth="1"/>
    <col min="7" max="7" width="19" style="3" bestFit="1" customWidth="1"/>
    <col min="8" max="8" width="31.5546875" style="3" bestFit="1" customWidth="1"/>
    <col min="9" max="9" width="26.5546875" style="3" bestFit="1" customWidth="1"/>
    <col min="10" max="10" width="42.77734375" style="3" bestFit="1" customWidth="1"/>
    <col min="11" max="11" width="22" style="3" bestFit="1" customWidth="1"/>
    <col min="12" max="12" width="24" style="3" bestFit="1" customWidth="1"/>
    <col min="13" max="13" width="22" style="3" bestFit="1" customWidth="1"/>
    <col min="14" max="14" width="48.88671875" style="3" bestFit="1" customWidth="1"/>
    <col min="15" max="15" width="10" style="15" bestFit="1" customWidth="1"/>
    <col min="16" max="16" width="10.6640625" style="15" bestFit="1" customWidth="1"/>
    <col min="17" max="17" width="80.88671875" style="3" bestFit="1" customWidth="1"/>
    <col min="18" max="18" width="24.44140625" style="3" bestFit="1" customWidth="1"/>
    <col min="19" max="19" width="26.44140625" style="3" bestFit="1" customWidth="1"/>
    <col min="20" max="20" width="20.21875" style="15" bestFit="1" customWidth="1"/>
    <col min="21" max="21" width="12.44140625" style="15" bestFit="1" customWidth="1"/>
    <col min="22" max="22" width="13.33203125" style="15" bestFit="1" customWidth="1"/>
    <col min="23" max="23" width="17.109375" style="15" bestFit="1" customWidth="1"/>
    <col min="24" max="24" width="20.21875" style="15" bestFit="1" customWidth="1"/>
    <col min="25" max="25" width="17.109375" style="15" bestFit="1" customWidth="1"/>
    <col min="26" max="26" width="12.44140625" style="15" bestFit="1" customWidth="1"/>
    <col min="27" max="27" width="13.33203125" style="15" bestFit="1" customWidth="1"/>
    <col min="28" max="28" width="18.88671875" style="3" bestFit="1" customWidth="1"/>
    <col min="29" max="29" width="20.88671875" style="3" bestFit="1" customWidth="1"/>
    <col min="30" max="30" width="28.44140625" style="3" bestFit="1" customWidth="1"/>
    <col min="31" max="31" width="12" style="15" bestFit="1" customWidth="1"/>
    <col min="32" max="32" width="25.21875" style="3" bestFit="1" customWidth="1"/>
    <col min="33" max="33" width="28.44140625" style="3" bestFit="1" customWidth="1"/>
    <col min="34" max="34" width="27.44140625" style="3" bestFit="1" customWidth="1"/>
    <col min="35" max="35" width="31.6640625" style="3" bestFit="1" customWidth="1"/>
    <col min="36" max="36" width="19.6640625" style="21" bestFit="1" customWidth="1"/>
    <col min="37" max="37" width="19.88671875" style="24" bestFit="1" customWidth="1"/>
    <col min="38" max="38" width="30.33203125" style="21" bestFit="1" customWidth="1"/>
    <col min="39" max="39" width="30.5546875" style="24" bestFit="1" customWidth="1"/>
    <col min="40" max="40" width="18.109375" style="21" bestFit="1" customWidth="1"/>
    <col min="41" max="41" width="18.33203125" style="24" bestFit="1" customWidth="1"/>
    <col min="42" max="42" width="10.21875" style="3" bestFit="1" customWidth="1"/>
    <col min="43" max="43" width="19.33203125" style="26" bestFit="1" customWidth="1"/>
    <col min="44" max="44" width="21.21875" style="26" bestFit="1" customWidth="1"/>
    <col min="45" max="45" width="9.44140625" style="26" bestFit="1" customWidth="1"/>
    <col min="46" max="46" width="17.21875" style="28" bestFit="1" customWidth="1"/>
    <col min="47" max="47" width="28.109375" style="30" bestFit="1" customWidth="1"/>
    <col min="48" max="48" width="8.77734375" style="15" bestFit="1" customWidth="1"/>
    <col min="49" max="49" width="80.88671875" style="3" bestFit="1" customWidth="1"/>
    <col min="50" max="50" width="38.77734375" style="3" bestFit="1" customWidth="1"/>
    <col min="51" max="52" width="80.88671875" style="3" bestFit="1" customWidth="1"/>
    <col min="53" max="53" width="22.33203125" style="15" bestFit="1" customWidth="1"/>
    <col min="54" max="54" width="25.77734375" style="15" bestFit="1" customWidth="1"/>
    <col min="55" max="55" width="26.88671875" style="3" bestFit="1" customWidth="1"/>
    <col min="56" max="16384" width="8.88671875" style="3"/>
  </cols>
  <sheetData>
    <row r="1" spans="1:54" s="18" customFormat="1" ht="18" x14ac:dyDescent="0.35">
      <c r="A1" s="18" t="s">
        <v>0</v>
      </c>
      <c r="B1" s="20" t="s">
        <v>1</v>
      </c>
      <c r="C1" s="18" t="s">
        <v>2</v>
      </c>
      <c r="D1" s="19" t="s">
        <v>3</v>
      </c>
      <c r="E1" s="19" t="s">
        <v>4</v>
      </c>
      <c r="F1" s="18" t="s">
        <v>5</v>
      </c>
      <c r="G1" s="18" t="s">
        <v>6</v>
      </c>
      <c r="H1" s="18" t="s">
        <v>7</v>
      </c>
      <c r="I1" s="18" t="s">
        <v>8</v>
      </c>
      <c r="J1" s="18" t="s">
        <v>10</v>
      </c>
      <c r="K1" s="18" t="s">
        <v>9</v>
      </c>
      <c r="L1" s="18" t="s">
        <v>11</v>
      </c>
      <c r="M1" s="18" t="s">
        <v>12</v>
      </c>
      <c r="N1" s="18" t="s">
        <v>13</v>
      </c>
      <c r="O1" s="18" t="s">
        <v>14</v>
      </c>
      <c r="P1" s="18" t="s">
        <v>15</v>
      </c>
      <c r="Q1" s="18" t="s">
        <v>16</v>
      </c>
      <c r="R1" s="18" t="s">
        <v>17</v>
      </c>
      <c r="S1" s="18" t="s">
        <v>18</v>
      </c>
      <c r="T1" s="18" t="s">
        <v>19</v>
      </c>
      <c r="U1" s="18" t="s">
        <v>20</v>
      </c>
      <c r="V1" s="18" t="s">
        <v>21</v>
      </c>
      <c r="W1" s="18" t="s">
        <v>22</v>
      </c>
      <c r="X1" s="18" t="s">
        <v>23</v>
      </c>
      <c r="Y1" s="18" t="s">
        <v>24</v>
      </c>
      <c r="Z1" s="18" t="s">
        <v>25</v>
      </c>
      <c r="AA1" s="18" t="s">
        <v>26</v>
      </c>
      <c r="AB1" s="18" t="s">
        <v>27</v>
      </c>
      <c r="AC1" s="18" t="s">
        <v>28</v>
      </c>
      <c r="AD1" s="18" t="s">
        <v>29</v>
      </c>
      <c r="AE1" s="18" t="s">
        <v>30</v>
      </c>
      <c r="AF1" s="18" t="s">
        <v>31</v>
      </c>
      <c r="AG1" s="18" t="s">
        <v>32</v>
      </c>
      <c r="AH1" s="18" t="s">
        <v>33</v>
      </c>
      <c r="AI1" s="18" t="s">
        <v>34</v>
      </c>
      <c r="AJ1" s="20" t="s">
        <v>35</v>
      </c>
      <c r="AK1" s="22" t="s">
        <v>36</v>
      </c>
      <c r="AL1" s="20" t="s">
        <v>37</v>
      </c>
      <c r="AM1" s="22" t="s">
        <v>38</v>
      </c>
      <c r="AN1" s="20" t="s">
        <v>39</v>
      </c>
      <c r="AO1" s="22" t="s">
        <v>40</v>
      </c>
      <c r="AP1" s="18" t="s">
        <v>41</v>
      </c>
      <c r="AQ1" s="25" t="s">
        <v>42</v>
      </c>
      <c r="AR1" s="25" t="s">
        <v>43</v>
      </c>
      <c r="AS1" s="25" t="s">
        <v>44</v>
      </c>
      <c r="AT1" s="27" t="s">
        <v>45</v>
      </c>
      <c r="AU1" s="29" t="s">
        <v>46</v>
      </c>
      <c r="AV1" s="18" t="s">
        <v>47</v>
      </c>
      <c r="AW1" t="s">
        <v>460</v>
      </c>
      <c r="AX1" s="18" t="s">
        <v>49</v>
      </c>
      <c r="AY1" s="18" t="s">
        <v>50</v>
      </c>
      <c r="AZ1" s="18" t="s">
        <v>51</v>
      </c>
      <c r="BA1" s="18" t="s">
        <v>52</v>
      </c>
      <c r="BB1" s="18" t="s">
        <v>53</v>
      </c>
    </row>
    <row r="2" spans="1:54" x14ac:dyDescent="0.3">
      <c r="A2" s="56" t="s">
        <v>211</v>
      </c>
      <c r="B2" s="64">
        <v>45660</v>
      </c>
      <c r="C2" s="58" t="s">
        <v>98</v>
      </c>
      <c r="D2" s="65">
        <v>0.875</v>
      </c>
      <c r="E2" s="65">
        <v>0.89583333333333337</v>
      </c>
      <c r="F2" s="58" t="s">
        <v>455</v>
      </c>
      <c r="G2" s="58" t="s">
        <v>56</v>
      </c>
      <c r="H2" s="58" t="s">
        <v>212</v>
      </c>
      <c r="I2" s="58" t="s">
        <v>213</v>
      </c>
      <c r="J2" s="58" t="s">
        <v>214</v>
      </c>
      <c r="K2" s="58" t="s">
        <v>214</v>
      </c>
      <c r="L2" s="58" t="s">
        <v>60</v>
      </c>
      <c r="M2" s="58" t="s">
        <v>60</v>
      </c>
      <c r="N2" s="58" t="s">
        <v>215</v>
      </c>
      <c r="O2" s="56" t="s">
        <v>216</v>
      </c>
      <c r="P2" s="56">
        <v>9</v>
      </c>
      <c r="Q2" s="58" t="s">
        <v>217</v>
      </c>
      <c r="R2" s="58"/>
      <c r="S2" s="58"/>
      <c r="T2" s="56" t="s">
        <v>218</v>
      </c>
      <c r="U2" s="56" t="s">
        <v>64</v>
      </c>
      <c r="V2" s="56" t="s">
        <v>219</v>
      </c>
      <c r="W2" s="56" t="s">
        <v>66</v>
      </c>
      <c r="X2" s="56"/>
      <c r="Y2" s="56"/>
      <c r="Z2" s="56"/>
      <c r="AA2" s="56"/>
      <c r="AB2" s="58" t="s">
        <v>158</v>
      </c>
      <c r="AC2" s="58" t="s">
        <v>68</v>
      </c>
      <c r="AD2" s="58" t="s">
        <v>220</v>
      </c>
      <c r="AE2" s="56" t="s">
        <v>207</v>
      </c>
      <c r="AF2" s="58" t="s">
        <v>221</v>
      </c>
      <c r="AG2" s="58" t="s">
        <v>72</v>
      </c>
      <c r="AH2" s="58" t="s">
        <v>222</v>
      </c>
      <c r="AI2" s="58">
        <v>9</v>
      </c>
      <c r="AJ2" s="64">
        <v>45660</v>
      </c>
      <c r="AK2" s="59">
        <v>0.89583333333333337</v>
      </c>
      <c r="AL2" s="64">
        <v>45661</v>
      </c>
      <c r="AM2" s="59">
        <v>0.2673611111111111</v>
      </c>
      <c r="AN2" s="64">
        <v>45661</v>
      </c>
      <c r="AO2" s="59">
        <v>0.45774305555555556</v>
      </c>
      <c r="AP2" s="58">
        <v>2025</v>
      </c>
      <c r="AQ2" s="61">
        <v>1</v>
      </c>
      <c r="AR2" s="61">
        <v>1</v>
      </c>
      <c r="AS2" s="61">
        <v>3</v>
      </c>
      <c r="AT2" s="62">
        <v>3</v>
      </c>
      <c r="AU2" s="63">
        <v>45660.895833333336</v>
      </c>
      <c r="AV2" s="56">
        <v>309</v>
      </c>
      <c r="AW2" t="s">
        <v>217</v>
      </c>
      <c r="AX2" s="58" t="s">
        <v>223</v>
      </c>
      <c r="AY2" s="58" t="s">
        <v>224</v>
      </c>
      <c r="AZ2" s="58" t="s">
        <v>60</v>
      </c>
      <c r="BA2" s="56" t="s">
        <v>515</v>
      </c>
      <c r="BB2" s="58" t="s">
        <v>110</v>
      </c>
    </row>
    <row r="3" spans="1:54" x14ac:dyDescent="0.3">
      <c r="A3" s="56" t="s">
        <v>225</v>
      </c>
      <c r="B3" s="64">
        <v>45672</v>
      </c>
      <c r="C3" s="58" t="s">
        <v>55</v>
      </c>
      <c r="D3" s="65">
        <v>0.5</v>
      </c>
      <c r="E3" s="65">
        <v>0.53988425925925931</v>
      </c>
      <c r="F3" s="58" t="s">
        <v>453</v>
      </c>
      <c r="G3" s="58" t="s">
        <v>56</v>
      </c>
      <c r="H3" s="58" t="s">
        <v>226</v>
      </c>
      <c r="I3" s="58" t="s">
        <v>227</v>
      </c>
      <c r="J3" s="58" t="s">
        <v>214</v>
      </c>
      <c r="K3" s="58" t="s">
        <v>214</v>
      </c>
      <c r="L3" s="58" t="s">
        <v>60</v>
      </c>
      <c r="M3" s="58" t="s">
        <v>60</v>
      </c>
      <c r="N3" s="58" t="s">
        <v>228</v>
      </c>
      <c r="O3" s="56" t="s">
        <v>85</v>
      </c>
      <c r="P3" s="56">
        <v>8</v>
      </c>
      <c r="Q3" s="58" t="s">
        <v>229</v>
      </c>
      <c r="R3" s="58"/>
      <c r="S3" s="58"/>
      <c r="T3" s="56" t="s">
        <v>230</v>
      </c>
      <c r="U3" s="56" t="s">
        <v>64</v>
      </c>
      <c r="V3" s="56" t="s">
        <v>231</v>
      </c>
      <c r="W3" s="56" t="s">
        <v>66</v>
      </c>
      <c r="X3" s="56"/>
      <c r="Y3" s="56"/>
      <c r="Z3" s="56"/>
      <c r="AA3" s="56"/>
      <c r="AB3" s="58" t="s">
        <v>120</v>
      </c>
      <c r="AC3" s="58" t="s">
        <v>68</v>
      </c>
      <c r="AD3" s="58" t="s">
        <v>232</v>
      </c>
      <c r="AE3" s="56" t="s">
        <v>233</v>
      </c>
      <c r="AF3" s="58" t="s">
        <v>71</v>
      </c>
      <c r="AG3" s="58" t="s">
        <v>72</v>
      </c>
      <c r="AH3" s="58" t="s">
        <v>222</v>
      </c>
      <c r="AI3" s="58">
        <v>9</v>
      </c>
      <c r="AJ3" s="64">
        <v>45672</v>
      </c>
      <c r="AK3" s="59">
        <v>0.53988425925925931</v>
      </c>
      <c r="AL3" s="64"/>
      <c r="AM3" s="59"/>
      <c r="AN3" s="64">
        <v>45672</v>
      </c>
      <c r="AO3" s="59">
        <v>0.53988425925925931</v>
      </c>
      <c r="AP3" s="58">
        <v>2025</v>
      </c>
      <c r="AQ3" s="61">
        <v>3</v>
      </c>
      <c r="AR3" s="61">
        <v>3</v>
      </c>
      <c r="AS3" s="61">
        <v>15</v>
      </c>
      <c r="AT3" s="62">
        <v>15</v>
      </c>
      <c r="AU3" s="63">
        <v>45672.539583333331</v>
      </c>
      <c r="AV3" s="56">
        <v>244</v>
      </c>
      <c r="AW3" t="s">
        <v>229</v>
      </c>
      <c r="AX3" s="58" t="s">
        <v>234</v>
      </c>
      <c r="AY3" s="58" t="s">
        <v>235</v>
      </c>
      <c r="AZ3" s="58" t="s">
        <v>236</v>
      </c>
      <c r="BA3" s="56" t="s">
        <v>513</v>
      </c>
      <c r="BB3" s="58" t="s">
        <v>77</v>
      </c>
    </row>
    <row r="4" spans="1:54" x14ac:dyDescent="0.3">
      <c r="A4" s="56" t="s">
        <v>237</v>
      </c>
      <c r="B4" s="64">
        <v>45678</v>
      </c>
      <c r="C4" s="58" t="s">
        <v>79</v>
      </c>
      <c r="D4" s="65">
        <v>0.79166666666666663</v>
      </c>
      <c r="E4" s="65">
        <v>0.79166666666666663</v>
      </c>
      <c r="F4" s="58" t="s">
        <v>452</v>
      </c>
      <c r="G4" s="58" t="s">
        <v>56</v>
      </c>
      <c r="H4" s="58" t="s">
        <v>238</v>
      </c>
      <c r="I4" s="58" t="s">
        <v>239</v>
      </c>
      <c r="J4" s="58" t="s">
        <v>214</v>
      </c>
      <c r="K4" s="58" t="s">
        <v>214</v>
      </c>
      <c r="L4" s="58" t="s">
        <v>60</v>
      </c>
      <c r="M4" s="58" t="s">
        <v>60</v>
      </c>
      <c r="N4" s="58" t="s">
        <v>240</v>
      </c>
      <c r="O4" s="56" t="s">
        <v>179</v>
      </c>
      <c r="P4" s="56">
        <v>9</v>
      </c>
      <c r="Q4" s="58" t="s">
        <v>241</v>
      </c>
      <c r="R4" s="58"/>
      <c r="S4" s="58"/>
      <c r="T4" s="56" t="s">
        <v>242</v>
      </c>
      <c r="U4" s="56" t="s">
        <v>64</v>
      </c>
      <c r="V4" s="56" t="s">
        <v>243</v>
      </c>
      <c r="W4" s="56" t="s">
        <v>66</v>
      </c>
      <c r="X4" s="56"/>
      <c r="Y4" s="56"/>
      <c r="Z4" s="56"/>
      <c r="AA4" s="56"/>
      <c r="AB4" s="58" t="s">
        <v>244</v>
      </c>
      <c r="AC4" s="58" t="s">
        <v>68</v>
      </c>
      <c r="AD4" s="58" t="s">
        <v>245</v>
      </c>
      <c r="AE4" s="56" t="s">
        <v>207</v>
      </c>
      <c r="AF4" s="58" t="s">
        <v>161</v>
      </c>
      <c r="AG4" s="58" t="s">
        <v>72</v>
      </c>
      <c r="AH4" s="58" t="s">
        <v>222</v>
      </c>
      <c r="AI4" s="58">
        <v>9</v>
      </c>
      <c r="AJ4" s="64">
        <v>45678</v>
      </c>
      <c r="AK4" s="59">
        <v>0.79166666666666663</v>
      </c>
      <c r="AL4" s="64">
        <v>45679</v>
      </c>
      <c r="AM4" s="59">
        <v>0.13125000000000001</v>
      </c>
      <c r="AN4" s="64">
        <v>45679</v>
      </c>
      <c r="AO4" s="59">
        <v>0.13255787037037037</v>
      </c>
      <c r="AP4" s="58">
        <v>2025</v>
      </c>
      <c r="AQ4" s="61">
        <v>4</v>
      </c>
      <c r="AR4" s="61">
        <v>4</v>
      </c>
      <c r="AS4" s="61">
        <v>21</v>
      </c>
      <c r="AT4" s="62">
        <v>21</v>
      </c>
      <c r="AU4" s="63">
        <v>45678.791666666664</v>
      </c>
      <c r="AV4" s="56">
        <v>33</v>
      </c>
      <c r="AW4" t="s">
        <v>241</v>
      </c>
      <c r="AX4" s="58" t="s">
        <v>246</v>
      </c>
      <c r="AY4" s="58" t="s">
        <v>60</v>
      </c>
      <c r="AZ4" s="58" t="s">
        <v>60</v>
      </c>
      <c r="BA4" s="56" t="s">
        <v>512</v>
      </c>
      <c r="BB4" s="58" t="s">
        <v>96</v>
      </c>
    </row>
    <row r="5" spans="1:54" x14ac:dyDescent="0.3">
      <c r="A5" s="56" t="s">
        <v>247</v>
      </c>
      <c r="B5" s="64">
        <v>45679</v>
      </c>
      <c r="C5" s="58" t="s">
        <v>142</v>
      </c>
      <c r="D5" s="65">
        <v>0.33333333333333331</v>
      </c>
      <c r="E5" s="65">
        <v>0.33333333333333331</v>
      </c>
      <c r="F5" s="58" t="s">
        <v>453</v>
      </c>
      <c r="G5" s="58" t="s">
        <v>56</v>
      </c>
      <c r="H5" s="58" t="s">
        <v>248</v>
      </c>
      <c r="I5" s="58" t="s">
        <v>249</v>
      </c>
      <c r="J5" s="58" t="s">
        <v>214</v>
      </c>
      <c r="K5" s="58" t="s">
        <v>214</v>
      </c>
      <c r="L5" s="58" t="s">
        <v>60</v>
      </c>
      <c r="M5" s="58" t="s">
        <v>60</v>
      </c>
      <c r="N5" s="58" t="s">
        <v>250</v>
      </c>
      <c r="O5" s="56" t="s">
        <v>251</v>
      </c>
      <c r="P5" s="56">
        <v>5</v>
      </c>
      <c r="Q5" s="58" t="s">
        <v>252</v>
      </c>
      <c r="R5" s="58"/>
      <c r="S5" s="58"/>
      <c r="T5" s="56" t="s">
        <v>253</v>
      </c>
      <c r="U5" s="56" t="s">
        <v>254</v>
      </c>
      <c r="V5" s="56" t="s">
        <v>255</v>
      </c>
      <c r="W5" s="56" t="s">
        <v>66</v>
      </c>
      <c r="X5" s="56"/>
      <c r="Y5" s="56"/>
      <c r="Z5" s="56"/>
      <c r="AA5" s="56"/>
      <c r="AB5" s="58" t="s">
        <v>120</v>
      </c>
      <c r="AC5" s="58" t="s">
        <v>68</v>
      </c>
      <c r="AD5" s="58" t="s">
        <v>245</v>
      </c>
      <c r="AE5" s="56" t="s">
        <v>207</v>
      </c>
      <c r="AF5" s="58" t="s">
        <v>123</v>
      </c>
      <c r="AG5" s="58" t="s">
        <v>72</v>
      </c>
      <c r="AH5" s="58" t="s">
        <v>222</v>
      </c>
      <c r="AI5" s="58">
        <v>9</v>
      </c>
      <c r="AJ5" s="64">
        <v>45679</v>
      </c>
      <c r="AK5" s="59">
        <v>0.33333333333333331</v>
      </c>
      <c r="AL5" s="64">
        <v>45679</v>
      </c>
      <c r="AM5" s="59">
        <v>0.80069444444444449</v>
      </c>
      <c r="AN5" s="64">
        <v>45679</v>
      </c>
      <c r="AO5" s="59">
        <v>0.80203703703703699</v>
      </c>
      <c r="AP5" s="58">
        <v>2025</v>
      </c>
      <c r="AQ5" s="61">
        <v>4</v>
      </c>
      <c r="AR5" s="61">
        <v>4</v>
      </c>
      <c r="AS5" s="61">
        <v>22</v>
      </c>
      <c r="AT5" s="62">
        <v>22</v>
      </c>
      <c r="AU5" s="63">
        <v>45679.333333333336</v>
      </c>
      <c r="AV5" s="56">
        <v>443</v>
      </c>
      <c r="AW5" t="s">
        <v>252</v>
      </c>
      <c r="AX5" s="58" t="s">
        <v>256</v>
      </c>
      <c r="AY5" s="58" t="s">
        <v>60</v>
      </c>
      <c r="AZ5" s="58" t="s">
        <v>60</v>
      </c>
      <c r="BA5" s="56" t="s">
        <v>512</v>
      </c>
      <c r="BB5" s="58" t="s">
        <v>151</v>
      </c>
    </row>
    <row r="6" spans="1:54" x14ac:dyDescent="0.3">
      <c r="A6" s="56" t="s">
        <v>257</v>
      </c>
      <c r="B6" s="64">
        <v>45685</v>
      </c>
      <c r="C6" s="58" t="s">
        <v>55</v>
      </c>
      <c r="D6" s="65">
        <v>0.625</v>
      </c>
      <c r="E6" s="65">
        <v>0.625</v>
      </c>
      <c r="F6" s="58" t="s">
        <v>452</v>
      </c>
      <c r="G6" s="58" t="s">
        <v>56</v>
      </c>
      <c r="H6" s="58" t="s">
        <v>258</v>
      </c>
      <c r="I6" s="58" t="s">
        <v>259</v>
      </c>
      <c r="J6" s="58" t="s">
        <v>260</v>
      </c>
      <c r="K6" s="58" t="s">
        <v>214</v>
      </c>
      <c r="L6" s="58" t="s">
        <v>83</v>
      </c>
      <c r="M6" s="58" t="s">
        <v>60</v>
      </c>
      <c r="N6" s="58" t="s">
        <v>261</v>
      </c>
      <c r="O6" s="56" t="s">
        <v>262</v>
      </c>
      <c r="P6" s="56">
        <v>6</v>
      </c>
      <c r="Q6" s="58" t="s">
        <v>263</v>
      </c>
      <c r="R6" s="58"/>
      <c r="S6" s="58"/>
      <c r="T6" s="56" t="s">
        <v>264</v>
      </c>
      <c r="U6" s="56" t="s">
        <v>265</v>
      </c>
      <c r="V6" s="56" t="s">
        <v>266</v>
      </c>
      <c r="W6" s="56" t="s">
        <v>66</v>
      </c>
      <c r="X6" s="56"/>
      <c r="Y6" s="56"/>
      <c r="Z6" s="56"/>
      <c r="AA6" s="56"/>
      <c r="AB6" s="58" t="s">
        <v>120</v>
      </c>
      <c r="AC6" s="58" t="s">
        <v>68</v>
      </c>
      <c r="AD6" s="58" t="s">
        <v>245</v>
      </c>
      <c r="AE6" s="56" t="s">
        <v>207</v>
      </c>
      <c r="AF6" s="58" t="s">
        <v>71</v>
      </c>
      <c r="AG6" s="58" t="s">
        <v>267</v>
      </c>
      <c r="AH6" s="58" t="s">
        <v>222</v>
      </c>
      <c r="AI6" s="58">
        <v>9</v>
      </c>
      <c r="AJ6" s="64">
        <v>45685</v>
      </c>
      <c r="AK6" s="59">
        <v>0.625</v>
      </c>
      <c r="AL6" s="64">
        <v>45686</v>
      </c>
      <c r="AM6" s="59">
        <v>0.91736111111111107</v>
      </c>
      <c r="AN6" s="64">
        <v>45686</v>
      </c>
      <c r="AO6" s="59">
        <v>0.91833333333333333</v>
      </c>
      <c r="AP6" s="58">
        <v>2025</v>
      </c>
      <c r="AQ6" s="61">
        <v>5</v>
      </c>
      <c r="AR6" s="61">
        <v>5</v>
      </c>
      <c r="AS6" s="61">
        <v>28</v>
      </c>
      <c r="AT6" s="62">
        <v>28</v>
      </c>
      <c r="AU6" s="63">
        <v>45685.625</v>
      </c>
      <c r="AV6" s="56">
        <v>119</v>
      </c>
      <c r="AW6" t="s">
        <v>263</v>
      </c>
      <c r="AX6" s="58" t="s">
        <v>268</v>
      </c>
      <c r="AY6" s="58" t="s">
        <v>60</v>
      </c>
      <c r="AZ6" s="58" t="s">
        <v>269</v>
      </c>
      <c r="BA6" s="56" t="s">
        <v>511</v>
      </c>
      <c r="BB6" s="58" t="s">
        <v>77</v>
      </c>
    </row>
    <row r="7" spans="1:54" x14ac:dyDescent="0.3">
      <c r="A7" s="56" t="s">
        <v>306</v>
      </c>
      <c r="B7" s="64">
        <v>45688</v>
      </c>
      <c r="C7" s="58" t="s">
        <v>55</v>
      </c>
      <c r="D7" s="65">
        <v>0.5</v>
      </c>
      <c r="E7" s="65">
        <v>0.5</v>
      </c>
      <c r="F7" s="58" t="s">
        <v>455</v>
      </c>
      <c r="G7" s="58" t="s">
        <v>56</v>
      </c>
      <c r="H7" s="58" t="s">
        <v>307</v>
      </c>
      <c r="I7" s="58" t="s">
        <v>308</v>
      </c>
      <c r="J7" s="58" t="s">
        <v>214</v>
      </c>
      <c r="K7" s="58" t="s">
        <v>214</v>
      </c>
      <c r="L7" s="58" t="s">
        <v>60</v>
      </c>
      <c r="M7" s="58" t="s">
        <v>60</v>
      </c>
      <c r="N7" s="58" t="s">
        <v>309</v>
      </c>
      <c r="O7" s="56" t="s">
        <v>251</v>
      </c>
      <c r="P7" s="56">
        <v>5</v>
      </c>
      <c r="Q7" s="58" t="s">
        <v>310</v>
      </c>
      <c r="R7" s="58"/>
      <c r="S7" s="58"/>
      <c r="T7" s="56" t="s">
        <v>311</v>
      </c>
      <c r="U7" s="56"/>
      <c r="V7" s="56" t="s">
        <v>231</v>
      </c>
      <c r="W7" s="56" t="s">
        <v>66</v>
      </c>
      <c r="X7" s="56"/>
      <c r="Y7" s="56"/>
      <c r="Z7" s="56"/>
      <c r="AA7" s="56"/>
      <c r="AB7" s="58" t="s">
        <v>120</v>
      </c>
      <c r="AC7" s="58" t="s">
        <v>68</v>
      </c>
      <c r="AD7" s="58" t="s">
        <v>206</v>
      </c>
      <c r="AE7" s="56" t="s">
        <v>207</v>
      </c>
      <c r="AF7" s="58" t="s">
        <v>107</v>
      </c>
      <c r="AG7" s="58" t="s">
        <v>72</v>
      </c>
      <c r="AH7" s="58" t="s">
        <v>222</v>
      </c>
      <c r="AI7" s="58">
        <v>9</v>
      </c>
      <c r="AJ7" s="64">
        <v>45688</v>
      </c>
      <c r="AK7" s="59">
        <v>0.5</v>
      </c>
      <c r="AL7" s="64">
        <v>45695</v>
      </c>
      <c r="AM7" s="59">
        <v>0.54166666666666663</v>
      </c>
      <c r="AN7" s="64">
        <v>45696</v>
      </c>
      <c r="AO7" s="59">
        <v>0.3903240740740741</v>
      </c>
      <c r="AP7" s="58">
        <v>2025</v>
      </c>
      <c r="AQ7" s="61">
        <v>5</v>
      </c>
      <c r="AR7" s="61">
        <v>5</v>
      </c>
      <c r="AS7" s="61">
        <v>31</v>
      </c>
      <c r="AT7" s="62">
        <v>31</v>
      </c>
      <c r="AU7" s="63">
        <v>45688.5</v>
      </c>
      <c r="AV7" s="56">
        <v>535</v>
      </c>
      <c r="AW7" t="s">
        <v>310</v>
      </c>
      <c r="AX7" s="58" t="s">
        <v>312</v>
      </c>
      <c r="AY7" s="58" t="s">
        <v>60</v>
      </c>
      <c r="AZ7" s="58" t="s">
        <v>313</v>
      </c>
      <c r="BA7" s="56" t="s">
        <v>511</v>
      </c>
      <c r="BB7" s="58" t="s">
        <v>77</v>
      </c>
    </row>
    <row r="8" spans="1:54" x14ac:dyDescent="0.3">
      <c r="A8" s="56" t="s">
        <v>270</v>
      </c>
      <c r="B8" s="64">
        <v>45689</v>
      </c>
      <c r="C8" s="58" t="s">
        <v>163</v>
      </c>
      <c r="D8" s="65">
        <v>4.1666666666666664E-2</v>
      </c>
      <c r="E8" s="65">
        <v>4.1666666666666664E-2</v>
      </c>
      <c r="F8" s="58" t="s">
        <v>456</v>
      </c>
      <c r="G8" s="58" t="s">
        <v>112</v>
      </c>
      <c r="H8" s="58" t="s">
        <v>271</v>
      </c>
      <c r="I8" s="58" t="s">
        <v>272</v>
      </c>
      <c r="J8" s="58" t="s">
        <v>214</v>
      </c>
      <c r="K8" s="58" t="s">
        <v>214</v>
      </c>
      <c r="L8" s="58" t="s">
        <v>60</v>
      </c>
      <c r="M8" s="58" t="s">
        <v>60</v>
      </c>
      <c r="N8" s="58" t="s">
        <v>273</v>
      </c>
      <c r="O8" s="56" t="s">
        <v>274</v>
      </c>
      <c r="P8" s="56">
        <v>6</v>
      </c>
      <c r="Q8" s="58" t="s">
        <v>275</v>
      </c>
      <c r="R8" s="58"/>
      <c r="S8" s="58"/>
      <c r="T8" s="56" t="s">
        <v>276</v>
      </c>
      <c r="U8" s="56" t="s">
        <v>118</v>
      </c>
      <c r="V8" s="56" t="s">
        <v>277</v>
      </c>
      <c r="W8" s="56" t="s">
        <v>66</v>
      </c>
      <c r="X8" s="56"/>
      <c r="Y8" s="56"/>
      <c r="Z8" s="56"/>
      <c r="AA8" s="56"/>
      <c r="AB8" s="58" t="s">
        <v>120</v>
      </c>
      <c r="AC8" s="58" t="s">
        <v>68</v>
      </c>
      <c r="AD8" s="58" t="s">
        <v>245</v>
      </c>
      <c r="AE8" s="56" t="s">
        <v>207</v>
      </c>
      <c r="AF8" s="58" t="s">
        <v>123</v>
      </c>
      <c r="AG8" s="58" t="s">
        <v>72</v>
      </c>
      <c r="AH8" s="58" t="s">
        <v>222</v>
      </c>
      <c r="AI8" s="58">
        <v>9</v>
      </c>
      <c r="AJ8" s="64">
        <v>45689</v>
      </c>
      <c r="AK8" s="59">
        <v>4.1666666666666664E-2</v>
      </c>
      <c r="AL8" s="64"/>
      <c r="AM8" s="59">
        <v>0.10416666666666667</v>
      </c>
      <c r="AN8" s="64">
        <v>45689</v>
      </c>
      <c r="AO8" s="59">
        <v>0.11982638888888889</v>
      </c>
      <c r="AP8" s="58">
        <v>2025</v>
      </c>
      <c r="AQ8" s="61">
        <v>5</v>
      </c>
      <c r="AR8" s="61">
        <v>1</v>
      </c>
      <c r="AS8" s="61">
        <v>1</v>
      </c>
      <c r="AT8" s="62">
        <v>32</v>
      </c>
      <c r="AU8" s="63">
        <v>45689.041666666664</v>
      </c>
      <c r="AV8" s="56">
        <v>453</v>
      </c>
      <c r="AW8" t="s">
        <v>275</v>
      </c>
      <c r="AX8" s="58" t="s">
        <v>278</v>
      </c>
      <c r="AY8" s="58" t="s">
        <v>60</v>
      </c>
      <c r="AZ8" s="58" t="s">
        <v>279</v>
      </c>
      <c r="BA8" s="56" t="s">
        <v>511</v>
      </c>
      <c r="BB8" s="58" t="s">
        <v>173</v>
      </c>
    </row>
    <row r="9" spans="1:54" x14ac:dyDescent="0.3">
      <c r="A9" s="56" t="s">
        <v>280</v>
      </c>
      <c r="B9" s="64">
        <v>45691</v>
      </c>
      <c r="C9" s="58" t="s">
        <v>79</v>
      </c>
      <c r="D9" s="65">
        <v>0.75</v>
      </c>
      <c r="E9" s="65">
        <v>0.77083333333333337</v>
      </c>
      <c r="F9" s="58" t="s">
        <v>451</v>
      </c>
      <c r="G9" s="58" t="s">
        <v>112</v>
      </c>
      <c r="H9" s="58" t="s">
        <v>281</v>
      </c>
      <c r="I9" s="58" t="s">
        <v>282</v>
      </c>
      <c r="J9" s="58" t="s">
        <v>214</v>
      </c>
      <c r="K9" s="58" t="s">
        <v>214</v>
      </c>
      <c r="L9" s="58" t="s">
        <v>60</v>
      </c>
      <c r="M9" s="58" t="s">
        <v>60</v>
      </c>
      <c r="N9" s="58" t="s">
        <v>283</v>
      </c>
      <c r="O9" s="56" t="s">
        <v>284</v>
      </c>
      <c r="P9" s="56">
        <v>8</v>
      </c>
      <c r="Q9" s="58" t="s">
        <v>285</v>
      </c>
      <c r="R9" s="58"/>
      <c r="S9" s="58"/>
      <c r="T9" s="56" t="s">
        <v>286</v>
      </c>
      <c r="U9" s="56" t="s">
        <v>287</v>
      </c>
      <c r="V9" s="56" t="s">
        <v>288</v>
      </c>
      <c r="W9" s="56" t="s">
        <v>289</v>
      </c>
      <c r="X9" s="56"/>
      <c r="Y9" s="56"/>
      <c r="Z9" s="56"/>
      <c r="AA9" s="56"/>
      <c r="AB9" s="58" t="s">
        <v>67</v>
      </c>
      <c r="AC9" s="58" t="s">
        <v>68</v>
      </c>
      <c r="AD9" s="58" t="s">
        <v>106</v>
      </c>
      <c r="AE9" s="56" t="s">
        <v>70</v>
      </c>
      <c r="AF9" s="58" t="s">
        <v>71</v>
      </c>
      <c r="AG9" s="58" t="s">
        <v>196</v>
      </c>
      <c r="AH9" s="58" t="s">
        <v>222</v>
      </c>
      <c r="AI9" s="58">
        <v>9</v>
      </c>
      <c r="AJ9" s="64">
        <v>45691</v>
      </c>
      <c r="AK9" s="59">
        <v>0.77083333333333337</v>
      </c>
      <c r="AL9" s="64">
        <v>45692</v>
      </c>
      <c r="AM9" s="59">
        <v>0.79166666666666663</v>
      </c>
      <c r="AN9" s="64">
        <v>45692</v>
      </c>
      <c r="AO9" s="59">
        <v>0.53023148148148147</v>
      </c>
      <c r="AP9" s="58">
        <v>2025</v>
      </c>
      <c r="AQ9" s="61">
        <v>6</v>
      </c>
      <c r="AR9" s="61">
        <v>2</v>
      </c>
      <c r="AS9" s="61">
        <v>3</v>
      </c>
      <c r="AT9" s="62">
        <v>34</v>
      </c>
      <c r="AU9" s="63">
        <v>45691.770833333336</v>
      </c>
      <c r="AV9" s="56">
        <v>55</v>
      </c>
      <c r="AW9" t="s">
        <v>285</v>
      </c>
      <c r="AX9" s="58" t="s">
        <v>290</v>
      </c>
      <c r="AY9" s="58" t="s">
        <v>291</v>
      </c>
      <c r="AZ9" s="58" t="s">
        <v>292</v>
      </c>
      <c r="BA9" s="56" t="s">
        <v>511</v>
      </c>
      <c r="BB9" s="58" t="s">
        <v>96</v>
      </c>
    </row>
    <row r="10" spans="1:54" x14ac:dyDescent="0.3">
      <c r="A10" s="56" t="s">
        <v>293</v>
      </c>
      <c r="B10" s="64">
        <v>45695</v>
      </c>
      <c r="C10" s="58" t="s">
        <v>294</v>
      </c>
      <c r="D10" s="65">
        <v>0.25</v>
      </c>
      <c r="E10" s="65">
        <v>0.27430555555555558</v>
      </c>
      <c r="F10" s="58" t="s">
        <v>455</v>
      </c>
      <c r="G10" s="58" t="s">
        <v>112</v>
      </c>
      <c r="H10" s="58" t="s">
        <v>295</v>
      </c>
      <c r="I10" s="58" t="s">
        <v>296</v>
      </c>
      <c r="J10" s="58" t="s">
        <v>214</v>
      </c>
      <c r="K10" s="58" t="s">
        <v>214</v>
      </c>
      <c r="L10" s="58" t="s">
        <v>60</v>
      </c>
      <c r="M10" s="58" t="s">
        <v>60</v>
      </c>
      <c r="N10" s="58" t="s">
        <v>297</v>
      </c>
      <c r="O10" s="56" t="s">
        <v>204</v>
      </c>
      <c r="P10" s="56">
        <v>5</v>
      </c>
      <c r="Q10" s="58" t="s">
        <v>298</v>
      </c>
      <c r="R10" s="58"/>
      <c r="S10" s="58"/>
      <c r="T10" s="56" t="s">
        <v>299</v>
      </c>
      <c r="U10" s="56" t="s">
        <v>300</v>
      </c>
      <c r="V10" s="56" t="s">
        <v>301</v>
      </c>
      <c r="W10" s="56" t="s">
        <v>66</v>
      </c>
      <c r="X10" s="56"/>
      <c r="Y10" s="56"/>
      <c r="Z10" s="56"/>
      <c r="AA10" s="56"/>
      <c r="AB10" s="58" t="s">
        <v>120</v>
      </c>
      <c r="AC10" s="58" t="s">
        <v>68</v>
      </c>
      <c r="AD10" s="58" t="s">
        <v>302</v>
      </c>
      <c r="AE10" s="56" t="s">
        <v>122</v>
      </c>
      <c r="AF10" s="58" t="s">
        <v>181</v>
      </c>
      <c r="AG10" s="58" t="s">
        <v>93</v>
      </c>
      <c r="AH10" s="58" t="s">
        <v>222</v>
      </c>
      <c r="AI10" s="58">
        <v>9</v>
      </c>
      <c r="AJ10" s="64">
        <v>45695</v>
      </c>
      <c r="AK10" s="59">
        <v>0.27430555555555558</v>
      </c>
      <c r="AL10" s="64">
        <v>45695</v>
      </c>
      <c r="AM10" s="59">
        <v>0.28472222222222221</v>
      </c>
      <c r="AN10" s="64">
        <v>45695</v>
      </c>
      <c r="AO10" s="59">
        <v>0.30738425925925927</v>
      </c>
      <c r="AP10" s="58">
        <v>2025</v>
      </c>
      <c r="AQ10" s="61">
        <v>6</v>
      </c>
      <c r="AR10" s="61">
        <v>2</v>
      </c>
      <c r="AS10" s="61">
        <v>7</v>
      </c>
      <c r="AT10" s="62">
        <v>38</v>
      </c>
      <c r="AU10" s="63">
        <v>45695.274305555555</v>
      </c>
      <c r="AV10" s="56">
        <v>170</v>
      </c>
      <c r="AW10" t="s">
        <v>298</v>
      </c>
      <c r="AX10" s="58" t="s">
        <v>303</v>
      </c>
      <c r="AY10" s="58" t="s">
        <v>60</v>
      </c>
      <c r="AZ10" s="58" t="s">
        <v>304</v>
      </c>
      <c r="BA10" s="56" t="s">
        <v>510</v>
      </c>
      <c r="BB10" s="58" t="s">
        <v>305</v>
      </c>
    </row>
    <row r="11" spans="1:54" x14ac:dyDescent="0.3">
      <c r="A11" s="56" t="s">
        <v>314</v>
      </c>
      <c r="B11" s="64">
        <v>45705</v>
      </c>
      <c r="C11" s="58" t="s">
        <v>142</v>
      </c>
      <c r="D11" s="65">
        <v>0.33333333333333331</v>
      </c>
      <c r="E11" s="65">
        <v>0.34877314814814814</v>
      </c>
      <c r="F11" s="58" t="s">
        <v>451</v>
      </c>
      <c r="G11" s="58" t="s">
        <v>112</v>
      </c>
      <c r="H11" s="58" t="s">
        <v>315</v>
      </c>
      <c r="I11" s="58" t="s">
        <v>316</v>
      </c>
      <c r="J11" s="58" t="s">
        <v>317</v>
      </c>
      <c r="K11" s="58" t="s">
        <v>214</v>
      </c>
      <c r="L11" s="58" t="s">
        <v>318</v>
      </c>
      <c r="M11" s="58" t="s">
        <v>60</v>
      </c>
      <c r="N11" s="58" t="s">
        <v>319</v>
      </c>
      <c r="O11" s="56" t="s">
        <v>135</v>
      </c>
      <c r="P11" s="56">
        <v>7</v>
      </c>
      <c r="Q11" s="58" t="s">
        <v>320</v>
      </c>
      <c r="R11" s="58"/>
      <c r="S11" s="58"/>
      <c r="T11" s="56" t="s">
        <v>321</v>
      </c>
      <c r="U11" s="56" t="s">
        <v>64</v>
      </c>
      <c r="V11" s="56" t="s">
        <v>219</v>
      </c>
      <c r="W11" s="56" t="s">
        <v>66</v>
      </c>
      <c r="X11" s="56"/>
      <c r="Y11" s="56"/>
      <c r="Z11" s="56"/>
      <c r="AA11" s="56"/>
      <c r="AB11" s="58" t="s">
        <v>67</v>
      </c>
      <c r="AC11" s="58" t="s">
        <v>68</v>
      </c>
      <c r="AD11" s="58" t="s">
        <v>69</v>
      </c>
      <c r="AE11" s="56" t="s">
        <v>70</v>
      </c>
      <c r="AF11" s="58" t="s">
        <v>123</v>
      </c>
      <c r="AG11" s="58" t="s">
        <v>124</v>
      </c>
      <c r="AH11" s="58" t="s">
        <v>222</v>
      </c>
      <c r="AI11" s="58">
        <v>9</v>
      </c>
      <c r="AJ11" s="64">
        <v>45705</v>
      </c>
      <c r="AK11" s="59">
        <v>0.34877314814814814</v>
      </c>
      <c r="AL11" s="64"/>
      <c r="AM11" s="59"/>
      <c r="AN11" s="64">
        <v>45705</v>
      </c>
      <c r="AO11" s="59">
        <v>0.34877314814814814</v>
      </c>
      <c r="AP11" s="58">
        <v>2025</v>
      </c>
      <c r="AQ11" s="61">
        <v>8</v>
      </c>
      <c r="AR11" s="61">
        <v>4</v>
      </c>
      <c r="AS11" s="61">
        <v>17</v>
      </c>
      <c r="AT11" s="62">
        <v>48</v>
      </c>
      <c r="AU11" s="63">
        <v>45705.348611111112</v>
      </c>
      <c r="AV11" s="56">
        <v>100</v>
      </c>
      <c r="AW11" t="s">
        <v>320</v>
      </c>
      <c r="AX11" s="58" t="s">
        <v>322</v>
      </c>
      <c r="AY11" s="58" t="s">
        <v>323</v>
      </c>
      <c r="AZ11" s="58" t="s">
        <v>324</v>
      </c>
      <c r="BA11" s="56" t="s">
        <v>509</v>
      </c>
      <c r="BB11" s="58" t="s">
        <v>151</v>
      </c>
    </row>
    <row r="12" spans="1:54" x14ac:dyDescent="0.3">
      <c r="A12" s="56" t="s">
        <v>325</v>
      </c>
      <c r="B12" s="64">
        <v>45705</v>
      </c>
      <c r="C12" s="58" t="s">
        <v>142</v>
      </c>
      <c r="D12" s="65">
        <v>0.375</v>
      </c>
      <c r="E12" s="65">
        <v>0.39716435185185184</v>
      </c>
      <c r="F12" s="58" t="s">
        <v>451</v>
      </c>
      <c r="G12" s="58" t="s">
        <v>112</v>
      </c>
      <c r="H12" s="58" t="s">
        <v>57</v>
      </c>
      <c r="I12" s="58" t="s">
        <v>326</v>
      </c>
      <c r="J12" s="58" t="s">
        <v>214</v>
      </c>
      <c r="K12" s="58" t="s">
        <v>214</v>
      </c>
      <c r="L12" s="58" t="s">
        <v>60</v>
      </c>
      <c r="M12" s="58" t="s">
        <v>60</v>
      </c>
      <c r="N12" s="58" t="s">
        <v>327</v>
      </c>
      <c r="O12" s="56" t="s">
        <v>328</v>
      </c>
      <c r="P12" s="56">
        <v>7</v>
      </c>
      <c r="Q12" s="58" t="s">
        <v>329</v>
      </c>
      <c r="R12" s="58"/>
      <c r="S12" s="58"/>
      <c r="T12" s="56" t="s">
        <v>330</v>
      </c>
      <c r="U12" s="56" t="s">
        <v>64</v>
      </c>
      <c r="V12" s="56" t="s">
        <v>219</v>
      </c>
      <c r="W12" s="56" t="s">
        <v>66</v>
      </c>
      <c r="X12" s="56"/>
      <c r="Y12" s="56"/>
      <c r="Z12" s="56"/>
      <c r="AA12" s="56"/>
      <c r="AB12" s="58" t="s">
        <v>67</v>
      </c>
      <c r="AC12" s="58" t="s">
        <v>68</v>
      </c>
      <c r="AD12" s="58" t="s">
        <v>331</v>
      </c>
      <c r="AE12" s="56" t="s">
        <v>70</v>
      </c>
      <c r="AF12" s="58" t="s">
        <v>123</v>
      </c>
      <c r="AG12" s="58" t="s">
        <v>72</v>
      </c>
      <c r="AH12" s="58" t="s">
        <v>222</v>
      </c>
      <c r="AI12" s="58">
        <v>9</v>
      </c>
      <c r="AJ12" s="64">
        <v>45705</v>
      </c>
      <c r="AK12" s="59">
        <v>0.39716435185185184</v>
      </c>
      <c r="AL12" s="64"/>
      <c r="AM12" s="59"/>
      <c r="AN12" s="64">
        <v>45705</v>
      </c>
      <c r="AO12" s="59">
        <v>0.39716435185185184</v>
      </c>
      <c r="AP12" s="58">
        <v>2025</v>
      </c>
      <c r="AQ12" s="61">
        <v>8</v>
      </c>
      <c r="AR12" s="61">
        <v>4</v>
      </c>
      <c r="AS12" s="61">
        <v>17</v>
      </c>
      <c r="AT12" s="62">
        <v>48</v>
      </c>
      <c r="AU12" s="63">
        <v>45705.396527777775</v>
      </c>
      <c r="AV12" s="56">
        <v>30</v>
      </c>
      <c r="AW12" t="s">
        <v>329</v>
      </c>
      <c r="AX12" s="58" t="s">
        <v>332</v>
      </c>
      <c r="AY12" s="58" t="s">
        <v>60</v>
      </c>
      <c r="AZ12" s="58" t="s">
        <v>60</v>
      </c>
      <c r="BA12" s="56" t="s">
        <v>509</v>
      </c>
      <c r="BB12" s="58" t="s">
        <v>151</v>
      </c>
    </row>
    <row r="13" spans="1:54" x14ac:dyDescent="0.3">
      <c r="A13" s="56" t="s">
        <v>333</v>
      </c>
      <c r="B13" s="64">
        <v>45713</v>
      </c>
      <c r="C13" s="58" t="s">
        <v>142</v>
      </c>
      <c r="D13" s="65">
        <v>0.41666666666666669</v>
      </c>
      <c r="E13" s="65">
        <v>0.41666666666666669</v>
      </c>
      <c r="F13" s="58" t="s">
        <v>452</v>
      </c>
      <c r="G13" s="58" t="s">
        <v>112</v>
      </c>
      <c r="H13" s="58" t="s">
        <v>334</v>
      </c>
      <c r="I13" s="58" t="s">
        <v>335</v>
      </c>
      <c r="J13" s="58" t="s">
        <v>214</v>
      </c>
      <c r="K13" s="58" t="s">
        <v>214</v>
      </c>
      <c r="L13" s="58" t="s">
        <v>60</v>
      </c>
      <c r="M13" s="58" t="s">
        <v>60</v>
      </c>
      <c r="N13" s="58" t="s">
        <v>336</v>
      </c>
      <c r="O13" s="56" t="s">
        <v>251</v>
      </c>
      <c r="P13" s="56">
        <v>5</v>
      </c>
      <c r="Q13" s="58" t="s">
        <v>337</v>
      </c>
      <c r="R13" s="58"/>
      <c r="S13" s="58"/>
      <c r="T13" s="56" t="s">
        <v>338</v>
      </c>
      <c r="U13" s="56" t="s">
        <v>64</v>
      </c>
      <c r="V13" s="56" t="s">
        <v>339</v>
      </c>
      <c r="W13" s="56" t="s">
        <v>340</v>
      </c>
      <c r="X13" s="56"/>
      <c r="Y13" s="56"/>
      <c r="Z13" s="56"/>
      <c r="AA13" s="56"/>
      <c r="AB13" s="58" t="s">
        <v>158</v>
      </c>
      <c r="AC13" s="58" t="s">
        <v>68</v>
      </c>
      <c r="AD13" s="58" t="s">
        <v>159</v>
      </c>
      <c r="AE13" s="56" t="s">
        <v>160</v>
      </c>
      <c r="AF13" s="58"/>
      <c r="AG13" s="58"/>
      <c r="AH13" s="58"/>
      <c r="AI13" s="58">
        <v>9</v>
      </c>
      <c r="AJ13" s="64">
        <v>45713</v>
      </c>
      <c r="AK13" s="59">
        <v>0.41666666666666669</v>
      </c>
      <c r="AL13" s="64">
        <v>45713</v>
      </c>
      <c r="AM13" s="59">
        <v>0.95833333333333337</v>
      </c>
      <c r="AN13" s="64">
        <v>45712</v>
      </c>
      <c r="AO13" s="59">
        <v>0.99136574074074069</v>
      </c>
      <c r="AP13" s="58">
        <v>2025</v>
      </c>
      <c r="AQ13" s="61">
        <v>9</v>
      </c>
      <c r="AR13" s="61">
        <v>5</v>
      </c>
      <c r="AS13" s="61">
        <v>25</v>
      </c>
      <c r="AT13" s="62">
        <v>56</v>
      </c>
      <c r="AU13" s="63">
        <v>45713.416666666664</v>
      </c>
      <c r="AV13" s="56">
        <v>430</v>
      </c>
      <c r="AW13" t="s">
        <v>337</v>
      </c>
      <c r="AX13" s="58" t="s">
        <v>341</v>
      </c>
      <c r="AY13" s="58" t="s">
        <v>60</v>
      </c>
      <c r="AZ13" s="58" t="s">
        <v>60</v>
      </c>
      <c r="BA13" s="56" t="s">
        <v>507</v>
      </c>
      <c r="BB13" s="58" t="s">
        <v>151</v>
      </c>
    </row>
    <row r="14" spans="1:54" x14ac:dyDescent="0.3">
      <c r="A14" s="56" t="s">
        <v>550</v>
      </c>
      <c r="B14" s="64">
        <v>45737</v>
      </c>
      <c r="C14" s="58" t="s">
        <v>294</v>
      </c>
      <c r="D14" s="65">
        <v>0.29166666666666669</v>
      </c>
      <c r="E14" s="65">
        <v>0.32500000000000001</v>
      </c>
      <c r="F14" s="58" t="s">
        <v>455</v>
      </c>
      <c r="G14" s="58" t="s">
        <v>462</v>
      </c>
      <c r="H14" s="58" t="s">
        <v>551</v>
      </c>
      <c r="I14" s="58" t="s">
        <v>552</v>
      </c>
      <c r="J14" s="58" t="s">
        <v>214</v>
      </c>
      <c r="K14" s="58" t="s">
        <v>214</v>
      </c>
      <c r="L14" s="58" t="s">
        <v>60</v>
      </c>
      <c r="M14" s="58" t="s">
        <v>60</v>
      </c>
      <c r="N14" s="58" t="s">
        <v>553</v>
      </c>
      <c r="O14" s="56" t="s">
        <v>262</v>
      </c>
      <c r="P14" s="56">
        <v>6</v>
      </c>
      <c r="Q14" s="58" t="s">
        <v>554</v>
      </c>
      <c r="R14" s="58"/>
      <c r="S14" s="58"/>
      <c r="T14" s="56" t="s">
        <v>555</v>
      </c>
      <c r="U14" s="56" t="s">
        <v>556</v>
      </c>
      <c r="V14" s="56"/>
      <c r="W14" s="56" t="s">
        <v>66</v>
      </c>
      <c r="X14" s="56"/>
      <c r="Y14" s="56"/>
      <c r="Z14" s="56"/>
      <c r="AA14" s="56"/>
      <c r="AB14" s="58" t="s">
        <v>469</v>
      </c>
      <c r="AC14" s="58" t="s">
        <v>68</v>
      </c>
      <c r="AD14" s="58" t="s">
        <v>148</v>
      </c>
      <c r="AE14" s="56" t="s">
        <v>91</v>
      </c>
      <c r="AF14" s="58" t="s">
        <v>181</v>
      </c>
      <c r="AG14" s="58" t="s">
        <v>182</v>
      </c>
      <c r="AH14" s="58"/>
      <c r="AI14" s="58">
        <v>9</v>
      </c>
      <c r="AJ14" s="64">
        <v>45737</v>
      </c>
      <c r="AK14" s="59">
        <v>0.32500000000000001</v>
      </c>
      <c r="AL14" s="64"/>
      <c r="AM14" s="59"/>
      <c r="AN14" s="64">
        <v>45737</v>
      </c>
      <c r="AO14" s="59">
        <v>0.59714120370370372</v>
      </c>
      <c r="AP14" s="58">
        <v>2025</v>
      </c>
      <c r="AQ14" s="61">
        <v>12</v>
      </c>
      <c r="AR14" s="61">
        <v>4</v>
      </c>
      <c r="AS14" s="61">
        <v>21</v>
      </c>
      <c r="AT14" s="62">
        <v>80</v>
      </c>
      <c r="AU14" s="63">
        <v>45737.324999999997</v>
      </c>
      <c r="AV14" s="56">
        <v>171</v>
      </c>
      <c r="AW14" t="s">
        <v>554</v>
      </c>
      <c r="AX14" s="58" t="s">
        <v>557</v>
      </c>
      <c r="AY14" s="58" t="s">
        <v>558</v>
      </c>
      <c r="AZ14" s="58" t="s">
        <v>559</v>
      </c>
      <c r="BA14" s="56" t="s">
        <v>549</v>
      </c>
      <c r="BB14" s="58" t="s">
        <v>305</v>
      </c>
    </row>
    <row r="15" spans="1:54" x14ac:dyDescent="0.3">
      <c r="A15" s="56" t="s">
        <v>629</v>
      </c>
      <c r="B15" s="64">
        <v>45744</v>
      </c>
      <c r="C15" s="58" t="s">
        <v>98</v>
      </c>
      <c r="D15" s="65">
        <v>0.83333333333333337</v>
      </c>
      <c r="E15" s="65">
        <v>0.85416666666666663</v>
      </c>
      <c r="F15" s="58" t="s">
        <v>455</v>
      </c>
      <c r="G15" s="58" t="s">
        <v>462</v>
      </c>
      <c r="H15" s="58" t="s">
        <v>630</v>
      </c>
      <c r="I15" s="58" t="s">
        <v>631</v>
      </c>
      <c r="J15" s="58" t="s">
        <v>214</v>
      </c>
      <c r="K15" s="58" t="s">
        <v>214</v>
      </c>
      <c r="L15" s="58" t="s">
        <v>60</v>
      </c>
      <c r="M15" s="58" t="s">
        <v>60</v>
      </c>
      <c r="N15" s="58" t="s">
        <v>632</v>
      </c>
      <c r="O15" s="56" t="s">
        <v>427</v>
      </c>
      <c r="P15" s="56">
        <v>8</v>
      </c>
      <c r="Q15" s="58" t="s">
        <v>633</v>
      </c>
      <c r="R15" s="58"/>
      <c r="S15" s="58"/>
      <c r="T15" s="56" t="s">
        <v>634</v>
      </c>
      <c r="U15" s="56" t="s">
        <v>635</v>
      </c>
      <c r="V15" s="56" t="s">
        <v>636</v>
      </c>
      <c r="W15" s="56" t="s">
        <v>66</v>
      </c>
      <c r="X15" s="56"/>
      <c r="Y15" s="56"/>
      <c r="Z15" s="56"/>
      <c r="AA15" s="56"/>
      <c r="AB15" s="58" t="s">
        <v>569</v>
      </c>
      <c r="AC15" s="58" t="s">
        <v>68</v>
      </c>
      <c r="AD15" s="58" t="s">
        <v>637</v>
      </c>
      <c r="AE15" s="56" t="s">
        <v>638</v>
      </c>
      <c r="AF15" s="58"/>
      <c r="AG15" s="58"/>
      <c r="AH15" s="58"/>
      <c r="AI15" s="58">
        <v>9</v>
      </c>
      <c r="AJ15" s="64">
        <v>45744</v>
      </c>
      <c r="AK15" s="59">
        <v>0.85416666666666663</v>
      </c>
      <c r="AL15" s="64">
        <v>45745</v>
      </c>
      <c r="AM15" s="59">
        <v>0.41666666666666669</v>
      </c>
      <c r="AN15" s="64">
        <v>45745</v>
      </c>
      <c r="AO15" s="59">
        <v>0.42986111111111114</v>
      </c>
      <c r="AP15" s="58">
        <v>2025</v>
      </c>
      <c r="AQ15" s="61">
        <v>13</v>
      </c>
      <c r="AR15" s="61">
        <v>5</v>
      </c>
      <c r="AS15" s="61">
        <v>28</v>
      </c>
      <c r="AT15" s="62">
        <v>87</v>
      </c>
      <c r="AU15" s="63">
        <v>45744.854166666664</v>
      </c>
      <c r="AV15" s="56">
        <v>296</v>
      </c>
      <c r="AW15" t="s">
        <v>633</v>
      </c>
      <c r="AX15" s="58" t="s">
        <v>639</v>
      </c>
      <c r="AY15" s="58" t="s">
        <v>60</v>
      </c>
      <c r="AZ15" s="58" t="s">
        <v>640</v>
      </c>
      <c r="BA15" s="56" t="s">
        <v>582</v>
      </c>
      <c r="BB15" s="58" t="s">
        <v>110</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DFA7A-305A-4595-B3A4-0C272C7A03AC}">
  <sheetPr>
    <tabColor rgb="FF0070C0"/>
  </sheetPr>
  <dimension ref="A1:L2"/>
  <sheetViews>
    <sheetView workbookViewId="0"/>
  </sheetViews>
  <sheetFormatPr defaultRowHeight="14.4" x14ac:dyDescent="0.3"/>
  <cols>
    <col min="1" max="1" width="26.44140625" bestFit="1" customWidth="1"/>
    <col min="2" max="2" width="14.44140625" bestFit="1" customWidth="1"/>
    <col min="3" max="3" width="13.88671875" bestFit="1" customWidth="1"/>
    <col min="4" max="4" width="29.109375" bestFit="1" customWidth="1"/>
    <col min="5" max="5" width="26.5546875" bestFit="1" customWidth="1"/>
    <col min="6" max="6" width="8.109375" bestFit="1" customWidth="1"/>
    <col min="7" max="7" width="19.88671875" bestFit="1" customWidth="1"/>
    <col min="8" max="8" width="14.88671875" bestFit="1" customWidth="1"/>
    <col min="9" max="9" width="19.88671875" bestFit="1" customWidth="1"/>
    <col min="10" max="10" width="26.5546875" bestFit="1" customWidth="1"/>
    <col min="11" max="11" width="17.88671875" bestFit="1" customWidth="1"/>
    <col min="12" max="12" width="19.6640625" bestFit="1" customWidth="1"/>
  </cols>
  <sheetData>
    <row r="1" spans="1:12" x14ac:dyDescent="0.3">
      <c r="A1" t="s">
        <v>662</v>
      </c>
      <c r="B1" t="s">
        <v>35</v>
      </c>
      <c r="C1" t="s">
        <v>650</v>
      </c>
      <c r="D1" t="s">
        <v>651</v>
      </c>
      <c r="E1" t="s">
        <v>652</v>
      </c>
      <c r="F1" t="s">
        <v>460</v>
      </c>
      <c r="G1" t="s">
        <v>653</v>
      </c>
      <c r="H1" t="s">
        <v>654</v>
      </c>
      <c r="I1" t="s">
        <v>656</v>
      </c>
      <c r="J1" t="s">
        <v>657</v>
      </c>
      <c r="K1" t="s">
        <v>660</v>
      </c>
      <c r="L1" t="s">
        <v>661</v>
      </c>
    </row>
    <row r="2" spans="1:12" x14ac:dyDescent="0.3">
      <c r="B2" s="1"/>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3A0C6-86F4-40CE-9797-6BEBBE859FFD}">
  <sheetPr codeName="Sheet6">
    <tabColor rgb="FF0070C0"/>
  </sheetPr>
  <dimension ref="A1:AB47"/>
  <sheetViews>
    <sheetView showGridLines="0" topLeftCell="A4" workbookViewId="0">
      <selection activeCell="A18" sqref="A18:H24"/>
    </sheetView>
  </sheetViews>
  <sheetFormatPr defaultColWidth="8.88671875" defaultRowHeight="15.6" x14ac:dyDescent="0.3"/>
  <cols>
    <col min="1" max="1" width="18.44140625" style="9" bestFit="1" customWidth="1"/>
    <col min="2" max="8" width="6.77734375" style="9" customWidth="1"/>
    <col min="9" max="9" width="19.88671875" style="9" bestFit="1" customWidth="1"/>
    <col min="10" max="10" width="14.88671875" style="9" bestFit="1" customWidth="1"/>
    <col min="11" max="11" width="2.88671875" style="9" bestFit="1" customWidth="1"/>
    <col min="12" max="12" width="7.6640625" style="9" bestFit="1" customWidth="1"/>
    <col min="13" max="13" width="22.33203125" style="9" bestFit="1" customWidth="1"/>
    <col min="14" max="14" width="33.6640625" style="13" customWidth="1"/>
    <col min="15" max="15" width="18.109375" style="13" customWidth="1"/>
    <col min="16" max="16" width="16.88671875" style="13" customWidth="1"/>
    <col min="17" max="17" width="36.5546875" style="9" customWidth="1"/>
    <col min="18" max="18" width="34.5546875" style="9" customWidth="1"/>
    <col min="19" max="19" width="25" style="9" customWidth="1"/>
    <col min="20" max="20" width="17.88671875" style="9" customWidth="1"/>
    <col min="21" max="21" width="25.88671875" style="9" customWidth="1"/>
    <col min="22" max="22" width="34.6640625" style="9" customWidth="1"/>
    <col min="23" max="23" width="22.6640625" style="13" customWidth="1"/>
    <col min="24" max="24" width="25.33203125" style="9" customWidth="1"/>
    <col min="25" max="25" width="35" style="9" bestFit="1" customWidth="1"/>
    <col min="26" max="26" width="8.88671875" style="9"/>
    <col min="27" max="27" width="35.5546875" style="9" bestFit="1" customWidth="1"/>
    <col min="28" max="28" width="23" style="9" bestFit="1" customWidth="1"/>
    <col min="29" max="16384" width="8.88671875" style="9"/>
  </cols>
  <sheetData>
    <row r="1" spans="1:28" ht="18" x14ac:dyDescent="0.35">
      <c r="A1" s="51" t="s">
        <v>1</v>
      </c>
      <c r="B1" s="52" t="s">
        <v>128</v>
      </c>
      <c r="C1" s="52"/>
      <c r="D1" s="52"/>
      <c r="E1" s="52"/>
      <c r="F1" s="52"/>
      <c r="G1" s="52"/>
      <c r="H1" s="52"/>
      <c r="I1"/>
      <c r="J1"/>
      <c r="K1" s="52"/>
      <c r="L1" s="52"/>
      <c r="N1" s="69" t="s">
        <v>662</v>
      </c>
      <c r="O1" s="69" t="s">
        <v>35</v>
      </c>
      <c r="P1" s="69" t="s">
        <v>650</v>
      </c>
      <c r="Q1" s="69" t="s">
        <v>651</v>
      </c>
      <c r="R1" s="69" t="s">
        <v>652</v>
      </c>
      <c r="S1" s="69" t="s">
        <v>653</v>
      </c>
      <c r="T1" s="69" t="s">
        <v>654</v>
      </c>
      <c r="U1" s="69" t="s">
        <v>656</v>
      </c>
      <c r="V1" s="69" t="s">
        <v>657</v>
      </c>
      <c r="W1" s="69" t="s">
        <v>660</v>
      </c>
      <c r="X1" s="69" t="s">
        <v>661</v>
      </c>
      <c r="Y1" s="9" t="s">
        <v>460</v>
      </c>
      <c r="AA1" s="72" t="s">
        <v>0</v>
      </c>
      <c r="AB1" s="102" t="s">
        <v>629</v>
      </c>
    </row>
    <row r="2" spans="1:28" ht="18" x14ac:dyDescent="0.35">
      <c r="A2" s="51" t="s">
        <v>10</v>
      </c>
      <c r="B2" s="52" t="s">
        <v>128</v>
      </c>
      <c r="C2" s="52"/>
      <c r="D2" s="52"/>
      <c r="E2" s="52"/>
      <c r="F2" s="52"/>
      <c r="G2" s="52"/>
      <c r="H2" s="52"/>
      <c r="I2"/>
      <c r="J2"/>
      <c r="K2" s="52"/>
      <c r="L2" s="52"/>
      <c r="N2" s="58" t="s">
        <v>630</v>
      </c>
      <c r="O2" s="64">
        <v>45744</v>
      </c>
      <c r="P2" s="58" t="s">
        <v>667</v>
      </c>
      <c r="Q2" s="58" t="s">
        <v>98</v>
      </c>
      <c r="R2" s="58" t="s">
        <v>668</v>
      </c>
      <c r="S2" s="58" t="s">
        <v>669</v>
      </c>
      <c r="T2" s="58" t="s">
        <v>573</v>
      </c>
      <c r="U2" s="58" t="s">
        <v>573</v>
      </c>
      <c r="V2" s="58" t="s">
        <v>573</v>
      </c>
      <c r="W2" s="58" t="s">
        <v>670</v>
      </c>
      <c r="X2" s="58" t="s">
        <v>666</v>
      </c>
      <c r="Y2" s="9" t="s">
        <v>573</v>
      </c>
      <c r="AA2" s="74" t="s">
        <v>662</v>
      </c>
      <c r="AB2" s="103" t="s">
        <v>630</v>
      </c>
    </row>
    <row r="3" spans="1:28" ht="18" x14ac:dyDescent="0.35">
      <c r="A3" s="52"/>
      <c r="B3" s="52"/>
      <c r="C3" s="52"/>
      <c r="D3" s="52"/>
      <c r="E3" s="52"/>
      <c r="F3" s="52"/>
      <c r="G3" s="52"/>
      <c r="H3" s="52"/>
      <c r="I3" s="52"/>
      <c r="J3" s="52"/>
      <c r="K3" s="52"/>
      <c r="L3" s="52"/>
      <c r="M3" s="52"/>
      <c r="N3" s="54"/>
      <c r="O3" s="54"/>
      <c r="U3"/>
      <c r="V3"/>
      <c r="W3"/>
      <c r="AA3" s="75" t="s">
        <v>35</v>
      </c>
      <c r="AB3" s="104">
        <v>45744</v>
      </c>
    </row>
    <row r="4" spans="1:28" ht="25.2" x14ac:dyDescent="0.35">
      <c r="A4" s="51" t="s">
        <v>129</v>
      </c>
      <c r="B4" s="90" t="s">
        <v>5</v>
      </c>
      <c r="C4" s="52"/>
      <c r="D4" s="52"/>
      <c r="E4" s="52"/>
      <c r="F4" s="52"/>
      <c r="G4" s="52"/>
      <c r="H4" s="52"/>
      <c r="I4"/>
      <c r="J4"/>
      <c r="K4"/>
      <c r="L4" s="53"/>
      <c r="M4"/>
      <c r="N4"/>
      <c r="O4"/>
      <c r="AA4" s="75" t="s">
        <v>649</v>
      </c>
      <c r="AB4" s="105" t="s">
        <v>462</v>
      </c>
    </row>
    <row r="5" spans="1:28" ht="18" x14ac:dyDescent="0.35">
      <c r="A5" s="51" t="s">
        <v>53</v>
      </c>
      <c r="B5" s="52" t="s">
        <v>451</v>
      </c>
      <c r="C5" s="52" t="s">
        <v>452</v>
      </c>
      <c r="D5" s="52" t="s">
        <v>453</v>
      </c>
      <c r="E5" s="52" t="s">
        <v>455</v>
      </c>
      <c r="F5" s="52" t="s">
        <v>456</v>
      </c>
      <c r="G5" s="52"/>
      <c r="H5" s="52"/>
      <c r="I5"/>
      <c r="J5"/>
      <c r="K5"/>
      <c r="L5" s="53"/>
      <c r="M5"/>
      <c r="N5"/>
      <c r="O5"/>
      <c r="AA5" s="74" t="s">
        <v>650</v>
      </c>
      <c r="AB5" s="103" t="s">
        <v>667</v>
      </c>
    </row>
    <row r="6" spans="1:28" ht="18" x14ac:dyDescent="0.35">
      <c r="A6" s="52" t="s">
        <v>77</v>
      </c>
      <c r="B6" s="52"/>
      <c r="C6" s="52">
        <v>1</v>
      </c>
      <c r="D6" s="52">
        <v>1</v>
      </c>
      <c r="E6" s="52">
        <v>1</v>
      </c>
      <c r="F6" s="52"/>
      <c r="G6" s="52"/>
      <c r="H6" s="52"/>
      <c r="I6"/>
      <c r="J6"/>
      <c r="K6"/>
      <c r="L6" s="53"/>
      <c r="M6"/>
      <c r="N6"/>
      <c r="O6"/>
      <c r="AA6" s="75" t="s">
        <v>651</v>
      </c>
      <c r="AB6" s="105" t="s">
        <v>98</v>
      </c>
    </row>
    <row r="7" spans="1:28" ht="18" x14ac:dyDescent="0.35">
      <c r="A7" s="52" t="s">
        <v>173</v>
      </c>
      <c r="B7" s="52"/>
      <c r="C7" s="52"/>
      <c r="D7" s="52"/>
      <c r="E7" s="52"/>
      <c r="F7" s="52">
        <v>1</v>
      </c>
      <c r="G7" s="52"/>
      <c r="H7" s="52"/>
      <c r="I7"/>
      <c r="J7"/>
      <c r="K7"/>
      <c r="L7" s="53"/>
      <c r="M7"/>
      <c r="N7"/>
      <c r="O7"/>
      <c r="AA7" s="74" t="s">
        <v>652</v>
      </c>
      <c r="AB7" s="103" t="s">
        <v>668</v>
      </c>
    </row>
    <row r="8" spans="1:28" ht="18" x14ac:dyDescent="0.35">
      <c r="A8" s="52" t="s">
        <v>96</v>
      </c>
      <c r="B8" s="52">
        <v>1</v>
      </c>
      <c r="C8" s="52">
        <v>1</v>
      </c>
      <c r="D8" s="52"/>
      <c r="E8" s="52"/>
      <c r="F8" s="52"/>
      <c r="G8" s="52"/>
      <c r="H8" s="52"/>
      <c r="I8" s="53"/>
      <c r="J8" s="53"/>
      <c r="K8" s="53"/>
      <c r="L8" s="53"/>
      <c r="M8"/>
      <c r="N8"/>
      <c r="O8"/>
      <c r="AA8" s="75" t="s">
        <v>653</v>
      </c>
      <c r="AB8" s="105" t="s">
        <v>669</v>
      </c>
    </row>
    <row r="9" spans="1:28" ht="18" x14ac:dyDescent="0.35">
      <c r="A9" s="52" t="s">
        <v>305</v>
      </c>
      <c r="B9" s="52"/>
      <c r="C9" s="52"/>
      <c r="D9" s="52"/>
      <c r="E9" s="52">
        <v>2</v>
      </c>
      <c r="F9" s="52"/>
      <c r="G9" s="52"/>
      <c r="H9" s="52"/>
      <c r="I9" s="53"/>
      <c r="J9" s="53"/>
      <c r="K9" s="53"/>
      <c r="L9" s="53"/>
      <c r="M9"/>
      <c r="N9" s="55"/>
      <c r="O9" s="55"/>
      <c r="AA9" s="74" t="s">
        <v>654</v>
      </c>
      <c r="AB9" s="103" t="s">
        <v>573</v>
      </c>
    </row>
    <row r="10" spans="1:28" ht="18" x14ac:dyDescent="0.3">
      <c r="A10" s="52" t="s">
        <v>151</v>
      </c>
      <c r="B10" s="52">
        <v>2</v>
      </c>
      <c r="C10" s="52">
        <v>1</v>
      </c>
      <c r="D10" s="52">
        <v>1</v>
      </c>
      <c r="E10" s="52"/>
      <c r="F10" s="52"/>
      <c r="G10" s="52"/>
      <c r="H10" s="52"/>
      <c r="I10" s="53"/>
      <c r="J10" s="53"/>
      <c r="K10" s="53"/>
      <c r="L10" s="53"/>
      <c r="M10"/>
      <c r="N10" s="55"/>
      <c r="O10" s="55"/>
      <c r="AA10" s="76" t="s">
        <v>656</v>
      </c>
      <c r="AB10" s="106" t="s">
        <v>573</v>
      </c>
    </row>
    <row r="11" spans="1:28" ht="18" x14ac:dyDescent="0.35">
      <c r="A11" s="52" t="s">
        <v>110</v>
      </c>
      <c r="B11" s="52"/>
      <c r="C11" s="52"/>
      <c r="D11" s="52"/>
      <c r="E11" s="52">
        <v>2</v>
      </c>
      <c r="F11" s="52"/>
      <c r="G11" s="52"/>
      <c r="H11" s="52"/>
      <c r="I11" s="52"/>
      <c r="J11" s="52"/>
      <c r="K11" s="52"/>
      <c r="L11" s="52"/>
      <c r="M11"/>
      <c r="N11"/>
      <c r="O11"/>
      <c r="P11"/>
      <c r="Q11"/>
      <c r="R11"/>
      <c r="S11"/>
      <c r="T11"/>
      <c r="W11" s="9"/>
      <c r="AA11" s="74" t="s">
        <v>657</v>
      </c>
      <c r="AB11" s="103" t="s">
        <v>573</v>
      </c>
    </row>
    <row r="12" spans="1:28" ht="18" x14ac:dyDescent="0.35">
      <c r="A12" s="52"/>
      <c r="B12" s="52"/>
      <c r="C12" s="52"/>
      <c r="D12" s="52"/>
      <c r="E12" s="52"/>
      <c r="F12" s="52"/>
      <c r="G12" s="52"/>
      <c r="H12" s="52"/>
      <c r="I12" s="52"/>
      <c r="J12" s="52"/>
      <c r="K12" s="52"/>
      <c r="L12" s="52"/>
      <c r="M12"/>
      <c r="N12"/>
      <c r="O12"/>
      <c r="P12"/>
      <c r="Q12"/>
      <c r="R12"/>
      <c r="S12"/>
      <c r="T12"/>
      <c r="W12" s="9"/>
      <c r="AA12" s="75" t="s">
        <v>660</v>
      </c>
      <c r="AB12" s="105" t="s">
        <v>670</v>
      </c>
    </row>
    <row r="13" spans="1:28" ht="18" x14ac:dyDescent="0.35">
      <c r="M13" s="13"/>
      <c r="AA13" s="74" t="s">
        <v>661</v>
      </c>
      <c r="AB13" s="107" t="s">
        <v>666</v>
      </c>
    </row>
    <row r="14" spans="1:28" ht="18.600000000000001" thickBot="1" x14ac:dyDescent="0.4">
      <c r="AA14" s="101" t="s">
        <v>460</v>
      </c>
      <c r="AB14" s="108"/>
    </row>
    <row r="17" spans="1:23" ht="23.4" x14ac:dyDescent="0.45">
      <c r="A17" s="194" t="s">
        <v>457</v>
      </c>
      <c r="B17" s="194"/>
      <c r="C17" s="194"/>
      <c r="D17" s="194"/>
      <c r="E17" s="194"/>
      <c r="F17" s="194"/>
      <c r="G17" s="194"/>
      <c r="H17" s="194"/>
      <c r="N17" s="9"/>
      <c r="O17" s="9"/>
      <c r="W17" s="9"/>
    </row>
    <row r="18" spans="1:23" s="8" customFormat="1" ht="18.600000000000001" thickBot="1" x14ac:dyDescent="0.4">
      <c r="A18" s="8" t="s">
        <v>450</v>
      </c>
      <c r="B18" s="10" t="s">
        <v>459</v>
      </c>
      <c r="C18" s="10" t="s">
        <v>451</v>
      </c>
      <c r="D18" s="10" t="s">
        <v>452</v>
      </c>
      <c r="E18" s="10" t="s">
        <v>453</v>
      </c>
      <c r="F18" s="10" t="s">
        <v>454</v>
      </c>
      <c r="G18" s="8" t="s">
        <v>455</v>
      </c>
      <c r="H18" s="8" t="s">
        <v>456</v>
      </c>
      <c r="M18" s="9"/>
      <c r="P18" s="14"/>
    </row>
    <row r="19" spans="1:23" x14ac:dyDescent="0.3">
      <c r="A19" s="117" t="s">
        <v>77</v>
      </c>
      <c r="B19" s="118"/>
      <c r="C19" s="118"/>
      <c r="D19" s="118"/>
      <c r="E19" s="89"/>
      <c r="F19" s="118">
        <v>1</v>
      </c>
      <c r="G19" s="118"/>
      <c r="H19" s="119"/>
      <c r="N19" s="9"/>
      <c r="O19" s="9"/>
      <c r="W19" s="9"/>
    </row>
    <row r="20" spans="1:23" x14ac:dyDescent="0.3">
      <c r="A20" s="120" t="s">
        <v>173</v>
      </c>
      <c r="B20" s="44"/>
      <c r="C20" s="44"/>
      <c r="D20" s="44">
        <v>1</v>
      </c>
      <c r="E20"/>
      <c r="F20" s="44"/>
      <c r="G20" s="44"/>
      <c r="H20" s="121"/>
      <c r="M20" s="13"/>
      <c r="N20" s="9"/>
      <c r="O20" s="9"/>
      <c r="W20" s="9"/>
    </row>
    <row r="21" spans="1:23" ht="18" x14ac:dyDescent="0.35">
      <c r="A21" s="120" t="s">
        <v>96</v>
      </c>
      <c r="B21" s="44"/>
      <c r="C21" s="44">
        <v>1</v>
      </c>
      <c r="D21" s="44">
        <v>2</v>
      </c>
      <c r="E21"/>
      <c r="F21" s="44"/>
      <c r="G21" s="44"/>
      <c r="H21" s="121"/>
      <c r="N21" s="9"/>
      <c r="O21" s="9"/>
      <c r="Q21" s="69"/>
      <c r="R21"/>
      <c r="W21" s="9"/>
    </row>
    <row r="22" spans="1:23" x14ac:dyDescent="0.3">
      <c r="A22" s="120" t="s">
        <v>305</v>
      </c>
      <c r="B22" s="44">
        <v>1</v>
      </c>
      <c r="C22" s="44">
        <v>1</v>
      </c>
      <c r="D22" s="44">
        <v>1</v>
      </c>
      <c r="E22"/>
      <c r="F22" s="44"/>
      <c r="G22" s="44"/>
      <c r="H22" s="121"/>
      <c r="N22" s="9"/>
      <c r="O22" s="9"/>
      <c r="Q22" s="73"/>
      <c r="R22"/>
      <c r="W22" s="9"/>
    </row>
    <row r="23" spans="1:23" x14ac:dyDescent="0.3">
      <c r="A23" s="120" t="s">
        <v>151</v>
      </c>
      <c r="B23" s="44"/>
      <c r="C23" s="44"/>
      <c r="D23" s="44"/>
      <c r="E23"/>
      <c r="F23" s="44">
        <v>1</v>
      </c>
      <c r="G23" s="44"/>
      <c r="H23" s="121"/>
      <c r="N23" s="58"/>
      <c r="O23" s="58"/>
      <c r="P23" s="58"/>
      <c r="Q23" s="73"/>
      <c r="R23"/>
      <c r="W23" s="9"/>
    </row>
    <row r="24" spans="1:23" ht="16.2" thickBot="1" x14ac:dyDescent="0.35">
      <c r="A24" s="122" t="s">
        <v>110</v>
      </c>
      <c r="B24" s="123"/>
      <c r="C24" s="123"/>
      <c r="D24" s="123"/>
      <c r="E24" s="124"/>
      <c r="F24" s="123"/>
      <c r="G24" s="123"/>
      <c r="H24" s="125"/>
      <c r="N24" s="58"/>
      <c r="O24" s="58"/>
      <c r="P24" s="58"/>
      <c r="Q24" s="73"/>
      <c r="R24"/>
      <c r="W24" s="9"/>
    </row>
    <row r="25" spans="1:23" x14ac:dyDescent="0.3">
      <c r="N25" s="58"/>
      <c r="O25" s="58"/>
      <c r="P25" s="58"/>
      <c r="Q25" s="58"/>
      <c r="R25"/>
      <c r="W25" s="9"/>
    </row>
    <row r="26" spans="1:23" x14ac:dyDescent="0.3">
      <c r="N26" s="58"/>
      <c r="O26" s="58"/>
      <c r="P26" s="58"/>
      <c r="Q26" s="58"/>
      <c r="R26"/>
      <c r="W26" s="9"/>
    </row>
    <row r="27" spans="1:23" x14ac:dyDescent="0.3">
      <c r="N27" s="58"/>
      <c r="O27" s="58"/>
      <c r="P27" s="58"/>
      <c r="Q27" s="58"/>
      <c r="R27"/>
      <c r="W27" s="9"/>
    </row>
    <row r="28" spans="1:23" x14ac:dyDescent="0.3">
      <c r="N28" s="58"/>
      <c r="O28" s="58"/>
      <c r="P28" s="58"/>
      <c r="Q28" s="58"/>
      <c r="R28"/>
      <c r="W28" s="9"/>
    </row>
    <row r="29" spans="1:23" s="11" customFormat="1" ht="18" x14ac:dyDescent="0.35">
      <c r="N29" s="58"/>
      <c r="O29" s="58"/>
      <c r="P29" s="58"/>
      <c r="Q29" s="58"/>
      <c r="R29"/>
    </row>
    <row r="30" spans="1:23" x14ac:dyDescent="0.3">
      <c r="N30" s="58"/>
      <c r="O30" s="58"/>
      <c r="P30" s="58"/>
      <c r="Q30" s="58"/>
      <c r="R30"/>
      <c r="W30" s="9"/>
    </row>
    <row r="31" spans="1:23" x14ac:dyDescent="0.3">
      <c r="N31" s="58"/>
      <c r="O31" s="58"/>
      <c r="P31" s="58"/>
      <c r="Q31" s="58"/>
      <c r="R31" s="58"/>
      <c r="W31" s="9"/>
    </row>
    <row r="32" spans="1:23" x14ac:dyDescent="0.3">
      <c r="N32" s="58"/>
      <c r="O32" s="58"/>
      <c r="P32" s="58"/>
      <c r="Q32" s="58"/>
      <c r="R32" s="58"/>
      <c r="W32" s="9"/>
    </row>
    <row r="33" spans="1:23" x14ac:dyDescent="0.3">
      <c r="A33" s="51" t="s">
        <v>1</v>
      </c>
      <c r="B33" s="52" t="s">
        <v>210</v>
      </c>
      <c r="C33" s="52"/>
      <c r="D33" s="52"/>
      <c r="E33" s="52"/>
      <c r="F33" s="52"/>
      <c r="I33" s="58"/>
      <c r="J33" s="58"/>
      <c r="K33" s="58"/>
      <c r="L33" s="58"/>
      <c r="M33" s="58"/>
      <c r="N33" s="58"/>
      <c r="O33" s="58"/>
      <c r="P33" s="58"/>
      <c r="Q33" s="58"/>
      <c r="R33" s="58"/>
      <c r="W33" s="9"/>
    </row>
    <row r="34" spans="1:23" x14ac:dyDescent="0.3">
      <c r="A34" s="51" t="s">
        <v>10</v>
      </c>
      <c r="B34" s="52" t="s">
        <v>128</v>
      </c>
      <c r="C34" s="52"/>
      <c r="D34" s="52"/>
      <c r="E34" s="52"/>
      <c r="F34" s="52"/>
      <c r="I34" s="58"/>
      <c r="J34" s="58"/>
      <c r="K34" s="58"/>
      <c r="L34" s="58"/>
      <c r="M34" s="58"/>
      <c r="N34" s="58"/>
      <c r="O34" s="58"/>
      <c r="P34" s="58"/>
      <c r="Q34" s="58"/>
      <c r="R34" s="58"/>
      <c r="W34" s="9"/>
    </row>
    <row r="35" spans="1:23" x14ac:dyDescent="0.3">
      <c r="A35" s="52"/>
      <c r="B35" s="52"/>
      <c r="C35" s="52"/>
      <c r="D35" s="52"/>
      <c r="E35" s="52"/>
      <c r="F35" s="52"/>
      <c r="I35" s="13"/>
      <c r="J35" s="13"/>
      <c r="N35" s="9"/>
      <c r="O35" s="9"/>
      <c r="W35" s="9"/>
    </row>
    <row r="36" spans="1:23" ht="24.6" x14ac:dyDescent="0.3">
      <c r="A36" s="51" t="s">
        <v>129</v>
      </c>
      <c r="B36" s="90" t="s">
        <v>5</v>
      </c>
      <c r="C36"/>
      <c r="D36"/>
      <c r="E36"/>
      <c r="F36"/>
      <c r="I36" s="13"/>
      <c r="J36" s="13"/>
      <c r="N36" s="9"/>
      <c r="O36" s="9"/>
      <c r="W36" s="9"/>
    </row>
    <row r="37" spans="1:23" x14ac:dyDescent="0.3">
      <c r="A37" s="51" t="s">
        <v>53</v>
      </c>
      <c r="B37" s="52" t="s">
        <v>455</v>
      </c>
      <c r="C37"/>
      <c r="D37"/>
      <c r="E37"/>
      <c r="F37"/>
      <c r="I37" s="13"/>
      <c r="J37" s="13"/>
      <c r="N37" s="9"/>
      <c r="O37" s="9"/>
      <c r="W37" s="9"/>
    </row>
    <row r="38" spans="1:23" x14ac:dyDescent="0.3">
      <c r="A38" s="52" t="s">
        <v>305</v>
      </c>
      <c r="B38" s="52">
        <v>1</v>
      </c>
      <c r="C38"/>
      <c r="D38"/>
      <c r="E38"/>
      <c r="F38"/>
    </row>
    <row r="39" spans="1:23" x14ac:dyDescent="0.3">
      <c r="A39" s="52" t="s">
        <v>110</v>
      </c>
      <c r="B39" s="52">
        <v>1</v>
      </c>
      <c r="C39"/>
      <c r="D39"/>
      <c r="E39"/>
      <c r="F39"/>
    </row>
    <row r="40" spans="1:23" x14ac:dyDescent="0.3">
      <c r="A40"/>
      <c r="B40"/>
      <c r="C40"/>
      <c r="D40"/>
      <c r="E40"/>
      <c r="F40"/>
    </row>
    <row r="41" spans="1:23" x14ac:dyDescent="0.3">
      <c r="A41"/>
      <c r="B41"/>
      <c r="C41"/>
      <c r="D41"/>
      <c r="E41"/>
      <c r="F41"/>
    </row>
    <row r="42" spans="1:23" x14ac:dyDescent="0.3">
      <c r="A42"/>
      <c r="B42"/>
      <c r="C42"/>
      <c r="D42"/>
      <c r="E42"/>
      <c r="F42"/>
    </row>
    <row r="43" spans="1:23" x14ac:dyDescent="0.3">
      <c r="A43"/>
      <c r="B43"/>
      <c r="C43"/>
      <c r="D43"/>
      <c r="E43"/>
      <c r="F43"/>
    </row>
    <row r="44" spans="1:23" ht="23.4" x14ac:dyDescent="0.45">
      <c r="A44" s="194" t="s">
        <v>739</v>
      </c>
      <c r="B44" s="194"/>
      <c r="C44" s="194"/>
      <c r="D44" s="194"/>
      <c r="E44" s="194"/>
      <c r="F44" s="194"/>
      <c r="G44" s="194"/>
      <c r="H44" s="194"/>
    </row>
    <row r="45" spans="1:23" ht="18.600000000000001" thickBot="1" x14ac:dyDescent="0.4">
      <c r="A45" s="8" t="s">
        <v>450</v>
      </c>
      <c r="B45" s="10" t="s">
        <v>459</v>
      </c>
      <c r="C45" s="10" t="s">
        <v>451</v>
      </c>
      <c r="D45" s="10" t="s">
        <v>452</v>
      </c>
      <c r="E45" s="10" t="s">
        <v>453</v>
      </c>
      <c r="F45" s="10" t="s">
        <v>454</v>
      </c>
      <c r="G45" s="8" t="s">
        <v>455</v>
      </c>
      <c r="H45" s="8" t="s">
        <v>456</v>
      </c>
    </row>
    <row r="46" spans="1:23" x14ac:dyDescent="0.3">
      <c r="A46" s="117" t="s">
        <v>305</v>
      </c>
      <c r="B46" s="118"/>
      <c r="C46" s="118"/>
      <c r="D46" s="118"/>
      <c r="E46" s="89"/>
      <c r="F46" s="118"/>
      <c r="G46" s="118">
        <v>1</v>
      </c>
      <c r="H46" s="119"/>
    </row>
    <row r="47" spans="1:23" x14ac:dyDescent="0.3">
      <c r="A47" s="120" t="s">
        <v>110</v>
      </c>
      <c r="B47" s="44"/>
      <c r="C47" s="44"/>
      <c r="D47" s="44"/>
      <c r="E47"/>
      <c r="F47" s="44"/>
      <c r="G47" s="44">
        <v>1</v>
      </c>
      <c r="H47" s="121"/>
    </row>
  </sheetData>
  <mergeCells count="2">
    <mergeCell ref="A44:H44"/>
    <mergeCell ref="A17:H17"/>
  </mergeCells>
  <pageMargins left="0.7" right="0.7" top="0.75" bottom="0.75" header="0.3" footer="0.3"/>
  <pageSetup orientation="portrait" horizontalDpi="1200" verticalDpi="1200" r:id="rId3"/>
  <tableParts count="3">
    <tablePart r:id="rId4"/>
    <tablePart r:id="rId5"/>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B58CE-69A7-496E-B97E-DE68943A7A72}">
  <sheetPr>
    <tabColor rgb="FFFF0000"/>
  </sheetPr>
  <dimension ref="A1:AT10"/>
  <sheetViews>
    <sheetView workbookViewId="0">
      <selection sqref="A1:AT10"/>
    </sheetView>
  </sheetViews>
  <sheetFormatPr defaultRowHeight="14.4" x14ac:dyDescent="0.3"/>
  <cols>
    <col min="1" max="1" width="19.33203125" bestFit="1" customWidth="1"/>
    <col min="2" max="2" width="15.44140625" bestFit="1" customWidth="1"/>
    <col min="3" max="3" width="28.33203125" bestFit="1" customWidth="1"/>
    <col min="4" max="4" width="18.33203125" bestFit="1" customWidth="1"/>
    <col min="5" max="5" width="15" bestFit="1" customWidth="1"/>
    <col min="6" max="6" width="15.77734375" bestFit="1" customWidth="1"/>
    <col min="7" max="7" width="18.44140625" bestFit="1" customWidth="1"/>
    <col min="8" max="8" width="39.88671875" bestFit="1" customWidth="1"/>
    <col min="9" max="9" width="33.21875" bestFit="1" customWidth="1"/>
    <col min="10" max="10" width="53.33203125" bestFit="1" customWidth="1"/>
    <col min="11" max="11" width="21.44140625" bestFit="1" customWidth="1"/>
    <col min="12" max="12" width="29.33203125" bestFit="1" customWidth="1"/>
    <col min="13" max="13" width="21.44140625" bestFit="1" customWidth="1"/>
    <col min="14" max="14" width="79.77734375" bestFit="1" customWidth="1"/>
    <col min="15" max="15" width="9.6640625" bestFit="1" customWidth="1"/>
    <col min="16" max="16" width="10.44140625" bestFit="1" customWidth="1"/>
    <col min="17" max="17" width="80.88671875" bestFit="1" customWidth="1"/>
    <col min="18" max="18" width="23.88671875" bestFit="1" customWidth="1"/>
    <col min="19" max="19" width="25.5546875" bestFit="1" customWidth="1"/>
    <col min="20" max="20" width="19.33203125" bestFit="1" customWidth="1"/>
    <col min="21" max="21" width="12.109375" bestFit="1" customWidth="1"/>
    <col min="22" max="22" width="12.88671875" bestFit="1" customWidth="1"/>
    <col min="23" max="23" width="16.6640625" bestFit="1" customWidth="1"/>
    <col min="24" max="24" width="19.33203125" bestFit="1" customWidth="1"/>
    <col min="25" max="25" width="16.6640625" bestFit="1" customWidth="1"/>
    <col min="26" max="26" width="12.109375" bestFit="1" customWidth="1"/>
    <col min="27" max="27" width="12.88671875" bestFit="1" customWidth="1"/>
    <col min="28" max="28" width="18.21875" bestFit="1" customWidth="1"/>
    <col min="29" max="29" width="20.21875" bestFit="1" customWidth="1"/>
    <col min="30" max="30" width="31.109375" bestFit="1" customWidth="1"/>
    <col min="31" max="31" width="12" bestFit="1" customWidth="1"/>
    <col min="32" max="32" width="27.109375" bestFit="1" customWidth="1"/>
    <col min="33" max="33" width="31.109375" bestFit="1" customWidth="1"/>
    <col min="34" max="34" width="26.44140625" bestFit="1" customWidth="1"/>
    <col min="35" max="35" width="10" bestFit="1" customWidth="1"/>
    <col min="36" max="36" width="18.77734375" bestFit="1" customWidth="1"/>
    <col min="37" max="37" width="20.6640625" bestFit="1" customWidth="1"/>
    <col min="38" max="38" width="9.33203125" bestFit="1" customWidth="1"/>
    <col min="39" max="39" width="16.77734375" bestFit="1" customWidth="1"/>
    <col min="40" max="40" width="27" bestFit="1" customWidth="1"/>
    <col min="41" max="41" width="8.77734375" bestFit="1" customWidth="1"/>
    <col min="42" max="42" width="80.88671875" bestFit="1" customWidth="1"/>
    <col min="43" max="43" width="36.5546875" bestFit="1" customWidth="1"/>
    <col min="44" max="45" width="80.88671875" bestFit="1" customWidth="1"/>
    <col min="46" max="46" width="21.6640625" bestFit="1" customWidth="1"/>
  </cols>
  <sheetData>
    <row r="1" spans="1:46" ht="15.6" x14ac:dyDescent="0.3">
      <c r="A1" s="130" t="s">
        <v>0</v>
      </c>
      <c r="B1" s="130" t="s">
        <v>1</v>
      </c>
      <c r="C1" s="130" t="s">
        <v>53</v>
      </c>
      <c r="D1" s="130" t="s">
        <v>3</v>
      </c>
      <c r="E1" s="130" t="s">
        <v>4</v>
      </c>
      <c r="F1" s="130" t="s">
        <v>5</v>
      </c>
      <c r="G1" s="130" t="s">
        <v>6</v>
      </c>
      <c r="H1" s="130" t="s">
        <v>7</v>
      </c>
      <c r="I1" s="130" t="s">
        <v>8</v>
      </c>
      <c r="J1" s="130" t="s">
        <v>10</v>
      </c>
      <c r="K1" s="130" t="s">
        <v>9</v>
      </c>
      <c r="L1" s="130" t="s">
        <v>11</v>
      </c>
      <c r="M1" s="130" t="s">
        <v>12</v>
      </c>
      <c r="N1" s="130" t="s">
        <v>13</v>
      </c>
      <c r="O1" s="130" t="s">
        <v>14</v>
      </c>
      <c r="P1" s="130" t="s">
        <v>15</v>
      </c>
      <c r="Q1" s="130" t="s">
        <v>16</v>
      </c>
      <c r="R1" s="130" t="s">
        <v>17</v>
      </c>
      <c r="S1" s="130" t="s">
        <v>18</v>
      </c>
      <c r="T1" s="130" t="s">
        <v>19</v>
      </c>
      <c r="U1" s="130" t="s">
        <v>20</v>
      </c>
      <c r="V1" s="130" t="s">
        <v>21</v>
      </c>
      <c r="W1" s="130" t="s">
        <v>22</v>
      </c>
      <c r="X1" s="130" t="s">
        <v>23</v>
      </c>
      <c r="Y1" s="130" t="s">
        <v>24</v>
      </c>
      <c r="Z1" s="130" t="s">
        <v>25</v>
      </c>
      <c r="AA1" s="130" t="s">
        <v>26</v>
      </c>
      <c r="AB1" s="130" t="s">
        <v>27</v>
      </c>
      <c r="AC1" s="130" t="s">
        <v>28</v>
      </c>
      <c r="AD1" s="130" t="s">
        <v>29</v>
      </c>
      <c r="AE1" s="130" t="s">
        <v>30</v>
      </c>
      <c r="AF1" s="130" t="s">
        <v>31</v>
      </c>
      <c r="AG1" s="130" t="s">
        <v>32</v>
      </c>
      <c r="AH1" s="130" t="s">
        <v>33</v>
      </c>
      <c r="AI1" s="130" t="s">
        <v>41</v>
      </c>
      <c r="AJ1" s="130" t="s">
        <v>42</v>
      </c>
      <c r="AK1" s="130" t="s">
        <v>43</v>
      </c>
      <c r="AL1" s="130" t="s">
        <v>44</v>
      </c>
      <c r="AM1" s="130" t="s">
        <v>45</v>
      </c>
      <c r="AN1" s="130" t="s">
        <v>46</v>
      </c>
      <c r="AO1" s="130" t="s">
        <v>47</v>
      </c>
      <c r="AP1" s="130" t="s">
        <v>460</v>
      </c>
      <c r="AQ1" s="130" t="s">
        <v>49</v>
      </c>
      <c r="AR1" s="130" t="s">
        <v>50</v>
      </c>
      <c r="AS1" s="130" t="s">
        <v>51</v>
      </c>
      <c r="AT1" s="130" t="s">
        <v>52</v>
      </c>
    </row>
    <row r="2" spans="1:46" ht="15.6" x14ac:dyDescent="0.3">
      <c r="A2" s="130" t="s">
        <v>342</v>
      </c>
      <c r="B2" s="158">
        <v>45670</v>
      </c>
      <c r="C2" s="130" t="s">
        <v>77</v>
      </c>
      <c r="D2" s="159">
        <v>0.5</v>
      </c>
      <c r="E2" s="159">
        <v>0.50347222222222221</v>
      </c>
      <c r="F2" s="130" t="s">
        <v>451</v>
      </c>
      <c r="G2" s="130" t="s">
        <v>56</v>
      </c>
      <c r="H2" s="130" t="s">
        <v>343</v>
      </c>
      <c r="I2" s="130" t="s">
        <v>344</v>
      </c>
      <c r="J2" s="130" t="s">
        <v>346</v>
      </c>
      <c r="K2" s="130" t="s">
        <v>345</v>
      </c>
      <c r="L2" s="130" t="s">
        <v>347</v>
      </c>
      <c r="M2" s="130" t="s">
        <v>348</v>
      </c>
      <c r="N2" s="130" t="s">
        <v>349</v>
      </c>
      <c r="O2" s="130" t="s">
        <v>85</v>
      </c>
      <c r="P2" s="130">
        <v>8</v>
      </c>
      <c r="Q2" s="130" t="s">
        <v>350</v>
      </c>
      <c r="R2" s="130"/>
      <c r="S2" s="130"/>
      <c r="T2" s="130"/>
      <c r="U2" s="130"/>
      <c r="V2" s="130"/>
      <c r="W2" s="130"/>
      <c r="X2" s="130"/>
      <c r="Y2" s="130"/>
      <c r="Z2" s="130"/>
      <c r="AA2" s="130"/>
      <c r="AB2" s="130" t="s">
        <v>158</v>
      </c>
      <c r="AC2" s="130" t="s">
        <v>68</v>
      </c>
      <c r="AD2" s="130" t="s">
        <v>351</v>
      </c>
      <c r="AE2" s="130" t="s">
        <v>352</v>
      </c>
      <c r="AF2" s="130" t="s">
        <v>353</v>
      </c>
      <c r="AG2" s="130" t="s">
        <v>124</v>
      </c>
      <c r="AH2" s="130" t="s">
        <v>354</v>
      </c>
      <c r="AI2" s="130">
        <v>2025</v>
      </c>
      <c r="AJ2" s="130">
        <v>3</v>
      </c>
      <c r="AK2" s="130">
        <v>3</v>
      </c>
      <c r="AL2" s="130">
        <v>13</v>
      </c>
      <c r="AM2" s="130">
        <v>13</v>
      </c>
      <c r="AN2" s="160">
        <v>45670.503472222219</v>
      </c>
      <c r="AO2" s="130">
        <v>204</v>
      </c>
      <c r="AP2" s="130" t="s">
        <v>350</v>
      </c>
      <c r="AQ2" s="130"/>
      <c r="AR2" s="130" t="s">
        <v>355</v>
      </c>
      <c r="AS2" s="130" t="s">
        <v>356</v>
      </c>
      <c r="AT2" s="130" t="s">
        <v>514</v>
      </c>
    </row>
    <row r="3" spans="1:46" ht="15.6" x14ac:dyDescent="0.3">
      <c r="A3" s="130" t="s">
        <v>357</v>
      </c>
      <c r="B3" s="158">
        <v>45671</v>
      </c>
      <c r="C3" s="130" t="s">
        <v>77</v>
      </c>
      <c r="D3" s="159">
        <v>0.625</v>
      </c>
      <c r="E3" s="159">
        <v>0.64067129629629627</v>
      </c>
      <c r="F3" s="130" t="s">
        <v>452</v>
      </c>
      <c r="G3" s="130" t="s">
        <v>56</v>
      </c>
      <c r="H3" s="130" t="s">
        <v>358</v>
      </c>
      <c r="I3" s="130" t="s">
        <v>359</v>
      </c>
      <c r="J3" s="130" t="s">
        <v>360</v>
      </c>
      <c r="K3" s="130" t="s">
        <v>348</v>
      </c>
      <c r="L3" s="130" t="s">
        <v>361</v>
      </c>
      <c r="M3" s="130" t="s">
        <v>362</v>
      </c>
      <c r="N3" s="130" t="s">
        <v>363</v>
      </c>
      <c r="O3" s="130" t="s">
        <v>364</v>
      </c>
      <c r="P3" s="130">
        <v>9</v>
      </c>
      <c r="Q3" s="130" t="s">
        <v>365</v>
      </c>
      <c r="R3" s="130"/>
      <c r="S3" s="130"/>
      <c r="T3" s="130" t="s">
        <v>366</v>
      </c>
      <c r="U3" s="130" t="s">
        <v>367</v>
      </c>
      <c r="V3" s="130" t="s">
        <v>368</v>
      </c>
      <c r="W3" s="130" t="s">
        <v>66</v>
      </c>
      <c r="X3" s="130"/>
      <c r="Y3" s="130"/>
      <c r="Z3" s="130"/>
      <c r="AA3" s="130"/>
      <c r="AB3" s="130" t="s">
        <v>120</v>
      </c>
      <c r="AC3" s="130" t="s">
        <v>68</v>
      </c>
      <c r="AD3" s="130" t="s">
        <v>220</v>
      </c>
      <c r="AE3" s="130" t="s">
        <v>160</v>
      </c>
      <c r="AF3" s="130" t="s">
        <v>161</v>
      </c>
      <c r="AG3" s="130" t="s">
        <v>124</v>
      </c>
      <c r="AH3" s="130" t="s">
        <v>354</v>
      </c>
      <c r="AI3" s="130">
        <v>2025</v>
      </c>
      <c r="AJ3" s="130">
        <v>3</v>
      </c>
      <c r="AK3" s="130">
        <v>3</v>
      </c>
      <c r="AL3" s="130">
        <v>14</v>
      </c>
      <c r="AM3" s="130">
        <v>14</v>
      </c>
      <c r="AN3" s="160">
        <v>45671.640277777777</v>
      </c>
      <c r="AO3" s="130">
        <v>450</v>
      </c>
      <c r="AP3" s="130" t="s">
        <v>365</v>
      </c>
      <c r="AQ3" s="130" t="s">
        <v>370</v>
      </c>
      <c r="AR3" s="130" t="s">
        <v>60</v>
      </c>
      <c r="AS3" s="130" t="s">
        <v>371</v>
      </c>
      <c r="AT3" s="130" t="s">
        <v>513</v>
      </c>
    </row>
    <row r="4" spans="1:46" ht="15.6" x14ac:dyDescent="0.3">
      <c r="A4" s="130" t="s">
        <v>372</v>
      </c>
      <c r="B4" s="158">
        <v>45673</v>
      </c>
      <c r="C4" s="130" t="s">
        <v>110</v>
      </c>
      <c r="D4" s="159">
        <v>0.875</v>
      </c>
      <c r="E4" s="159">
        <v>0.87708333333333333</v>
      </c>
      <c r="F4" s="130" t="s">
        <v>537</v>
      </c>
      <c r="G4" s="130" t="s">
        <v>56</v>
      </c>
      <c r="H4" s="130" t="s">
        <v>373</v>
      </c>
      <c r="I4" s="130" t="s">
        <v>374</v>
      </c>
      <c r="J4" s="130" t="s">
        <v>348</v>
      </c>
      <c r="K4" s="130" t="s">
        <v>348</v>
      </c>
      <c r="L4" s="130" t="s">
        <v>60</v>
      </c>
      <c r="M4" s="130" t="s">
        <v>60</v>
      </c>
      <c r="N4" s="130" t="s">
        <v>375</v>
      </c>
      <c r="O4" s="130" t="s">
        <v>179</v>
      </c>
      <c r="P4" s="130">
        <v>9</v>
      </c>
      <c r="Q4" s="130" t="s">
        <v>376</v>
      </c>
      <c r="R4" s="130"/>
      <c r="S4" s="130"/>
      <c r="T4" s="130"/>
      <c r="U4" s="130" t="s">
        <v>377</v>
      </c>
      <c r="V4" s="130" t="s">
        <v>378</v>
      </c>
      <c r="W4" s="130"/>
      <c r="X4" s="130"/>
      <c r="Y4" s="130"/>
      <c r="Z4" s="130"/>
      <c r="AA4" s="130"/>
      <c r="AB4" s="130" t="s">
        <v>67</v>
      </c>
      <c r="AC4" s="130" t="s">
        <v>68</v>
      </c>
      <c r="AD4" s="130" t="s">
        <v>90</v>
      </c>
      <c r="AE4" s="130" t="s">
        <v>91</v>
      </c>
      <c r="AF4" s="130" t="s">
        <v>379</v>
      </c>
      <c r="AG4" s="130" t="s">
        <v>196</v>
      </c>
      <c r="AH4" s="130" t="s">
        <v>354</v>
      </c>
      <c r="AI4" s="130">
        <v>2025</v>
      </c>
      <c r="AJ4" s="130">
        <v>3</v>
      </c>
      <c r="AK4" s="130">
        <v>3</v>
      </c>
      <c r="AL4" s="130">
        <v>16</v>
      </c>
      <c r="AM4" s="130">
        <v>16</v>
      </c>
      <c r="AN4" s="160">
        <v>45673.877083333333</v>
      </c>
      <c r="AO4" s="130">
        <v>630</v>
      </c>
      <c r="AP4" s="130" t="s">
        <v>376</v>
      </c>
      <c r="AQ4" s="130" t="s">
        <v>380</v>
      </c>
      <c r="AR4" s="130" t="s">
        <v>381</v>
      </c>
      <c r="AS4" s="130" t="s">
        <v>382</v>
      </c>
      <c r="AT4" s="130" t="s">
        <v>513</v>
      </c>
    </row>
    <row r="5" spans="1:46" ht="15.6" x14ac:dyDescent="0.3">
      <c r="A5" s="130" t="s">
        <v>383</v>
      </c>
      <c r="B5" s="158">
        <v>45690</v>
      </c>
      <c r="C5" s="130" t="s">
        <v>96</v>
      </c>
      <c r="D5" s="159">
        <v>0.70833333333333337</v>
      </c>
      <c r="E5" s="159">
        <v>0.72569444444444442</v>
      </c>
      <c r="F5" s="130" t="s">
        <v>459</v>
      </c>
      <c r="G5" s="130" t="s">
        <v>112</v>
      </c>
      <c r="H5" s="130" t="s">
        <v>295</v>
      </c>
      <c r="I5" s="130" t="s">
        <v>384</v>
      </c>
      <c r="J5" s="130" t="s">
        <v>385</v>
      </c>
      <c r="K5" s="130" t="s">
        <v>177</v>
      </c>
      <c r="L5" s="130" t="s">
        <v>348</v>
      </c>
      <c r="M5" s="130" t="s">
        <v>60</v>
      </c>
      <c r="N5" s="130" t="s">
        <v>386</v>
      </c>
      <c r="O5" s="130" t="s">
        <v>146</v>
      </c>
      <c r="P5" s="130">
        <v>5</v>
      </c>
      <c r="Q5" s="130" t="s">
        <v>387</v>
      </c>
      <c r="R5" s="130"/>
      <c r="S5" s="130"/>
      <c r="T5" s="130"/>
      <c r="U5" s="130"/>
      <c r="V5" s="130"/>
      <c r="W5" s="130"/>
      <c r="X5" s="130"/>
      <c r="Y5" s="130"/>
      <c r="Z5" s="130"/>
      <c r="AA5" s="130"/>
      <c r="AB5" s="130" t="s">
        <v>67</v>
      </c>
      <c r="AC5" s="130" t="s">
        <v>68</v>
      </c>
      <c r="AD5" s="130" t="s">
        <v>106</v>
      </c>
      <c r="AE5" s="130" t="s">
        <v>70</v>
      </c>
      <c r="AF5" s="130" t="s">
        <v>181</v>
      </c>
      <c r="AG5" s="130" t="s">
        <v>93</v>
      </c>
      <c r="AH5" s="130"/>
      <c r="AI5" s="130">
        <v>2025</v>
      </c>
      <c r="AJ5" s="130">
        <v>6</v>
      </c>
      <c r="AK5" s="130">
        <v>2</v>
      </c>
      <c r="AL5" s="130">
        <v>2</v>
      </c>
      <c r="AM5" s="130">
        <v>33</v>
      </c>
      <c r="AN5" s="160">
        <v>45690.725694444445</v>
      </c>
      <c r="AO5" s="130">
        <v>144</v>
      </c>
      <c r="AP5" s="130" t="s">
        <v>387</v>
      </c>
      <c r="AQ5" s="130"/>
      <c r="AR5" s="130" t="s">
        <v>388</v>
      </c>
      <c r="AS5" s="130" t="s">
        <v>60</v>
      </c>
      <c r="AT5" s="130" t="s">
        <v>511</v>
      </c>
    </row>
    <row r="6" spans="1:46" ht="15.6" x14ac:dyDescent="0.3">
      <c r="A6" s="130" t="s">
        <v>389</v>
      </c>
      <c r="B6" s="158">
        <v>45691</v>
      </c>
      <c r="C6" s="130" t="s">
        <v>96</v>
      </c>
      <c r="D6" s="159">
        <v>0.66666666666666663</v>
      </c>
      <c r="E6" s="159">
        <v>0.694849537037037</v>
      </c>
      <c r="F6" s="130" t="s">
        <v>451</v>
      </c>
      <c r="G6" s="130" t="s">
        <v>112</v>
      </c>
      <c r="H6" s="130" t="s">
        <v>358</v>
      </c>
      <c r="I6" s="130" t="s">
        <v>390</v>
      </c>
      <c r="J6" s="130" t="s">
        <v>348</v>
      </c>
      <c r="K6" s="130" t="s">
        <v>348</v>
      </c>
      <c r="L6" s="130" t="s">
        <v>60</v>
      </c>
      <c r="M6" s="130" t="s">
        <v>60</v>
      </c>
      <c r="N6" s="130" t="s">
        <v>391</v>
      </c>
      <c r="O6" s="130" t="s">
        <v>364</v>
      </c>
      <c r="P6" s="130">
        <v>9</v>
      </c>
      <c r="Q6" s="130" t="s">
        <v>392</v>
      </c>
      <c r="R6" s="130"/>
      <c r="S6" s="130"/>
      <c r="T6" s="130"/>
      <c r="U6" s="130"/>
      <c r="V6" s="130"/>
      <c r="W6" s="130"/>
      <c r="X6" s="130"/>
      <c r="Y6" s="130"/>
      <c r="Z6" s="130"/>
      <c r="AA6" s="130"/>
      <c r="AB6" s="130" t="s">
        <v>89</v>
      </c>
      <c r="AC6" s="130" t="s">
        <v>68</v>
      </c>
      <c r="AD6" s="130" t="s">
        <v>137</v>
      </c>
      <c r="AE6" s="130" t="s">
        <v>70</v>
      </c>
      <c r="AF6" s="130" t="s">
        <v>107</v>
      </c>
      <c r="AG6" s="130" t="s">
        <v>72</v>
      </c>
      <c r="AH6" s="130" t="s">
        <v>354</v>
      </c>
      <c r="AI6" s="130">
        <v>2025</v>
      </c>
      <c r="AJ6" s="130">
        <v>6</v>
      </c>
      <c r="AK6" s="130">
        <v>2</v>
      </c>
      <c r="AL6" s="130">
        <v>3</v>
      </c>
      <c r="AM6" s="130">
        <v>34</v>
      </c>
      <c r="AN6" s="160">
        <v>45691.694444444445</v>
      </c>
      <c r="AO6" s="130">
        <v>400</v>
      </c>
      <c r="AP6" s="130" t="s">
        <v>392</v>
      </c>
      <c r="AQ6" s="130"/>
      <c r="AR6" s="130" t="s">
        <v>393</v>
      </c>
      <c r="AS6" s="130" t="s">
        <v>394</v>
      </c>
      <c r="AT6" s="130" t="s">
        <v>511</v>
      </c>
    </row>
    <row r="7" spans="1:46" ht="15.6" x14ac:dyDescent="0.3">
      <c r="A7" s="130" t="s">
        <v>438</v>
      </c>
      <c r="B7" s="158">
        <v>45701</v>
      </c>
      <c r="C7" s="130" t="s">
        <v>173</v>
      </c>
      <c r="D7" s="159">
        <v>8.3333333333333329E-2</v>
      </c>
      <c r="E7" s="159">
        <v>8.3333333333333329E-2</v>
      </c>
      <c r="F7" s="130" t="s">
        <v>537</v>
      </c>
      <c r="G7" s="130" t="s">
        <v>112</v>
      </c>
      <c r="H7" s="130" t="s">
        <v>439</v>
      </c>
      <c r="I7" s="130" t="s">
        <v>440</v>
      </c>
      <c r="J7" s="130" t="s">
        <v>442</v>
      </c>
      <c r="K7" s="130" t="s">
        <v>441</v>
      </c>
      <c r="L7" s="130" t="s">
        <v>443</v>
      </c>
      <c r="M7" s="130" t="s">
        <v>348</v>
      </c>
      <c r="N7" s="130" t="s">
        <v>444</v>
      </c>
      <c r="O7" s="130" t="s">
        <v>192</v>
      </c>
      <c r="P7" s="130">
        <v>9</v>
      </c>
      <c r="Q7" s="130" t="s">
        <v>445</v>
      </c>
      <c r="R7" s="130"/>
      <c r="S7" s="130"/>
      <c r="T7" s="130"/>
      <c r="U7" s="130"/>
      <c r="V7" s="130"/>
      <c r="W7" s="130"/>
      <c r="X7" s="130"/>
      <c r="Y7" s="130"/>
      <c r="Z7" s="130"/>
      <c r="AA7" s="130"/>
      <c r="AB7" s="130" t="s">
        <v>446</v>
      </c>
      <c r="AC7" s="130" t="s">
        <v>68</v>
      </c>
      <c r="AD7" s="130" t="s">
        <v>121</v>
      </c>
      <c r="AE7" s="130" t="s">
        <v>122</v>
      </c>
      <c r="AF7" s="130" t="s">
        <v>379</v>
      </c>
      <c r="AG7" s="130" t="s">
        <v>447</v>
      </c>
      <c r="AH7" s="130"/>
      <c r="AI7" s="130">
        <v>2025</v>
      </c>
      <c r="AJ7" s="130">
        <v>7</v>
      </c>
      <c r="AK7" s="130">
        <v>3</v>
      </c>
      <c r="AL7" s="130">
        <v>13</v>
      </c>
      <c r="AM7" s="130">
        <v>44</v>
      </c>
      <c r="AN7" s="160">
        <v>45701.083333333336</v>
      </c>
      <c r="AO7" s="130">
        <v>128</v>
      </c>
      <c r="AP7" s="130" t="s">
        <v>445</v>
      </c>
      <c r="AQ7" s="130"/>
      <c r="AR7" s="130" t="s">
        <v>448</v>
      </c>
      <c r="AS7" s="130" t="s">
        <v>449</v>
      </c>
      <c r="AT7" s="130" t="s">
        <v>509</v>
      </c>
    </row>
    <row r="8" spans="1:46" ht="15.6" x14ac:dyDescent="0.3">
      <c r="A8" s="130" t="s">
        <v>485</v>
      </c>
      <c r="B8" s="158">
        <v>45720</v>
      </c>
      <c r="C8" s="130" t="s">
        <v>96</v>
      </c>
      <c r="D8" s="159">
        <v>0.75</v>
      </c>
      <c r="E8" s="159">
        <v>0.79126157407407405</v>
      </c>
      <c r="F8" s="130" t="s">
        <v>452</v>
      </c>
      <c r="G8" s="130" t="s">
        <v>462</v>
      </c>
      <c r="H8" s="130" t="s">
        <v>486</v>
      </c>
      <c r="I8" s="130" t="s">
        <v>487</v>
      </c>
      <c r="J8" s="130" t="s">
        <v>348</v>
      </c>
      <c r="K8" s="130" t="s">
        <v>348</v>
      </c>
      <c r="L8" s="130" t="s">
        <v>60</v>
      </c>
      <c r="M8" s="130" t="s">
        <v>60</v>
      </c>
      <c r="N8" s="130" t="s">
        <v>488</v>
      </c>
      <c r="O8" s="130" t="s">
        <v>262</v>
      </c>
      <c r="P8" s="130">
        <v>6</v>
      </c>
      <c r="Q8" s="130" t="s">
        <v>489</v>
      </c>
      <c r="R8" s="130"/>
      <c r="S8" s="130"/>
      <c r="T8" s="130"/>
      <c r="U8" s="130"/>
      <c r="V8" s="130"/>
      <c r="W8" s="130"/>
      <c r="X8" s="130"/>
      <c r="Y8" s="130"/>
      <c r="Z8" s="130"/>
      <c r="AA8" s="130"/>
      <c r="AB8" s="130" t="s">
        <v>417</v>
      </c>
      <c r="AC8" s="130" t="s">
        <v>68</v>
      </c>
      <c r="AD8" s="130" t="s">
        <v>490</v>
      </c>
      <c r="AE8" s="130" t="s">
        <v>207</v>
      </c>
      <c r="AF8" s="130" t="s">
        <v>71</v>
      </c>
      <c r="AG8" s="130" t="s">
        <v>124</v>
      </c>
      <c r="AH8" s="130" t="s">
        <v>354</v>
      </c>
      <c r="AI8" s="130">
        <v>2025</v>
      </c>
      <c r="AJ8" s="130">
        <v>10</v>
      </c>
      <c r="AK8" s="130">
        <v>2</v>
      </c>
      <c r="AL8" s="130">
        <v>4</v>
      </c>
      <c r="AM8" s="130">
        <v>63</v>
      </c>
      <c r="AN8" s="160">
        <v>45720.790972222225</v>
      </c>
      <c r="AO8" s="130">
        <v>216</v>
      </c>
      <c r="AP8" s="130" t="s">
        <v>489</v>
      </c>
      <c r="AQ8" s="130"/>
      <c r="AR8" s="130" t="s">
        <v>491</v>
      </c>
      <c r="AS8" s="130" t="s">
        <v>492</v>
      </c>
      <c r="AT8" s="130" t="s">
        <v>506</v>
      </c>
    </row>
    <row r="9" spans="1:46" ht="15.6" x14ac:dyDescent="0.3">
      <c r="A9" s="130" t="s">
        <v>493</v>
      </c>
      <c r="B9" s="158">
        <v>45720</v>
      </c>
      <c r="C9" s="130" t="s">
        <v>77</v>
      </c>
      <c r="D9" s="159">
        <v>0.625</v>
      </c>
      <c r="E9" s="159">
        <v>0.64097222222222228</v>
      </c>
      <c r="F9" s="130" t="s">
        <v>452</v>
      </c>
      <c r="G9" s="130" t="s">
        <v>462</v>
      </c>
      <c r="H9" s="130" t="s">
        <v>494</v>
      </c>
      <c r="I9" s="130" t="s">
        <v>495</v>
      </c>
      <c r="J9" s="130" t="s">
        <v>496</v>
      </c>
      <c r="K9" s="130" t="s">
        <v>348</v>
      </c>
      <c r="L9" s="130" t="s">
        <v>497</v>
      </c>
      <c r="M9" s="130" t="s">
        <v>345</v>
      </c>
      <c r="N9" s="130" t="s">
        <v>498</v>
      </c>
      <c r="O9" s="130" t="s">
        <v>85</v>
      </c>
      <c r="P9" s="130">
        <v>8</v>
      </c>
      <c r="Q9" s="130" t="s">
        <v>499</v>
      </c>
      <c r="R9" s="130"/>
      <c r="S9" s="130"/>
      <c r="T9" s="130" t="s">
        <v>500</v>
      </c>
      <c r="U9" s="130" t="s">
        <v>501</v>
      </c>
      <c r="V9" s="130" t="s">
        <v>502</v>
      </c>
      <c r="W9" s="130" t="s">
        <v>66</v>
      </c>
      <c r="X9" s="130"/>
      <c r="Y9" s="130"/>
      <c r="Z9" s="130"/>
      <c r="AA9" s="130"/>
      <c r="AB9" s="130" t="s">
        <v>417</v>
      </c>
      <c r="AC9" s="130" t="s">
        <v>68</v>
      </c>
      <c r="AD9" s="130" t="s">
        <v>503</v>
      </c>
      <c r="AE9" s="130" t="s">
        <v>160</v>
      </c>
      <c r="AF9" s="130" t="s">
        <v>379</v>
      </c>
      <c r="AG9" s="130" t="s">
        <v>196</v>
      </c>
      <c r="AH9" s="130" t="s">
        <v>354</v>
      </c>
      <c r="AI9" s="130">
        <v>2025</v>
      </c>
      <c r="AJ9" s="130">
        <v>10</v>
      </c>
      <c r="AK9" s="130">
        <v>2</v>
      </c>
      <c r="AL9" s="130">
        <v>4</v>
      </c>
      <c r="AM9" s="130">
        <v>63</v>
      </c>
      <c r="AN9" s="160">
        <v>45720.640972222223</v>
      </c>
      <c r="AO9" s="130">
        <v>195</v>
      </c>
      <c r="AP9" s="130" t="s">
        <v>499</v>
      </c>
      <c r="AQ9" s="130" t="s">
        <v>504</v>
      </c>
      <c r="AR9" s="130" t="s">
        <v>505</v>
      </c>
      <c r="AS9" s="130" t="s">
        <v>60</v>
      </c>
      <c r="AT9" s="130" t="s">
        <v>506</v>
      </c>
    </row>
    <row r="10" spans="1:46" ht="15.6" x14ac:dyDescent="0.3">
      <c r="A10" s="130" t="s">
        <v>679</v>
      </c>
      <c r="B10" s="158">
        <v>45741</v>
      </c>
      <c r="C10" s="130" t="s">
        <v>151</v>
      </c>
      <c r="D10" s="159">
        <v>0.45833333333333331</v>
      </c>
      <c r="E10" s="159">
        <v>0.48402777777777778</v>
      </c>
      <c r="F10" s="130" t="s">
        <v>452</v>
      </c>
      <c r="G10" s="130" t="s">
        <v>462</v>
      </c>
      <c r="H10" s="130" t="s">
        <v>358</v>
      </c>
      <c r="I10" s="130" t="s">
        <v>359</v>
      </c>
      <c r="J10" s="130" t="s">
        <v>687</v>
      </c>
      <c r="K10" s="130" t="s">
        <v>348</v>
      </c>
      <c r="L10" s="130" t="s">
        <v>83</v>
      </c>
      <c r="M10" s="130" t="s">
        <v>688</v>
      </c>
      <c r="N10" s="130" t="s">
        <v>363</v>
      </c>
      <c r="O10" s="130" t="s">
        <v>364</v>
      </c>
      <c r="P10" s="130">
        <v>9</v>
      </c>
      <c r="Q10" s="130" t="s">
        <v>689</v>
      </c>
      <c r="R10" s="130"/>
      <c r="S10" s="130"/>
      <c r="T10" s="130" t="s">
        <v>690</v>
      </c>
      <c r="U10" s="130" t="s">
        <v>523</v>
      </c>
      <c r="V10" s="130" t="s">
        <v>691</v>
      </c>
      <c r="W10" s="130" t="s">
        <v>66</v>
      </c>
      <c r="X10" s="130"/>
      <c r="Y10" s="130"/>
      <c r="Z10" s="130"/>
      <c r="AA10" s="130"/>
      <c r="AB10" s="130" t="s">
        <v>158</v>
      </c>
      <c r="AC10" s="130" t="s">
        <v>68</v>
      </c>
      <c r="AD10" s="130" t="s">
        <v>648</v>
      </c>
      <c r="AE10" s="130" t="s">
        <v>352</v>
      </c>
      <c r="AF10" s="130" t="s">
        <v>161</v>
      </c>
      <c r="AG10" s="130" t="s">
        <v>124</v>
      </c>
      <c r="AH10" s="130"/>
      <c r="AI10" s="130">
        <v>2025</v>
      </c>
      <c r="AJ10" s="130">
        <v>13</v>
      </c>
      <c r="AK10" s="130">
        <v>5</v>
      </c>
      <c r="AL10" s="130">
        <v>25</v>
      </c>
      <c r="AM10" s="130">
        <v>84</v>
      </c>
      <c r="AN10" s="160">
        <v>45741.484027777777</v>
      </c>
      <c r="AO10" s="130">
        <v>450</v>
      </c>
      <c r="AP10" s="130" t="s">
        <v>689</v>
      </c>
      <c r="AQ10" s="130" t="s">
        <v>692</v>
      </c>
      <c r="AR10" s="130" t="s">
        <v>693</v>
      </c>
      <c r="AS10" s="130" t="s">
        <v>694</v>
      </c>
      <c r="AT10" s="130" t="s">
        <v>582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4F32E-E506-4BBA-BE8B-354BD5819CD7}">
  <sheetPr>
    <tabColor rgb="FFFF0000"/>
  </sheetPr>
  <dimension ref="A1:Q20"/>
  <sheetViews>
    <sheetView topLeftCell="B1" workbookViewId="0">
      <selection activeCell="B5" sqref="B5:B20"/>
    </sheetView>
  </sheetViews>
  <sheetFormatPr defaultRowHeight="14.4" x14ac:dyDescent="0.3"/>
  <cols>
    <col min="1" max="1" width="8.77734375" style="134" bestFit="1" customWidth="1"/>
    <col min="2" max="2" width="11.6640625" style="134" bestFit="1" customWidth="1"/>
    <col min="3" max="3" width="11.88671875" style="134" bestFit="1" customWidth="1"/>
    <col min="4" max="4" width="15.33203125" style="134" bestFit="1" customWidth="1"/>
    <col min="5" max="5" width="9.77734375" style="134" bestFit="1" customWidth="1"/>
    <col min="6" max="6" width="10.21875" style="134" bestFit="1" customWidth="1"/>
    <col min="7" max="7" width="25.5546875" style="134" bestFit="1" customWidth="1"/>
    <col min="8" max="8" width="11" style="134" bestFit="1" customWidth="1"/>
    <col min="9" max="9" width="18.109375" style="134" bestFit="1" customWidth="1"/>
    <col min="10" max="10" width="17.88671875" style="134" bestFit="1" customWidth="1"/>
    <col min="11" max="11" width="18.44140625" style="134" bestFit="1" customWidth="1"/>
    <col min="12" max="12" width="15.33203125" style="134" bestFit="1" customWidth="1"/>
    <col min="13" max="13" width="16.44140625" style="134" bestFit="1" customWidth="1"/>
    <col min="14" max="14" width="32" style="134" bestFit="1" customWidth="1"/>
    <col min="15" max="15" width="36.6640625" style="134" bestFit="1" customWidth="1"/>
    <col min="16" max="16" width="23.44140625" style="134" bestFit="1" customWidth="1"/>
    <col min="17" max="17" width="31.6640625" style="134" bestFit="1" customWidth="1"/>
    <col min="18" max="18" width="17.88671875" style="134" bestFit="1" customWidth="1"/>
    <col min="19" max="19" width="18.44140625" style="134" bestFit="1" customWidth="1"/>
    <col min="20" max="20" width="15.33203125" style="134" bestFit="1" customWidth="1"/>
    <col min="21" max="21" width="18.6640625" style="134" bestFit="1" customWidth="1"/>
    <col min="22" max="22" width="19" style="134" bestFit="1" customWidth="1"/>
    <col min="23" max="23" width="32" style="134" bestFit="1" customWidth="1"/>
    <col min="24" max="24" width="36.6640625" style="134" bestFit="1" customWidth="1"/>
    <col min="25" max="25" width="23.44140625" style="134" bestFit="1" customWidth="1"/>
    <col min="26" max="26" width="10.77734375" style="134" bestFit="1" customWidth="1"/>
    <col min="27" max="16384" width="8.88671875" style="134"/>
  </cols>
  <sheetData>
    <row r="1" spans="1:17" x14ac:dyDescent="0.3">
      <c r="A1" t="s">
        <v>7</v>
      </c>
      <c r="B1" t="s">
        <v>1</v>
      </c>
      <c r="C1" t="s">
        <v>5</v>
      </c>
      <c r="D1" t="s">
        <v>53</v>
      </c>
      <c r="E1" t="s">
        <v>50</v>
      </c>
      <c r="F1" t="s">
        <v>49</v>
      </c>
      <c r="G1" t="s">
        <v>51</v>
      </c>
      <c r="H1" t="s">
        <v>16</v>
      </c>
      <c r="I1" s="134" t="s">
        <v>671</v>
      </c>
      <c r="J1" s="134" t="s">
        <v>672</v>
      </c>
      <c r="K1" s="134" t="s">
        <v>673</v>
      </c>
      <c r="L1" s="134" t="s">
        <v>674</v>
      </c>
      <c r="M1" t="s">
        <v>811</v>
      </c>
      <c r="N1" s="134" t="s">
        <v>677</v>
      </c>
      <c r="O1" s="134" t="s">
        <v>678</v>
      </c>
      <c r="P1" s="134" t="s">
        <v>661</v>
      </c>
    </row>
    <row r="2" spans="1:17" x14ac:dyDescent="0.3">
      <c r="A2"/>
      <c r="B2" s="1"/>
      <c r="C2"/>
      <c r="D2"/>
      <c r="E2"/>
      <c r="F2"/>
      <c r="G2"/>
      <c r="H2"/>
      <c r="M2"/>
    </row>
    <row r="3" spans="1:17" x14ac:dyDescent="0.3">
      <c r="B3" s="134" t="s">
        <v>7</v>
      </c>
      <c r="C3" s="134" t="s">
        <v>1</v>
      </c>
      <c r="D3" s="134" t="s">
        <v>5</v>
      </c>
      <c r="E3" s="134" t="s">
        <v>53</v>
      </c>
      <c r="F3" s="134" t="s">
        <v>50</v>
      </c>
      <c r="G3" s="134" t="s">
        <v>49</v>
      </c>
      <c r="H3" s="134" t="s">
        <v>51</v>
      </c>
      <c r="I3" s="134" t="s">
        <v>16</v>
      </c>
      <c r="J3" s="134" t="s">
        <v>671</v>
      </c>
      <c r="K3" s="134" t="s">
        <v>672</v>
      </c>
      <c r="L3" s="134" t="s">
        <v>673</v>
      </c>
      <c r="M3" s="134" t="s">
        <v>674</v>
      </c>
      <c r="N3" s="134" t="s">
        <v>811</v>
      </c>
      <c r="O3" s="134" t="s">
        <v>677</v>
      </c>
      <c r="P3" s="134" t="s">
        <v>678</v>
      </c>
      <c r="Q3" s="134" t="s">
        <v>661</v>
      </c>
    </row>
    <row r="5" spans="1:17" x14ac:dyDescent="0.3">
      <c r="B5" s="134" t="s">
        <v>7</v>
      </c>
    </row>
    <row r="6" spans="1:17" x14ac:dyDescent="0.3">
      <c r="B6" s="134" t="s">
        <v>1</v>
      </c>
    </row>
    <row r="7" spans="1:17" x14ac:dyDescent="0.3">
      <c r="B7" s="134" t="s">
        <v>5</v>
      </c>
    </row>
    <row r="8" spans="1:17" x14ac:dyDescent="0.3">
      <c r="B8" s="134" t="s">
        <v>53</v>
      </c>
    </row>
    <row r="9" spans="1:17" x14ac:dyDescent="0.3">
      <c r="B9" s="134" t="s">
        <v>50</v>
      </c>
    </row>
    <row r="10" spans="1:17" x14ac:dyDescent="0.3">
      <c r="B10" s="134" t="s">
        <v>49</v>
      </c>
    </row>
    <row r="11" spans="1:17" x14ac:dyDescent="0.3">
      <c r="B11" s="134" t="s">
        <v>51</v>
      </c>
    </row>
    <row r="12" spans="1:17" x14ac:dyDescent="0.3">
      <c r="B12" s="134" t="s">
        <v>16</v>
      </c>
    </row>
    <row r="13" spans="1:17" x14ac:dyDescent="0.3">
      <c r="B13" s="134" t="s">
        <v>671</v>
      </c>
    </row>
    <row r="14" spans="1:17" x14ac:dyDescent="0.3">
      <c r="B14" s="134" t="s">
        <v>672</v>
      </c>
    </row>
    <row r="15" spans="1:17" x14ac:dyDescent="0.3">
      <c r="B15" s="134" t="s">
        <v>673</v>
      </c>
    </row>
    <row r="16" spans="1:17" x14ac:dyDescent="0.3">
      <c r="B16" s="134" t="s">
        <v>674</v>
      </c>
    </row>
    <row r="17" spans="2:2" x14ac:dyDescent="0.3">
      <c r="B17" s="134" t="s">
        <v>811</v>
      </c>
    </row>
    <row r="18" spans="2:2" x14ac:dyDescent="0.3">
      <c r="B18" s="134" t="s">
        <v>677</v>
      </c>
    </row>
    <row r="19" spans="2:2" x14ac:dyDescent="0.3">
      <c r="B19" s="134" t="s">
        <v>678</v>
      </c>
    </row>
    <row r="20" spans="2:2" x14ac:dyDescent="0.3">
      <c r="B20" s="134" t="s">
        <v>661</v>
      </c>
    </row>
  </sheetData>
  <phoneticPr fontId="12"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90D01-2035-4655-8BE3-B31FF37310B6}">
  <sheetPr codeName="Sheet9">
    <tabColor rgb="FFFF0000"/>
  </sheetPr>
  <dimension ref="A1:AS48"/>
  <sheetViews>
    <sheetView workbookViewId="0">
      <selection activeCell="J14" sqref="J14:N19"/>
    </sheetView>
  </sheetViews>
  <sheetFormatPr defaultColWidth="9.109375" defaultRowHeight="15.6" x14ac:dyDescent="0.3"/>
  <cols>
    <col min="1" max="1" width="23.77734375" style="3" bestFit="1" customWidth="1"/>
    <col min="2" max="8" width="6.77734375" style="3" customWidth="1"/>
    <col min="9" max="9" width="1.77734375" style="3" customWidth="1"/>
    <col min="10" max="10" width="28.33203125" style="3" bestFit="1" customWidth="1"/>
    <col min="11" max="17" width="6.77734375" style="3" customWidth="1"/>
    <col min="18" max="22" width="2.77734375" style="3" customWidth="1"/>
    <col min="23" max="23" width="13.88671875" style="3" customWidth="1"/>
    <col min="24" max="24" width="10.109375" style="3" bestFit="1" customWidth="1"/>
    <col min="25" max="25" width="24.88671875" style="3" bestFit="1" customWidth="1"/>
    <col min="26" max="26" width="28.5546875" style="3" customWidth="1"/>
    <col min="27" max="27" width="15.5546875" style="3" customWidth="1"/>
    <col min="28" max="28" width="14.44140625" style="3" customWidth="1"/>
    <col min="29" max="29" width="31" style="3" customWidth="1"/>
    <col min="30" max="30" width="20.44140625" style="3" bestFit="1" customWidth="1"/>
    <col min="31" max="31" width="23.33203125" style="3" bestFit="1" customWidth="1"/>
    <col min="32" max="32" width="29.109375" style="3" customWidth="1"/>
    <col min="33" max="33" width="15.44140625" style="3" customWidth="1"/>
    <col min="34" max="34" width="16.109375" style="3" customWidth="1"/>
    <col min="35" max="35" width="13" style="3" customWidth="1"/>
    <col min="36" max="36" width="16.109375" style="3" customWidth="1"/>
    <col min="37" max="37" width="16.5546875" style="3" customWidth="1"/>
    <col min="38" max="38" width="29" style="3" customWidth="1"/>
    <col min="39" max="39" width="34.109375" style="3" customWidth="1"/>
    <col min="40" max="40" width="21" style="3" customWidth="1"/>
    <col min="41" max="43" width="9.109375" style="3"/>
    <col min="44" max="44" width="40.109375" style="3" bestFit="1" customWidth="1"/>
    <col min="45" max="16384" width="9.109375" style="3"/>
  </cols>
  <sheetData>
    <row r="1" spans="1:45" ht="21" x14ac:dyDescent="0.4">
      <c r="A1" s="195" t="s">
        <v>739</v>
      </c>
      <c r="B1" s="195"/>
      <c r="C1" s="195"/>
      <c r="D1" s="195"/>
      <c r="E1" s="195"/>
      <c r="F1" s="195"/>
      <c r="G1" s="195"/>
      <c r="H1" s="195"/>
      <c r="J1" s="195" t="s">
        <v>810</v>
      </c>
      <c r="K1" s="195"/>
      <c r="L1" s="195"/>
      <c r="M1" s="195"/>
      <c r="N1" s="195"/>
      <c r="O1" s="195"/>
      <c r="P1" s="195"/>
      <c r="Q1" s="195"/>
    </row>
    <row r="2" spans="1:45" ht="16.2" thickBot="1" x14ac:dyDescent="0.35">
      <c r="A2" s="6" t="s">
        <v>1</v>
      </c>
      <c r="B2" s="45">
        <v>45741</v>
      </c>
      <c r="F2"/>
      <c r="G2"/>
      <c r="H2"/>
      <c r="I2"/>
      <c r="J2" s="6" t="s">
        <v>1</v>
      </c>
      <c r="K2" t="s">
        <v>128</v>
      </c>
      <c r="O2"/>
      <c r="P2"/>
      <c r="Q2"/>
      <c r="R2"/>
      <c r="S2"/>
      <c r="T2"/>
      <c r="U2"/>
      <c r="V2"/>
      <c r="W2"/>
      <c r="X2"/>
      <c r="Y2" s="15" t="s">
        <v>0</v>
      </c>
      <c r="Z2" s="15" t="s">
        <v>662</v>
      </c>
      <c r="AA2" s="15" t="s">
        <v>35</v>
      </c>
      <c r="AB2" s="15" t="s">
        <v>650</v>
      </c>
      <c r="AC2" s="15" t="s">
        <v>651</v>
      </c>
      <c r="AD2" s="15" t="s">
        <v>671</v>
      </c>
      <c r="AE2" s="15" t="s">
        <v>656</v>
      </c>
      <c r="AF2" s="15" t="s">
        <v>657</v>
      </c>
      <c r="AG2" s="15" t="s">
        <v>672</v>
      </c>
      <c r="AH2" s="15" t="s">
        <v>673</v>
      </c>
      <c r="AI2" s="15" t="s">
        <v>674</v>
      </c>
      <c r="AJ2" s="15" t="s">
        <v>675</v>
      </c>
      <c r="AK2" s="15" t="s">
        <v>676</v>
      </c>
      <c r="AL2" s="15" t="s">
        <v>677</v>
      </c>
      <c r="AM2" s="15" t="s">
        <v>678</v>
      </c>
      <c r="AN2" s="15" t="s">
        <v>661</v>
      </c>
      <c r="AO2" s="15" t="s">
        <v>460</v>
      </c>
    </row>
    <row r="3" spans="1:45" ht="18" x14ac:dyDescent="0.35">
      <c r="F3"/>
      <c r="G3"/>
      <c r="H3"/>
      <c r="I3"/>
      <c r="O3"/>
      <c r="P3"/>
      <c r="Q3"/>
      <c r="R3"/>
      <c r="S3"/>
      <c r="T3"/>
      <c r="U3"/>
      <c r="V3"/>
      <c r="W3"/>
      <c r="X3"/>
      <c r="Y3" s="15"/>
      <c r="Z3" s="15"/>
      <c r="AA3" s="15"/>
      <c r="AB3" s="15"/>
      <c r="AC3" s="15"/>
      <c r="AD3" s="15"/>
      <c r="AE3" s="15"/>
      <c r="AF3" s="15"/>
      <c r="AG3" s="15"/>
      <c r="AH3" s="15"/>
      <c r="AI3" s="15"/>
      <c r="AJ3" s="15"/>
      <c r="AK3" s="15"/>
      <c r="AL3" s="15"/>
      <c r="AM3" s="15"/>
      <c r="AN3" s="15"/>
      <c r="AO3" s="15"/>
      <c r="AR3" s="77" t="s">
        <v>0</v>
      </c>
      <c r="AS3" s="78" t="s">
        <v>679</v>
      </c>
    </row>
    <row r="4" spans="1:45" ht="22.2" x14ac:dyDescent="0.35">
      <c r="A4" s="161" t="s">
        <v>129</v>
      </c>
      <c r="B4" s="161" t="s">
        <v>395</v>
      </c>
      <c r="C4"/>
      <c r="D4"/>
      <c r="E4"/>
      <c r="F4"/>
      <c r="G4"/>
      <c r="H4"/>
      <c r="I4"/>
      <c r="J4" s="161" t="s">
        <v>129</v>
      </c>
      <c r="K4" s="161" t="s">
        <v>395</v>
      </c>
      <c r="L4"/>
      <c r="M4"/>
      <c r="N4"/>
      <c r="O4"/>
      <c r="P4"/>
      <c r="Q4"/>
      <c r="R4"/>
      <c r="S4"/>
      <c r="T4"/>
      <c r="U4"/>
      <c r="V4"/>
      <c r="W4"/>
      <c r="X4"/>
      <c r="AR4" s="79" t="s">
        <v>662</v>
      </c>
      <c r="AS4" s="80" t="s">
        <v>358</v>
      </c>
    </row>
    <row r="5" spans="1:45" s="4" customFormat="1" ht="18" x14ac:dyDescent="0.35">
      <c r="A5" s="162" t="s">
        <v>450</v>
      </c>
      <c r="B5" s="40" t="s">
        <v>452</v>
      </c>
      <c r="C5"/>
      <c r="D5"/>
      <c r="E5"/>
      <c r="F5"/>
      <c r="G5"/>
      <c r="H5"/>
      <c r="I5"/>
      <c r="J5" s="162" t="s">
        <v>450</v>
      </c>
      <c r="K5" s="40" t="s">
        <v>459</v>
      </c>
      <c r="L5" s="40" t="s">
        <v>451</v>
      </c>
      <c r="M5" s="40" t="s">
        <v>452</v>
      </c>
      <c r="N5" s="40" t="s">
        <v>537</v>
      </c>
      <c r="O5"/>
      <c r="P5"/>
      <c r="Q5"/>
      <c r="R5"/>
      <c r="S5"/>
      <c r="T5"/>
      <c r="U5"/>
      <c r="V5"/>
      <c r="W5"/>
      <c r="X5"/>
      <c r="AA5"/>
      <c r="AB5"/>
      <c r="AC5"/>
      <c r="AD5"/>
      <c r="AE5"/>
      <c r="AR5" s="81" t="s">
        <v>35</v>
      </c>
      <c r="AS5" s="82">
        <v>45741</v>
      </c>
    </row>
    <row r="6" spans="1:45" s="4" customFormat="1" ht="18" x14ac:dyDescent="0.35">
      <c r="A6" s="43" t="s">
        <v>151</v>
      </c>
      <c r="B6">
        <v>1</v>
      </c>
      <c r="C6"/>
      <c r="D6"/>
      <c r="E6"/>
      <c r="F6"/>
      <c r="G6"/>
      <c r="H6"/>
      <c r="I6"/>
      <c r="J6" s="43" t="s">
        <v>77</v>
      </c>
      <c r="K6"/>
      <c r="L6">
        <v>1</v>
      </c>
      <c r="M6">
        <v>2</v>
      </c>
      <c r="N6"/>
      <c r="O6"/>
      <c r="P6"/>
      <c r="Q6"/>
      <c r="R6"/>
      <c r="S6"/>
      <c r="T6"/>
      <c r="U6"/>
      <c r="V6"/>
      <c r="W6"/>
      <c r="X6"/>
      <c r="AA6"/>
      <c r="AB6"/>
      <c r="AC6"/>
      <c r="AD6"/>
      <c r="AE6"/>
      <c r="AR6" s="79" t="s">
        <v>650</v>
      </c>
      <c r="AS6" s="80" t="s">
        <v>452</v>
      </c>
    </row>
    <row r="7" spans="1:45" ht="18" x14ac:dyDescent="0.35">
      <c r="A7"/>
      <c r="B7"/>
      <c r="C7"/>
      <c r="D7"/>
      <c r="E7"/>
      <c r="F7"/>
      <c r="G7"/>
      <c r="H7"/>
      <c r="I7"/>
      <c r="J7" s="43" t="s">
        <v>173</v>
      </c>
      <c r="K7"/>
      <c r="L7"/>
      <c r="M7"/>
      <c r="N7">
        <v>1</v>
      </c>
      <c r="O7"/>
      <c r="P7"/>
      <c r="Q7"/>
      <c r="R7"/>
      <c r="S7"/>
      <c r="T7"/>
      <c r="U7"/>
      <c r="V7"/>
      <c r="W7"/>
      <c r="X7"/>
      <c r="AA7"/>
      <c r="AB7"/>
      <c r="AC7"/>
      <c r="AD7"/>
      <c r="AE7"/>
      <c r="AR7" s="81" t="s">
        <v>651</v>
      </c>
      <c r="AS7" s="83" t="s">
        <v>142</v>
      </c>
    </row>
    <row r="8" spans="1:45" ht="18" x14ac:dyDescent="0.35">
      <c r="A8"/>
      <c r="B8"/>
      <c r="C8"/>
      <c r="D8"/>
      <c r="E8"/>
      <c r="F8"/>
      <c r="G8"/>
      <c r="H8"/>
      <c r="I8"/>
      <c r="J8" s="43" t="s">
        <v>96</v>
      </c>
      <c r="K8">
        <v>1</v>
      </c>
      <c r="L8">
        <v>1</v>
      </c>
      <c r="M8">
        <v>1</v>
      </c>
      <c r="N8"/>
      <c r="O8"/>
      <c r="P8"/>
      <c r="Q8"/>
      <c r="R8"/>
      <c r="S8"/>
      <c r="T8"/>
      <c r="U8"/>
      <c r="V8"/>
      <c r="W8"/>
      <c r="X8"/>
      <c r="AA8"/>
      <c r="AB8"/>
      <c r="AC8"/>
      <c r="AD8"/>
      <c r="AE8"/>
      <c r="AR8" s="79" t="s">
        <v>671</v>
      </c>
      <c r="AS8" s="80"/>
    </row>
    <row r="9" spans="1:45" ht="18" x14ac:dyDescent="0.35">
      <c r="A9"/>
      <c r="B9"/>
      <c r="C9"/>
      <c r="D9"/>
      <c r="E9"/>
      <c r="F9"/>
      <c r="G9"/>
      <c r="H9"/>
      <c r="I9"/>
      <c r="J9" s="43" t="s">
        <v>151</v>
      </c>
      <c r="K9"/>
      <c r="L9"/>
      <c r="M9">
        <v>1</v>
      </c>
      <c r="N9"/>
      <c r="O9"/>
      <c r="P9"/>
      <c r="Q9"/>
      <c r="R9"/>
      <c r="S9"/>
      <c r="T9"/>
      <c r="U9"/>
      <c r="V9"/>
      <c r="W9"/>
      <c r="X9"/>
      <c r="AA9"/>
      <c r="AB9"/>
      <c r="AC9"/>
      <c r="AD9"/>
      <c r="AE9"/>
      <c r="AR9" s="81" t="s">
        <v>656</v>
      </c>
      <c r="AS9" s="83" t="s">
        <v>680</v>
      </c>
    </row>
    <row r="10" spans="1:45" ht="18" x14ac:dyDescent="0.35">
      <c r="A10"/>
      <c r="B10"/>
      <c r="C10"/>
      <c r="D10"/>
      <c r="E10"/>
      <c r="F10"/>
      <c r="G10"/>
      <c r="H10"/>
      <c r="I10"/>
      <c r="J10" s="43" t="s">
        <v>110</v>
      </c>
      <c r="K10"/>
      <c r="L10"/>
      <c r="M10"/>
      <c r="N10">
        <v>1</v>
      </c>
      <c r="O10"/>
      <c r="P10"/>
      <c r="Q10"/>
      <c r="R10"/>
      <c r="S10"/>
      <c r="T10"/>
      <c r="U10"/>
      <c r="V10"/>
      <c r="W10"/>
      <c r="X10"/>
      <c r="Y10"/>
      <c r="Z10"/>
      <c r="AA10"/>
      <c r="AB10"/>
      <c r="AC10"/>
      <c r="AD10"/>
      <c r="AE10"/>
      <c r="AR10" s="79" t="s">
        <v>657</v>
      </c>
      <c r="AS10" s="80" t="s">
        <v>681</v>
      </c>
    </row>
    <row r="11" spans="1:45" ht="18" x14ac:dyDescent="0.35">
      <c r="A11"/>
      <c r="B11"/>
      <c r="C11"/>
      <c r="D11"/>
      <c r="E11"/>
      <c r="F11"/>
      <c r="G11"/>
      <c r="H11"/>
      <c r="I11"/>
      <c r="J11"/>
      <c r="K11"/>
      <c r="L11"/>
      <c r="M11"/>
      <c r="N11"/>
      <c r="O11"/>
      <c r="P11"/>
      <c r="Q11"/>
      <c r="R11"/>
      <c r="S11"/>
      <c r="T11"/>
      <c r="U11"/>
      <c r="V11"/>
      <c r="W11"/>
      <c r="X11"/>
      <c r="Y11"/>
      <c r="Z11"/>
      <c r="AA11"/>
      <c r="AB11"/>
      <c r="AC11"/>
      <c r="AD11"/>
      <c r="AE11"/>
      <c r="AR11" s="79"/>
      <c r="AS11" s="80"/>
    </row>
    <row r="12" spans="1:45" ht="18" x14ac:dyDescent="0.35">
      <c r="A12"/>
      <c r="B12"/>
      <c r="C12"/>
      <c r="D12"/>
      <c r="E12"/>
      <c r="F12"/>
      <c r="G12"/>
      <c r="H12"/>
      <c r="I12"/>
      <c r="J12"/>
      <c r="K12"/>
      <c r="L12"/>
      <c r="M12"/>
      <c r="N12"/>
      <c r="O12"/>
      <c r="P12"/>
      <c r="Q12"/>
      <c r="R12"/>
      <c r="S12"/>
      <c r="T12"/>
      <c r="U12"/>
      <c r="V12"/>
      <c r="W12"/>
      <c r="X12"/>
      <c r="Y12"/>
      <c r="Z12"/>
      <c r="AA12"/>
      <c r="AB12"/>
      <c r="AC12"/>
      <c r="AD12"/>
      <c r="AE12"/>
      <c r="AR12" s="79"/>
      <c r="AS12" s="80"/>
    </row>
    <row r="13" spans="1:45" ht="18" x14ac:dyDescent="0.35">
      <c r="A13"/>
      <c r="B13"/>
      <c r="C13"/>
      <c r="D13"/>
      <c r="E13"/>
      <c r="F13"/>
      <c r="G13"/>
      <c r="H13"/>
      <c r="I13"/>
      <c r="J13"/>
      <c r="K13"/>
      <c r="L13"/>
      <c r="M13"/>
      <c r="N13"/>
      <c r="O13"/>
      <c r="P13"/>
      <c r="Q13"/>
      <c r="R13"/>
      <c r="S13"/>
      <c r="T13"/>
      <c r="U13"/>
      <c r="V13"/>
      <c r="W13"/>
      <c r="X13"/>
      <c r="Y13"/>
      <c r="Z13"/>
      <c r="AA13"/>
      <c r="AB13"/>
      <c r="AC13"/>
      <c r="AD13"/>
      <c r="AE13"/>
      <c r="AR13" s="79"/>
      <c r="AS13" s="80"/>
    </row>
    <row r="14" spans="1:45" ht="18.600000000000001" thickBot="1" x14ac:dyDescent="0.4">
      <c r="A14" s="163" t="str" cm="1">
        <f t="array" ref="A14:B15">A5:B6</f>
        <v>Time of Day</v>
      </c>
      <c r="B14" s="164" t="str">
        <v>Tue</v>
      </c>
      <c r="C14"/>
      <c r="D14"/>
      <c r="E14"/>
      <c r="F14"/>
      <c r="G14"/>
      <c r="H14"/>
      <c r="I14"/>
      <c r="J14" s="163" t="str" cm="1">
        <f t="array" ref="J14:N19">J5:N10</f>
        <v>Time of Day</v>
      </c>
      <c r="K14" s="164" t="str">
        <v>Sun</v>
      </c>
      <c r="L14" s="164" t="str">
        <v>Mon</v>
      </c>
      <c r="M14" s="164" t="str">
        <v>Tue</v>
      </c>
      <c r="N14" s="164" t="str">
        <v>Thur</v>
      </c>
      <c r="O14"/>
      <c r="P14"/>
      <c r="Q14"/>
      <c r="R14"/>
      <c r="S14"/>
      <c r="T14"/>
      <c r="U14"/>
      <c r="V14"/>
      <c r="W14"/>
      <c r="X14"/>
      <c r="Y14"/>
      <c r="Z14"/>
      <c r="AA14"/>
      <c r="AB14"/>
      <c r="AC14"/>
      <c r="AD14"/>
      <c r="AE14"/>
      <c r="AR14" s="79"/>
      <c r="AS14" s="80"/>
    </row>
    <row r="15" spans="1:45" ht="18" x14ac:dyDescent="0.35">
      <c r="A15" s="165" t="str">
        <v>Morning Peak (08:00-11:59)</v>
      </c>
      <c r="B15" s="166">
        <v>1</v>
      </c>
      <c r="C15"/>
      <c r="D15"/>
      <c r="E15"/>
      <c r="F15"/>
      <c r="G15"/>
      <c r="H15"/>
      <c r="I15"/>
      <c r="J15" s="165" t="str">
        <v>Afternoon (12:00-15:59)</v>
      </c>
      <c r="K15" s="166">
        <v>0</v>
      </c>
      <c r="L15" s="166">
        <v>1</v>
      </c>
      <c r="M15" s="166">
        <v>2</v>
      </c>
      <c r="N15" s="167">
        <v>0</v>
      </c>
      <c r="O15"/>
      <c r="P15"/>
      <c r="Q15"/>
      <c r="R15"/>
      <c r="S15"/>
      <c r="T15"/>
      <c r="U15"/>
      <c r="V15"/>
      <c r="W15"/>
      <c r="X15"/>
      <c r="Y15"/>
      <c r="AR15" s="81" t="s">
        <v>672</v>
      </c>
      <c r="AS15" s="83" t="s">
        <v>682</v>
      </c>
    </row>
    <row r="16" spans="1:45" ht="18" x14ac:dyDescent="0.35">
      <c r="A16"/>
      <c r="B16"/>
      <c r="C16"/>
      <c r="D16"/>
      <c r="E16"/>
      <c r="F16"/>
      <c r="G16"/>
      <c r="H16"/>
      <c r="I16"/>
      <c r="J16" s="168" t="str">
        <v>Early Morning (00:00-03:59)</v>
      </c>
      <c r="K16" s="169">
        <v>0</v>
      </c>
      <c r="L16" s="169">
        <v>0</v>
      </c>
      <c r="M16" s="169">
        <v>0</v>
      </c>
      <c r="N16" s="132">
        <v>1</v>
      </c>
      <c r="O16"/>
      <c r="P16"/>
      <c r="Q16"/>
      <c r="R16"/>
      <c r="S16"/>
      <c r="T16"/>
      <c r="U16"/>
      <c r="V16"/>
      <c r="W16"/>
      <c r="X16"/>
      <c r="AR16" s="79" t="s">
        <v>673</v>
      </c>
      <c r="AS16" s="80" t="s">
        <v>683</v>
      </c>
    </row>
    <row r="17" spans="1:45" ht="18" x14ac:dyDescent="0.3">
      <c r="A17"/>
      <c r="B17"/>
      <c r="C17"/>
      <c r="D17"/>
      <c r="E17"/>
      <c r="F17"/>
      <c r="G17"/>
      <c r="H17"/>
      <c r="I17"/>
      <c r="J17" s="170" t="str">
        <v>Evening Peak (16:00-19:59)</v>
      </c>
      <c r="K17" s="171">
        <v>1</v>
      </c>
      <c r="L17" s="171">
        <v>1</v>
      </c>
      <c r="M17" s="171">
        <v>1</v>
      </c>
      <c r="N17" s="131">
        <v>0</v>
      </c>
      <c r="O17"/>
      <c r="P17"/>
      <c r="Q17"/>
      <c r="R17"/>
      <c r="S17"/>
      <c r="T17"/>
      <c r="U17"/>
      <c r="V17"/>
      <c r="W17"/>
      <c r="X17"/>
      <c r="AR17" s="84" t="s">
        <v>674</v>
      </c>
      <c r="AS17" s="85" t="s">
        <v>684</v>
      </c>
    </row>
    <row r="18" spans="1:45" ht="23.4" x14ac:dyDescent="0.45">
      <c r="A18"/>
      <c r="B18"/>
      <c r="C18"/>
      <c r="D18"/>
      <c r="E18"/>
      <c r="F18" s="12"/>
      <c r="G18" s="12"/>
      <c r="H18" s="12"/>
      <c r="I18" s="12"/>
      <c r="J18" s="168" t="str">
        <v>Morning Peak (08:00-11:59)</v>
      </c>
      <c r="K18" s="169">
        <v>0</v>
      </c>
      <c r="L18" s="169">
        <v>0</v>
      </c>
      <c r="M18" s="169">
        <v>1</v>
      </c>
      <c r="N18" s="132">
        <v>0</v>
      </c>
      <c r="O18" s="12"/>
      <c r="AR18" s="79" t="s">
        <v>675</v>
      </c>
      <c r="AS18" s="80" t="s">
        <v>685</v>
      </c>
    </row>
    <row r="19" spans="1:45" ht="18" x14ac:dyDescent="0.35">
      <c r="J19" s="170" t="str">
        <v>Night (20:00-23:59)</v>
      </c>
      <c r="K19" s="171">
        <v>0</v>
      </c>
      <c r="L19" s="171">
        <v>0</v>
      </c>
      <c r="M19" s="171">
        <v>0</v>
      </c>
      <c r="N19" s="131">
        <v>1</v>
      </c>
      <c r="AR19" s="81" t="s">
        <v>676</v>
      </c>
      <c r="AS19" s="83"/>
    </row>
    <row r="20" spans="1:45" ht="23.4" x14ac:dyDescent="0.45">
      <c r="AH20" s="194" t="s">
        <v>457</v>
      </c>
      <c r="AI20" s="194"/>
      <c r="AJ20" s="194"/>
      <c r="AK20" s="194"/>
      <c r="AL20" s="194"/>
      <c r="AM20" s="194"/>
      <c r="AN20" s="194"/>
      <c r="AO20" s="194"/>
      <c r="AR20" s="79" t="s">
        <v>677</v>
      </c>
      <c r="AS20" s="86" t="s">
        <v>573</v>
      </c>
    </row>
    <row r="21" spans="1:45" ht="18" x14ac:dyDescent="0.35">
      <c r="AH21" s="8" t="s">
        <v>450</v>
      </c>
      <c r="AI21" s="10" t="s">
        <v>459</v>
      </c>
      <c r="AJ21" s="10" t="s">
        <v>451</v>
      </c>
      <c r="AK21" s="10" t="s">
        <v>452</v>
      </c>
      <c r="AL21" s="10" t="s">
        <v>453</v>
      </c>
      <c r="AM21" s="10" t="s">
        <v>454</v>
      </c>
      <c r="AN21" s="8" t="s">
        <v>455</v>
      </c>
      <c r="AO21" s="8" t="s">
        <v>456</v>
      </c>
      <c r="AR21" s="81" t="s">
        <v>678</v>
      </c>
      <c r="AS21" s="83" t="s">
        <v>686</v>
      </c>
    </row>
    <row r="22" spans="1:45" ht="18" x14ac:dyDescent="0.35">
      <c r="AH22" s="46" t="s">
        <v>163</v>
      </c>
      <c r="AI22" s="44"/>
      <c r="AJ22" s="44"/>
      <c r="AK22" s="44"/>
      <c r="AL22"/>
      <c r="AM22" s="44">
        <v>1</v>
      </c>
      <c r="AN22" s="44"/>
      <c r="AO22" s="44"/>
      <c r="AR22" s="81" t="s">
        <v>661</v>
      </c>
      <c r="AS22" s="83" t="s">
        <v>670</v>
      </c>
    </row>
    <row r="23" spans="1:45" ht="18.600000000000001" thickBot="1" x14ac:dyDescent="0.4">
      <c r="AH23" s="46" t="s">
        <v>142</v>
      </c>
      <c r="AI23" s="44"/>
      <c r="AJ23" s="44"/>
      <c r="AK23" s="44">
        <v>1</v>
      </c>
      <c r="AL23"/>
      <c r="AM23" s="44"/>
      <c r="AN23" s="44"/>
      <c r="AO23" s="44"/>
      <c r="AR23" s="87" t="s">
        <v>460</v>
      </c>
      <c r="AS23" s="88"/>
    </row>
    <row r="24" spans="1:45" x14ac:dyDescent="0.3">
      <c r="AH24" s="46" t="s">
        <v>55</v>
      </c>
      <c r="AI24" s="44"/>
      <c r="AJ24" s="44">
        <v>1</v>
      </c>
      <c r="AK24" s="44">
        <v>2</v>
      </c>
      <c r="AL24"/>
      <c r="AM24" s="44"/>
      <c r="AN24" s="44"/>
      <c r="AO24" s="44"/>
    </row>
    <row r="25" spans="1:45" x14ac:dyDescent="0.3">
      <c r="AH25" s="46" t="s">
        <v>79</v>
      </c>
      <c r="AI25" s="44">
        <v>1</v>
      </c>
      <c r="AJ25" s="44">
        <v>1</v>
      </c>
      <c r="AK25" s="44">
        <v>1</v>
      </c>
      <c r="AL25"/>
      <c r="AM25" s="44"/>
      <c r="AN25" s="44"/>
      <c r="AO25" s="44"/>
    </row>
    <row r="26" spans="1:45" s="15" customFormat="1" x14ac:dyDescent="0.3">
      <c r="AH26" s="46" t="s">
        <v>98</v>
      </c>
      <c r="AI26" s="44"/>
      <c r="AJ26" s="44"/>
      <c r="AK26" s="44"/>
      <c r="AL26"/>
      <c r="AM26" s="44">
        <v>1</v>
      </c>
      <c r="AN26" s="44"/>
      <c r="AO26" s="44"/>
    </row>
    <row r="27" spans="1:45" x14ac:dyDescent="0.3">
      <c r="AH27" s="15"/>
      <c r="AI27" s="15"/>
      <c r="AJ27" s="15"/>
      <c r="AK27" s="15"/>
      <c r="AL27" s="15"/>
      <c r="AM27" s="15"/>
      <c r="AN27" s="15"/>
      <c r="AO27" s="15"/>
    </row>
    <row r="29" spans="1:45" x14ac:dyDescent="0.3">
      <c r="A29"/>
      <c r="B29"/>
    </row>
    <row r="31" spans="1:45" ht="23.4" x14ac:dyDescent="0.45">
      <c r="A31"/>
      <c r="B31"/>
      <c r="C31"/>
      <c r="D31"/>
      <c r="E31"/>
      <c r="F31"/>
      <c r="G31"/>
      <c r="H31"/>
      <c r="I31"/>
      <c r="J31"/>
      <c r="K31"/>
      <c r="L31"/>
      <c r="M31"/>
      <c r="N31"/>
      <c r="O31"/>
      <c r="AH31" s="194" t="s">
        <v>458</v>
      </c>
      <c r="AI31" s="194"/>
      <c r="AJ31" s="194"/>
      <c r="AK31" s="194"/>
      <c r="AL31" s="194"/>
      <c r="AM31" s="194"/>
      <c r="AN31" s="194"/>
      <c r="AO31" s="194"/>
    </row>
    <row r="32" spans="1:45" ht="18" x14ac:dyDescent="0.35">
      <c r="A32"/>
      <c r="B32"/>
      <c r="C32"/>
      <c r="D32"/>
      <c r="E32"/>
      <c r="F32"/>
      <c r="G32"/>
      <c r="H32"/>
      <c r="I32"/>
      <c r="J32"/>
      <c r="K32"/>
      <c r="L32"/>
      <c r="M32"/>
      <c r="N32"/>
      <c r="O32"/>
      <c r="AH32" s="8" t="s">
        <v>450</v>
      </c>
      <c r="AI32" s="10" t="s">
        <v>459</v>
      </c>
      <c r="AJ32" s="10" t="s">
        <v>451</v>
      </c>
      <c r="AK32" s="8" t="s">
        <v>452</v>
      </c>
      <c r="AL32" s="8" t="s">
        <v>453</v>
      </c>
      <c r="AM32" s="8" t="s">
        <v>454</v>
      </c>
      <c r="AN32" s="8" t="s">
        <v>455</v>
      </c>
      <c r="AO32" s="8" t="s">
        <v>456</v>
      </c>
    </row>
    <row r="33" spans="1:41" x14ac:dyDescent="0.3">
      <c r="A33"/>
      <c r="B33"/>
      <c r="C33"/>
      <c r="D33"/>
      <c r="E33"/>
      <c r="F33"/>
      <c r="G33"/>
      <c r="H33"/>
      <c r="I33"/>
      <c r="J33"/>
      <c r="K33"/>
      <c r="L33"/>
      <c r="M33"/>
      <c r="N33"/>
      <c r="O33"/>
      <c r="AH33" s="46" t="s">
        <v>142</v>
      </c>
      <c r="AI33" s="44"/>
      <c r="AJ33" s="44"/>
      <c r="AK33" s="44">
        <v>1</v>
      </c>
      <c r="AL33" s="44"/>
      <c r="AM33" s="44"/>
      <c r="AN33" s="44"/>
      <c r="AO33" s="44"/>
    </row>
    <row r="34" spans="1:41" x14ac:dyDescent="0.3">
      <c r="A34"/>
      <c r="B34"/>
      <c r="C34"/>
      <c r="D34"/>
      <c r="E34"/>
      <c r="F34"/>
      <c r="G34"/>
      <c r="H34"/>
      <c r="I34"/>
      <c r="J34"/>
      <c r="K34"/>
      <c r="L34"/>
      <c r="M34"/>
      <c r="N34"/>
      <c r="O34"/>
      <c r="AH34" s="46" t="s">
        <v>55</v>
      </c>
      <c r="AI34" s="44"/>
      <c r="AJ34" s="44"/>
      <c r="AK34" s="44">
        <v>1</v>
      </c>
      <c r="AL34" s="44"/>
      <c r="AM34" s="44"/>
      <c r="AN34" s="44"/>
      <c r="AO34" s="44"/>
    </row>
    <row r="35" spans="1:41" x14ac:dyDescent="0.3">
      <c r="A35"/>
      <c r="B35"/>
      <c r="C35"/>
      <c r="D35"/>
      <c r="E35"/>
      <c r="F35"/>
      <c r="G35"/>
      <c r="H35"/>
      <c r="I35"/>
      <c r="J35"/>
      <c r="K35"/>
      <c r="L35"/>
      <c r="M35"/>
      <c r="N35"/>
      <c r="O35"/>
      <c r="AH35" s="46" t="s">
        <v>79</v>
      </c>
      <c r="AI35" s="44"/>
      <c r="AJ35" s="44"/>
      <c r="AK35" s="44">
        <v>1</v>
      </c>
      <c r="AL35" s="44"/>
      <c r="AM35" s="44"/>
      <c r="AN35" s="44"/>
      <c r="AO35" s="44"/>
    </row>
    <row r="36" spans="1:41" x14ac:dyDescent="0.3">
      <c r="A36"/>
      <c r="B36"/>
      <c r="C36"/>
      <c r="D36"/>
      <c r="E36"/>
      <c r="F36"/>
      <c r="G36"/>
      <c r="H36"/>
      <c r="I36"/>
      <c r="J36"/>
      <c r="K36"/>
      <c r="L36"/>
      <c r="M36"/>
      <c r="N36"/>
      <c r="O36"/>
    </row>
    <row r="37" spans="1:41" x14ac:dyDescent="0.3">
      <c r="A37"/>
      <c r="B37"/>
      <c r="C37"/>
      <c r="D37"/>
      <c r="E37"/>
      <c r="F37"/>
      <c r="G37"/>
      <c r="H37"/>
      <c r="I37"/>
      <c r="J37"/>
      <c r="K37"/>
      <c r="L37"/>
      <c r="M37"/>
      <c r="N37"/>
      <c r="O37"/>
    </row>
    <row r="38" spans="1:41" x14ac:dyDescent="0.3">
      <c r="A38"/>
      <c r="B38"/>
      <c r="C38"/>
      <c r="D38"/>
      <c r="E38"/>
      <c r="F38"/>
      <c r="G38"/>
      <c r="H38"/>
      <c r="I38"/>
      <c r="J38"/>
      <c r="K38"/>
      <c r="L38"/>
      <c r="M38"/>
      <c r="N38"/>
      <c r="O38"/>
    </row>
    <row r="39" spans="1:41" x14ac:dyDescent="0.3">
      <c r="A39"/>
      <c r="B39"/>
      <c r="C39"/>
    </row>
    <row r="40" spans="1:41" x14ac:dyDescent="0.3">
      <c r="A40"/>
      <c r="B40"/>
      <c r="C40"/>
    </row>
    <row r="41" spans="1:41" x14ac:dyDescent="0.3">
      <c r="A41"/>
      <c r="B41"/>
      <c r="C41"/>
    </row>
    <row r="42" spans="1:41" x14ac:dyDescent="0.3">
      <c r="A42"/>
      <c r="B42"/>
      <c r="C42"/>
    </row>
    <row r="43" spans="1:41" x14ac:dyDescent="0.3">
      <c r="A43"/>
      <c r="B43"/>
      <c r="C43"/>
    </row>
    <row r="44" spans="1:41" x14ac:dyDescent="0.3">
      <c r="A44"/>
      <c r="B44"/>
      <c r="C44"/>
    </row>
    <row r="45" spans="1:41" x14ac:dyDescent="0.3">
      <c r="A45"/>
      <c r="B45"/>
      <c r="C45"/>
    </row>
    <row r="46" spans="1:41" x14ac:dyDescent="0.3">
      <c r="A46"/>
      <c r="B46"/>
      <c r="C46"/>
    </row>
    <row r="47" spans="1:41" x14ac:dyDescent="0.3">
      <c r="A47"/>
      <c r="B47"/>
      <c r="C47"/>
    </row>
    <row r="48" spans="1:41" x14ac:dyDescent="0.3">
      <c r="A48"/>
      <c r="B48"/>
      <c r="C48"/>
    </row>
  </sheetData>
  <mergeCells count="4">
    <mergeCell ref="AH20:AO20"/>
    <mergeCell ref="AH31:AO31"/>
    <mergeCell ref="A1:H1"/>
    <mergeCell ref="J1:Q1"/>
  </mergeCells>
  <pageMargins left="0.7" right="0.7" top="0.75" bottom="0.75" header="0.3" footer="0.3"/>
  <pageSetup orientation="portrait" r:id="rId3"/>
  <drawing r:id="rId4"/>
  <tableParts count="3">
    <tablePart r:id="rId5"/>
    <tablePart r:id="rId6"/>
    <tablePart r:id="rId7"/>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6BF18-A1EA-43E6-91DC-D346AD1D8BBD}">
  <sheetPr codeName="Sheet10">
    <tabColor rgb="FF7030A0"/>
  </sheetPr>
  <dimension ref="A1:BB6"/>
  <sheetViews>
    <sheetView topLeftCell="AX1" workbookViewId="0">
      <selection activeCell="AX1" sqref="AX1"/>
    </sheetView>
  </sheetViews>
  <sheetFormatPr defaultColWidth="8.88671875" defaultRowHeight="15.6" x14ac:dyDescent="0.3"/>
  <cols>
    <col min="1" max="1" width="20.109375" style="15" bestFit="1" customWidth="1"/>
    <col min="2" max="2" width="16" style="32" bestFit="1" customWidth="1"/>
    <col min="3" max="3" width="21.109375" style="17" bestFit="1" customWidth="1"/>
    <col min="4" max="4" width="18.77734375" style="3" bestFit="1" customWidth="1"/>
    <col min="5" max="5" width="15.44140625" style="3" bestFit="1" customWidth="1"/>
    <col min="6" max="6" width="16.21875" style="3" bestFit="1" customWidth="1"/>
    <col min="7" max="7" width="19" style="3" bestFit="1" customWidth="1"/>
    <col min="8" max="8" width="23.21875" style="3" bestFit="1" customWidth="1"/>
    <col min="9" max="9" width="20.44140625" style="3" bestFit="1" customWidth="1"/>
    <col min="10" max="10" width="56.109375" style="3" bestFit="1" customWidth="1"/>
    <col min="11" max="11" width="27.77734375" style="3" bestFit="1" customWidth="1"/>
    <col min="12" max="13" width="22" style="3" bestFit="1" customWidth="1"/>
    <col min="14" max="14" width="42.88671875" style="3" bestFit="1" customWidth="1"/>
    <col min="15" max="15" width="10" style="3" bestFit="1" customWidth="1"/>
    <col min="16" max="16" width="10.6640625" style="3" bestFit="1" customWidth="1"/>
    <col min="17" max="17" width="80.88671875" style="3" bestFit="1" customWidth="1"/>
    <col min="18" max="18" width="24.44140625" style="3" bestFit="1" customWidth="1"/>
    <col min="19" max="19" width="26.44140625" style="3" bestFit="1" customWidth="1"/>
    <col min="20" max="20" width="20.21875" style="3" bestFit="1" customWidth="1"/>
    <col min="21" max="21" width="12.44140625" style="3" bestFit="1" customWidth="1"/>
    <col min="22" max="22" width="13.33203125" style="3" bestFit="1" customWidth="1"/>
    <col min="23" max="23" width="17.109375" style="3" bestFit="1" customWidth="1"/>
    <col min="24" max="24" width="20.21875" style="3" bestFit="1" customWidth="1"/>
    <col min="25" max="25" width="17.109375" style="3" bestFit="1" customWidth="1"/>
    <col min="26" max="26" width="12.44140625" style="3" bestFit="1" customWidth="1"/>
    <col min="27" max="27" width="13.33203125" style="3" bestFit="1" customWidth="1"/>
    <col min="28" max="28" width="18.88671875" style="3" bestFit="1" customWidth="1"/>
    <col min="29" max="29" width="20.88671875" style="3" bestFit="1" customWidth="1"/>
    <col min="30" max="30" width="28.21875" style="3" bestFit="1" customWidth="1"/>
    <col min="31" max="31" width="12" style="3" bestFit="1" customWidth="1"/>
    <col min="32" max="32" width="23.109375" style="3" bestFit="1" customWidth="1"/>
    <col min="33" max="33" width="28.44140625" style="3" bestFit="1" customWidth="1"/>
    <col min="34" max="34" width="27.44140625" style="3" bestFit="1" customWidth="1"/>
    <col min="35" max="35" width="31.6640625" style="3" bestFit="1" customWidth="1"/>
    <col min="36" max="36" width="19.6640625" style="3" bestFit="1" customWidth="1"/>
    <col min="37" max="37" width="19.88671875" style="3" bestFit="1" customWidth="1"/>
    <col min="38" max="38" width="30.33203125" style="3" bestFit="1" customWidth="1"/>
    <col min="39" max="39" width="30.5546875" style="3" bestFit="1" customWidth="1"/>
    <col min="40" max="40" width="18.109375" style="3" bestFit="1" customWidth="1"/>
    <col min="41" max="41" width="18.33203125" style="3" bestFit="1" customWidth="1"/>
    <col min="42" max="42" width="10.21875" style="3" bestFit="1" customWidth="1"/>
    <col min="43" max="43" width="19.33203125" style="3" bestFit="1" customWidth="1"/>
    <col min="44" max="44" width="21.21875" style="3" bestFit="1" customWidth="1"/>
    <col min="45" max="45" width="9.44140625" style="3" bestFit="1" customWidth="1"/>
    <col min="46" max="46" width="17.21875" style="3" bestFit="1" customWidth="1"/>
    <col min="47" max="47" width="28.109375" style="3" bestFit="1" customWidth="1"/>
    <col min="48" max="48" width="8.77734375" style="3" bestFit="1" customWidth="1"/>
    <col min="49" max="49" width="80.88671875" style="3" bestFit="1" customWidth="1"/>
    <col min="50" max="50" width="14.77734375" style="3" bestFit="1" customWidth="1"/>
    <col min="51" max="51" width="80.88671875" style="3" bestFit="1" customWidth="1"/>
    <col min="52" max="52" width="32.109375" style="3" bestFit="1" customWidth="1"/>
    <col min="53" max="53" width="22.33203125" style="3" bestFit="1" customWidth="1"/>
    <col min="54" max="54" width="22.5546875" style="3" bestFit="1" customWidth="1"/>
    <col min="55" max="55" width="23.33203125" style="3" bestFit="1" customWidth="1"/>
    <col min="56" max="16384" width="8.88671875" style="3"/>
  </cols>
  <sheetData>
    <row r="1" spans="1:54" s="18" customFormat="1" ht="18" x14ac:dyDescent="0.35">
      <c r="A1" s="18" t="s">
        <v>0</v>
      </c>
      <c r="B1" s="31" t="s">
        <v>1</v>
      </c>
      <c r="C1" s="18" t="s">
        <v>2</v>
      </c>
      <c r="D1" s="19" t="s">
        <v>3</v>
      </c>
      <c r="E1" s="19" t="s">
        <v>4</v>
      </c>
      <c r="F1" s="18" t="s">
        <v>5</v>
      </c>
      <c r="G1" s="18" t="s">
        <v>6</v>
      </c>
      <c r="H1" s="18" t="s">
        <v>7</v>
      </c>
      <c r="I1" s="18" t="s">
        <v>8</v>
      </c>
      <c r="J1" s="18" t="s">
        <v>10</v>
      </c>
      <c r="K1" s="18" t="s">
        <v>9</v>
      </c>
      <c r="L1" s="18" t="s">
        <v>11</v>
      </c>
      <c r="M1" s="18" t="s">
        <v>12</v>
      </c>
      <c r="N1" s="18" t="s">
        <v>13</v>
      </c>
      <c r="O1" s="18" t="s">
        <v>14</v>
      </c>
      <c r="P1" s="18" t="s">
        <v>15</v>
      </c>
      <c r="Q1" s="18" t="s">
        <v>16</v>
      </c>
      <c r="R1" s="18" t="s">
        <v>17</v>
      </c>
      <c r="S1" s="18" t="s">
        <v>18</v>
      </c>
      <c r="T1" s="18" t="s">
        <v>19</v>
      </c>
      <c r="U1" s="18" t="s">
        <v>20</v>
      </c>
      <c r="V1" s="18" t="s">
        <v>21</v>
      </c>
      <c r="W1" s="18" t="s">
        <v>22</v>
      </c>
      <c r="X1" s="18" t="s">
        <v>23</v>
      </c>
      <c r="Y1" s="18" t="s">
        <v>24</v>
      </c>
      <c r="Z1" s="18" t="s">
        <v>25</v>
      </c>
      <c r="AA1" s="18" t="s">
        <v>26</v>
      </c>
      <c r="AB1" s="18" t="s">
        <v>27</v>
      </c>
      <c r="AC1" s="18" t="s">
        <v>28</v>
      </c>
      <c r="AD1" s="18" t="s">
        <v>29</v>
      </c>
      <c r="AE1" s="18" t="s">
        <v>30</v>
      </c>
      <c r="AF1" s="18" t="s">
        <v>31</v>
      </c>
      <c r="AG1" s="18" t="s">
        <v>32</v>
      </c>
      <c r="AH1" s="18" t="s">
        <v>33</v>
      </c>
      <c r="AI1" s="18" t="s">
        <v>34</v>
      </c>
      <c r="AJ1" s="18" t="s">
        <v>35</v>
      </c>
      <c r="AK1" s="18" t="s">
        <v>36</v>
      </c>
      <c r="AL1" s="18" t="s">
        <v>37</v>
      </c>
      <c r="AM1" s="18" t="s">
        <v>38</v>
      </c>
      <c r="AN1" s="18" t="s">
        <v>39</v>
      </c>
      <c r="AO1" s="18" t="s">
        <v>40</v>
      </c>
      <c r="AP1" s="18" t="s">
        <v>41</v>
      </c>
      <c r="AQ1" s="18" t="s">
        <v>42</v>
      </c>
      <c r="AR1" s="18" t="s">
        <v>43</v>
      </c>
      <c r="AS1" s="18" t="s">
        <v>44</v>
      </c>
      <c r="AT1" s="18" t="s">
        <v>45</v>
      </c>
      <c r="AU1" s="18" t="s">
        <v>46</v>
      </c>
      <c r="AV1" s="18" t="s">
        <v>47</v>
      </c>
      <c r="AW1" t="s">
        <v>460</v>
      </c>
      <c r="AX1" s="18" t="s">
        <v>49</v>
      </c>
      <c r="AY1" s="18" t="s">
        <v>50</v>
      </c>
      <c r="AZ1" s="18" t="s">
        <v>51</v>
      </c>
      <c r="BA1" s="18" t="s">
        <v>52</v>
      </c>
      <c r="BB1" s="18" t="s">
        <v>53</v>
      </c>
    </row>
    <row r="2" spans="1:54" x14ac:dyDescent="0.3">
      <c r="A2" s="56" t="s">
        <v>396</v>
      </c>
      <c r="B2" s="57">
        <v>45664</v>
      </c>
      <c r="C2" s="58" t="s">
        <v>55</v>
      </c>
      <c r="D2" s="65">
        <v>0.58333333333333337</v>
      </c>
      <c r="E2" s="65">
        <v>0.58333333333333337</v>
      </c>
      <c r="F2" s="58" t="s">
        <v>452</v>
      </c>
      <c r="G2" s="58" t="s">
        <v>56</v>
      </c>
      <c r="H2" s="58" t="s">
        <v>397</v>
      </c>
      <c r="I2" s="58" t="s">
        <v>398</v>
      </c>
      <c r="J2" s="58" t="s">
        <v>400</v>
      </c>
      <c r="K2" s="58" t="s">
        <v>399</v>
      </c>
      <c r="L2" s="58" t="s">
        <v>401</v>
      </c>
      <c r="M2" s="58" t="s">
        <v>60</v>
      </c>
      <c r="N2" s="58" t="s">
        <v>402</v>
      </c>
      <c r="O2" s="58" t="s">
        <v>135</v>
      </c>
      <c r="P2" s="58">
        <v>7</v>
      </c>
      <c r="Q2" s="58" t="s">
        <v>403</v>
      </c>
      <c r="R2" s="58"/>
      <c r="S2" s="58"/>
      <c r="T2" s="58"/>
      <c r="U2" s="58"/>
      <c r="V2" s="58"/>
      <c r="W2" s="58"/>
      <c r="X2" s="58"/>
      <c r="Y2" s="58"/>
      <c r="Z2" s="58"/>
      <c r="AA2" s="58"/>
      <c r="AB2" s="58" t="s">
        <v>404</v>
      </c>
      <c r="AC2" s="58" t="s">
        <v>68</v>
      </c>
      <c r="AD2" s="58" t="s">
        <v>405</v>
      </c>
      <c r="AE2" s="58" t="s">
        <v>406</v>
      </c>
      <c r="AF2" s="58" t="s">
        <v>407</v>
      </c>
      <c r="AG2" s="58" t="s">
        <v>72</v>
      </c>
      <c r="AH2" s="58" t="s">
        <v>408</v>
      </c>
      <c r="AI2" s="58">
        <v>9</v>
      </c>
      <c r="AJ2" s="66">
        <v>45664</v>
      </c>
      <c r="AK2" s="67">
        <v>0.58333333333333337</v>
      </c>
      <c r="AL2" s="66"/>
      <c r="AM2" s="67"/>
      <c r="AN2" s="66">
        <v>45667</v>
      </c>
      <c r="AO2" s="67">
        <v>0.59781249999999997</v>
      </c>
      <c r="AP2" s="58">
        <v>2025</v>
      </c>
      <c r="AQ2" s="58">
        <v>2</v>
      </c>
      <c r="AR2" s="58">
        <v>2</v>
      </c>
      <c r="AS2" s="58">
        <v>7</v>
      </c>
      <c r="AT2" s="58">
        <v>7</v>
      </c>
      <c r="AU2" s="67">
        <v>45664.583333333336</v>
      </c>
      <c r="AV2" s="58">
        <v>135</v>
      </c>
      <c r="AW2" t="s">
        <v>403</v>
      </c>
      <c r="AX2" s="58"/>
      <c r="AY2" s="58" t="s">
        <v>409</v>
      </c>
      <c r="AZ2" s="58" t="s">
        <v>60</v>
      </c>
      <c r="BA2" s="58" t="s">
        <v>514</v>
      </c>
      <c r="BB2" s="58" t="s">
        <v>77</v>
      </c>
    </row>
    <row r="3" spans="1:54" x14ac:dyDescent="0.3">
      <c r="A3" s="56" t="s">
        <v>410</v>
      </c>
      <c r="B3" s="57">
        <v>45680</v>
      </c>
      <c r="C3" s="58" t="s">
        <v>55</v>
      </c>
      <c r="D3" s="65">
        <v>0.625</v>
      </c>
      <c r="E3" s="65">
        <v>0.625</v>
      </c>
      <c r="F3" s="58" t="s">
        <v>537</v>
      </c>
      <c r="G3" s="58" t="s">
        <v>56</v>
      </c>
      <c r="H3" s="58" t="s">
        <v>411</v>
      </c>
      <c r="I3" s="58" t="s">
        <v>412</v>
      </c>
      <c r="J3" s="58" t="s">
        <v>414</v>
      </c>
      <c r="K3" s="58" t="s">
        <v>413</v>
      </c>
      <c r="L3" s="58" t="s">
        <v>401</v>
      </c>
      <c r="M3" s="58" t="s">
        <v>60</v>
      </c>
      <c r="N3" s="58" t="s">
        <v>415</v>
      </c>
      <c r="O3" s="58" t="s">
        <v>85</v>
      </c>
      <c r="P3" s="58">
        <v>8</v>
      </c>
      <c r="Q3" s="58" t="s">
        <v>416</v>
      </c>
      <c r="R3" s="58"/>
      <c r="S3" s="58"/>
      <c r="T3" s="58"/>
      <c r="U3" s="58"/>
      <c r="V3" s="58"/>
      <c r="W3" s="58"/>
      <c r="X3" s="58"/>
      <c r="Y3" s="58"/>
      <c r="Z3" s="58"/>
      <c r="AA3" s="58"/>
      <c r="AB3" s="58" t="s">
        <v>417</v>
      </c>
      <c r="AC3" s="58" t="s">
        <v>68</v>
      </c>
      <c r="AD3" s="58" t="s">
        <v>353</v>
      </c>
      <c r="AE3" s="58" t="s">
        <v>418</v>
      </c>
      <c r="AF3" s="58" t="s">
        <v>407</v>
      </c>
      <c r="AG3" s="58" t="s">
        <v>419</v>
      </c>
      <c r="AH3" s="58"/>
      <c r="AI3" s="58">
        <v>9</v>
      </c>
      <c r="AJ3" s="66">
        <v>45680</v>
      </c>
      <c r="AK3" s="67">
        <v>0.625</v>
      </c>
      <c r="AL3" s="66"/>
      <c r="AM3" s="67"/>
      <c r="AN3" s="66">
        <v>45680</v>
      </c>
      <c r="AO3" s="67">
        <v>0.66545138888888888</v>
      </c>
      <c r="AP3" s="58">
        <v>2025</v>
      </c>
      <c r="AQ3" s="58">
        <v>4</v>
      </c>
      <c r="AR3" s="58">
        <v>4</v>
      </c>
      <c r="AS3" s="58">
        <v>23</v>
      </c>
      <c r="AT3" s="58">
        <v>23</v>
      </c>
      <c r="AU3" s="67">
        <v>45680.625</v>
      </c>
      <c r="AV3" s="58">
        <v>176</v>
      </c>
      <c r="AW3" t="s">
        <v>416</v>
      </c>
      <c r="AX3" s="58"/>
      <c r="AY3" s="58" t="s">
        <v>420</v>
      </c>
      <c r="AZ3" s="58" t="s">
        <v>60</v>
      </c>
      <c r="BA3" s="58" t="s">
        <v>512</v>
      </c>
      <c r="BB3" s="58" t="s">
        <v>77</v>
      </c>
    </row>
    <row r="4" spans="1:54" x14ac:dyDescent="0.3">
      <c r="A4" s="56" t="s">
        <v>421</v>
      </c>
      <c r="B4" s="57">
        <v>45705</v>
      </c>
      <c r="C4" s="58" t="s">
        <v>98</v>
      </c>
      <c r="D4" s="65">
        <v>0.83333333333333337</v>
      </c>
      <c r="E4" s="65">
        <v>0.83333333333333337</v>
      </c>
      <c r="F4" s="58" t="s">
        <v>451</v>
      </c>
      <c r="G4" s="58" t="s">
        <v>112</v>
      </c>
      <c r="H4" s="58" t="s">
        <v>422</v>
      </c>
      <c r="I4" s="58" t="s">
        <v>423</v>
      </c>
      <c r="J4" s="58" t="s">
        <v>425</v>
      </c>
      <c r="K4" s="58" t="s">
        <v>424</v>
      </c>
      <c r="L4" s="58" t="s">
        <v>413</v>
      </c>
      <c r="M4" s="58" t="s">
        <v>60</v>
      </c>
      <c r="N4" s="58" t="s">
        <v>426</v>
      </c>
      <c r="O4" s="58" t="s">
        <v>427</v>
      </c>
      <c r="P4" s="58">
        <v>8</v>
      </c>
      <c r="Q4" s="58" t="s">
        <v>428</v>
      </c>
      <c r="R4" s="58"/>
      <c r="S4" s="58"/>
      <c r="T4" s="58"/>
      <c r="U4" s="58"/>
      <c r="V4" s="58"/>
      <c r="W4" s="58"/>
      <c r="X4" s="58"/>
      <c r="Y4" s="58"/>
      <c r="Z4" s="58"/>
      <c r="AA4" s="58"/>
      <c r="AB4" s="58" t="s">
        <v>417</v>
      </c>
      <c r="AC4" s="58" t="s">
        <v>68</v>
      </c>
      <c r="AD4" s="58" t="s">
        <v>107</v>
      </c>
      <c r="AE4" s="58" t="s">
        <v>418</v>
      </c>
      <c r="AF4" s="58" t="s">
        <v>107</v>
      </c>
      <c r="AG4" s="58" t="s">
        <v>267</v>
      </c>
      <c r="AH4" s="58"/>
      <c r="AI4" s="58">
        <v>9</v>
      </c>
      <c r="AJ4" s="66">
        <v>45705</v>
      </c>
      <c r="AK4" s="67">
        <v>0.83333333333333337</v>
      </c>
      <c r="AL4" s="66">
        <v>45705</v>
      </c>
      <c r="AM4" s="67">
        <v>0.98958333333333337</v>
      </c>
      <c r="AN4" s="66">
        <v>45706</v>
      </c>
      <c r="AO4" s="67">
        <v>0.73564814814814816</v>
      </c>
      <c r="AP4" s="58">
        <v>2025</v>
      </c>
      <c r="AQ4" s="58">
        <v>8</v>
      </c>
      <c r="AR4" s="58">
        <v>4</v>
      </c>
      <c r="AS4" s="58">
        <v>17</v>
      </c>
      <c r="AT4" s="58">
        <v>48</v>
      </c>
      <c r="AU4" s="67">
        <v>45705.833333333336</v>
      </c>
      <c r="AV4" s="58">
        <v>240</v>
      </c>
      <c r="AW4" t="s">
        <v>428</v>
      </c>
      <c r="AX4" s="58"/>
      <c r="AY4" s="58" t="s">
        <v>429</v>
      </c>
      <c r="AZ4" s="58" t="s">
        <v>60</v>
      </c>
      <c r="BA4" s="58" t="s">
        <v>509</v>
      </c>
      <c r="BB4" s="58" t="s">
        <v>110</v>
      </c>
    </row>
    <row r="5" spans="1:54" x14ac:dyDescent="0.3">
      <c r="A5" s="56" t="s">
        <v>430</v>
      </c>
      <c r="B5" s="57">
        <v>45708</v>
      </c>
      <c r="C5" s="58" t="s">
        <v>55</v>
      </c>
      <c r="D5" s="65">
        <v>0.5</v>
      </c>
      <c r="E5" s="65">
        <v>0.53615740740740736</v>
      </c>
      <c r="F5" s="58" t="s">
        <v>452</v>
      </c>
      <c r="G5" s="58" t="s">
        <v>112</v>
      </c>
      <c r="H5" s="58" t="s">
        <v>431</v>
      </c>
      <c r="I5" s="58" t="s">
        <v>432</v>
      </c>
      <c r="J5" s="58" t="s">
        <v>413</v>
      </c>
      <c r="K5" s="58" t="s">
        <v>413</v>
      </c>
      <c r="L5" s="58" t="s">
        <v>60</v>
      </c>
      <c r="M5" s="58" t="s">
        <v>60</v>
      </c>
      <c r="N5" s="58" t="s">
        <v>433</v>
      </c>
      <c r="O5" s="58" t="s">
        <v>102</v>
      </c>
      <c r="P5" s="58">
        <v>8</v>
      </c>
      <c r="Q5" s="58" t="s">
        <v>434</v>
      </c>
      <c r="R5" s="58"/>
      <c r="S5" s="58"/>
      <c r="T5" s="58"/>
      <c r="U5" s="58"/>
      <c r="V5" s="58"/>
      <c r="W5" s="58"/>
      <c r="X5" s="58"/>
      <c r="Y5" s="58"/>
      <c r="Z5" s="58"/>
      <c r="AA5" s="58"/>
      <c r="AB5" s="58" t="s">
        <v>67</v>
      </c>
      <c r="AC5" s="58" t="s">
        <v>68</v>
      </c>
      <c r="AD5" s="58" t="s">
        <v>435</v>
      </c>
      <c r="AE5" s="58" t="s">
        <v>70</v>
      </c>
      <c r="AF5" s="58" t="s">
        <v>353</v>
      </c>
      <c r="AG5" s="58" t="s">
        <v>436</v>
      </c>
      <c r="AH5" s="58" t="s">
        <v>437</v>
      </c>
      <c r="AI5" s="58">
        <v>9</v>
      </c>
      <c r="AJ5" s="66">
        <v>42906</v>
      </c>
      <c r="AK5" s="67">
        <v>0.53615740740740736</v>
      </c>
      <c r="AL5" s="66">
        <v>45555</v>
      </c>
      <c r="AM5" s="67"/>
      <c r="AN5" s="66">
        <v>45708</v>
      </c>
      <c r="AO5" s="67">
        <v>0.53615740740740736</v>
      </c>
      <c r="AP5" s="58">
        <v>2017</v>
      </c>
      <c r="AQ5" s="58">
        <v>25</v>
      </c>
      <c r="AR5" s="58">
        <v>4</v>
      </c>
      <c r="AS5" s="58">
        <v>20</v>
      </c>
      <c r="AT5" s="58">
        <v>171</v>
      </c>
      <c r="AU5" s="67">
        <v>42906.536111111112</v>
      </c>
      <c r="AV5" s="58">
        <v>360</v>
      </c>
      <c r="AW5" t="s">
        <v>434</v>
      </c>
      <c r="AX5" s="58"/>
      <c r="AY5" s="58" t="s">
        <v>60</v>
      </c>
      <c r="AZ5" s="58" t="s">
        <v>60</v>
      </c>
      <c r="BA5" s="58" t="s">
        <v>508</v>
      </c>
      <c r="BB5" s="58" t="s">
        <v>77</v>
      </c>
    </row>
    <row r="6" spans="1:54" x14ac:dyDescent="0.3">
      <c r="A6" s="56" t="s">
        <v>641</v>
      </c>
      <c r="B6" s="57">
        <v>45749</v>
      </c>
      <c r="C6" s="58" t="s">
        <v>98</v>
      </c>
      <c r="D6" s="65">
        <v>0.875</v>
      </c>
      <c r="E6" s="65">
        <v>0.89930555555555558</v>
      </c>
      <c r="F6" s="58" t="s">
        <v>453</v>
      </c>
      <c r="G6" s="58" t="s">
        <v>599</v>
      </c>
      <c r="H6" s="58" t="s">
        <v>642</v>
      </c>
      <c r="I6" s="58" t="s">
        <v>643</v>
      </c>
      <c r="J6" s="58" t="s">
        <v>644</v>
      </c>
      <c r="K6" s="58" t="s">
        <v>645</v>
      </c>
      <c r="L6" s="58" t="s">
        <v>413</v>
      </c>
      <c r="M6" s="58" t="s">
        <v>401</v>
      </c>
      <c r="N6" s="58" t="s">
        <v>646</v>
      </c>
      <c r="O6" s="58" t="s">
        <v>102</v>
      </c>
      <c r="P6" s="58">
        <v>8</v>
      </c>
      <c r="Q6" s="58" t="s">
        <v>647</v>
      </c>
      <c r="R6" s="58"/>
      <c r="S6" s="58"/>
      <c r="T6" s="58"/>
      <c r="U6" s="58"/>
      <c r="V6" s="58"/>
      <c r="W6" s="58"/>
      <c r="X6" s="58"/>
      <c r="Y6" s="58"/>
      <c r="Z6" s="58"/>
      <c r="AA6" s="58"/>
      <c r="AB6" s="58" t="s">
        <v>158</v>
      </c>
      <c r="AC6" s="58" t="s">
        <v>68</v>
      </c>
      <c r="AD6" s="58" t="s">
        <v>648</v>
      </c>
      <c r="AE6" s="58" t="s">
        <v>352</v>
      </c>
      <c r="AF6" s="58" t="s">
        <v>353</v>
      </c>
      <c r="AG6" s="58" t="s">
        <v>419</v>
      </c>
      <c r="AH6" s="58"/>
      <c r="AI6" s="58">
        <v>9</v>
      </c>
      <c r="AJ6" s="66">
        <v>45749</v>
      </c>
      <c r="AK6" s="67">
        <v>0.89930555555555558</v>
      </c>
      <c r="AL6" s="66"/>
      <c r="AM6" s="67"/>
      <c r="AN6" s="66">
        <v>45749</v>
      </c>
      <c r="AO6" s="67">
        <v>0.90325231481481483</v>
      </c>
      <c r="AP6" s="58">
        <v>2025</v>
      </c>
      <c r="AQ6" s="58">
        <v>14</v>
      </c>
      <c r="AR6" s="58">
        <v>1</v>
      </c>
      <c r="AS6" s="58">
        <v>2</v>
      </c>
      <c r="AT6" s="58">
        <v>92</v>
      </c>
      <c r="AU6" s="67">
        <v>45749.899305555555</v>
      </c>
      <c r="AV6" s="58">
        <v>260</v>
      </c>
      <c r="AW6" t="s">
        <v>647</v>
      </c>
      <c r="AX6" s="58"/>
      <c r="AY6" s="58" t="s">
        <v>60</v>
      </c>
      <c r="AZ6" s="58" t="s">
        <v>60</v>
      </c>
      <c r="BA6" s="58" t="s">
        <v>605</v>
      </c>
      <c r="BB6" s="58" t="s">
        <v>110</v>
      </c>
    </row>
  </sheetData>
  <pageMargins left="0.7" right="0.7" top="0.75" bottom="0.75" header="0.3" footer="0.3"/>
  <pageSetup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2057C-F163-4B83-B6EB-9115E9C4F837}">
  <sheetPr>
    <tabColor rgb="FF7030A0"/>
  </sheetPr>
  <dimension ref="A1:O1"/>
  <sheetViews>
    <sheetView workbookViewId="0">
      <selection activeCell="B1" sqref="B1:B1048576"/>
    </sheetView>
  </sheetViews>
  <sheetFormatPr defaultRowHeight="15.6" x14ac:dyDescent="0.3"/>
  <cols>
    <col min="1" max="1" width="12.44140625" style="130" bestFit="1" customWidth="1"/>
    <col min="2" max="2" width="15.44140625" style="129" bestFit="1" customWidth="1"/>
    <col min="3" max="3" width="15.77734375" style="130" bestFit="1" customWidth="1"/>
    <col min="4" max="4" width="19.44140625" style="130" bestFit="1" customWidth="1"/>
    <col min="5" max="5" width="13.77734375" style="130" bestFit="1" customWidth="1"/>
    <col min="6" max="6" width="22.33203125" style="130" bestFit="1" customWidth="1"/>
    <col min="7" max="7" width="21.33203125" style="130" bestFit="1" customWidth="1"/>
    <col min="8" max="8" width="35.5546875" style="130" bestFit="1" customWidth="1"/>
    <col min="9" max="9" width="19.44140625" style="130" bestFit="1" customWidth="1"/>
    <col min="10" max="10" width="25.33203125" style="130" bestFit="1" customWidth="1"/>
    <col min="11" max="11" width="44.77734375" style="130" bestFit="1" customWidth="1"/>
    <col min="12" max="12" width="41.44140625" style="130" bestFit="1" customWidth="1"/>
    <col min="13" max="13" width="24" style="130" bestFit="1" customWidth="1"/>
    <col min="14" max="14" width="27.33203125" style="130" bestFit="1" customWidth="1"/>
    <col min="15" max="15" width="14.6640625" style="130" bestFit="1" customWidth="1"/>
    <col min="16" max="16384" width="8.88671875" style="130"/>
  </cols>
  <sheetData>
    <row r="1" spans="1:15" x14ac:dyDescent="0.3">
      <c r="A1" s="130" t="s">
        <v>7</v>
      </c>
      <c r="B1" s="129" t="s">
        <v>1</v>
      </c>
      <c r="C1" s="130" t="s">
        <v>5</v>
      </c>
      <c r="D1" s="130" t="s">
        <v>53</v>
      </c>
      <c r="E1" s="130" t="s">
        <v>50</v>
      </c>
      <c r="F1" s="130" t="s">
        <v>813</v>
      </c>
      <c r="G1" s="130" t="s">
        <v>812</v>
      </c>
      <c r="H1" s="130" t="s">
        <v>814</v>
      </c>
      <c r="I1" s="130" t="s">
        <v>671</v>
      </c>
      <c r="J1" s="130" t="s">
        <v>815</v>
      </c>
      <c r="K1" s="130" t="s">
        <v>816</v>
      </c>
      <c r="L1" s="130" t="s">
        <v>817</v>
      </c>
      <c r="M1" s="130" t="s">
        <v>818</v>
      </c>
      <c r="N1" s="130" t="s">
        <v>819</v>
      </c>
      <c r="O1" s="130" t="s">
        <v>16</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216BF-11F1-49EB-B861-07A286AECCB5}">
  <sheetPr codeName="Sheet11">
    <tabColor rgb="FF7030A0"/>
  </sheetPr>
  <dimension ref="A1:AF45"/>
  <sheetViews>
    <sheetView tabSelected="1" zoomScale="85" zoomScaleNormal="85" workbookViewId="0">
      <selection activeCell="A4" sqref="A4"/>
    </sheetView>
  </sheetViews>
  <sheetFormatPr defaultColWidth="9.109375" defaultRowHeight="15.6" x14ac:dyDescent="0.3"/>
  <cols>
    <col min="1" max="1" width="24.5546875" style="127" bestFit="1" customWidth="1"/>
    <col min="2" max="2" width="10.5546875" style="127" bestFit="1" customWidth="1"/>
    <col min="3" max="3" width="5.44140625" style="127" bestFit="1" customWidth="1"/>
    <col min="4" max="4" width="6.6640625" style="127" bestFit="1" customWidth="1"/>
    <col min="5" max="5" width="6.5546875" style="127" bestFit="1" customWidth="1"/>
    <col min="6" max="8" width="6.77734375" style="127" customWidth="1"/>
    <col min="9" max="9" width="1.77734375" style="127" customWidth="1"/>
    <col min="10" max="10" width="20.21875" style="127" bestFit="1" customWidth="1"/>
    <col min="11" max="17" width="6.77734375" style="127" customWidth="1"/>
    <col min="18" max="18" width="24.44140625" style="127" bestFit="1" customWidth="1"/>
    <col min="19" max="19" width="23.33203125" style="127" bestFit="1" customWidth="1"/>
    <col min="20" max="20" width="36.88671875" style="127" bestFit="1" customWidth="1"/>
    <col min="21" max="26" width="22" style="127" customWidth="1"/>
    <col min="27" max="27" width="22.77734375" style="127" customWidth="1"/>
    <col min="28" max="28" width="20.5546875" style="127" bestFit="1" customWidth="1"/>
    <col min="29" max="29" width="56.21875" style="127" bestFit="1" customWidth="1"/>
    <col min="30" max="30" width="27.88671875" style="127" bestFit="1" customWidth="1"/>
    <col min="31" max="31" width="34.77734375" style="127" bestFit="1" customWidth="1"/>
    <col min="32" max="32" width="37.33203125" style="127" bestFit="1" customWidth="1"/>
    <col min="33" max="33" width="43" style="127" bestFit="1" customWidth="1"/>
    <col min="34" max="34" width="10" style="127" bestFit="1" customWidth="1"/>
    <col min="35" max="35" width="10.6640625" style="127" bestFit="1" customWidth="1"/>
    <col min="36" max="36" width="80.88671875" style="127" bestFit="1" customWidth="1"/>
    <col min="37" max="37" width="24.44140625" style="127" bestFit="1" customWidth="1"/>
    <col min="38" max="38" width="26.44140625" style="127" bestFit="1" customWidth="1"/>
    <col min="39" max="39" width="20.21875" style="127" bestFit="1" customWidth="1"/>
    <col min="40" max="40" width="12.44140625" style="127" bestFit="1" customWidth="1"/>
    <col min="41" max="41" width="13.33203125" style="127" bestFit="1" customWidth="1"/>
    <col min="42" max="42" width="17.109375" style="127" bestFit="1" customWidth="1"/>
    <col min="43" max="43" width="20.21875" style="127" bestFit="1" customWidth="1"/>
    <col min="44" max="44" width="17.109375" style="127" bestFit="1" customWidth="1"/>
    <col min="45" max="45" width="12.44140625" style="127" bestFit="1" customWidth="1"/>
    <col min="46" max="46" width="13.33203125" style="127" bestFit="1" customWidth="1"/>
    <col min="47" max="47" width="18.88671875" style="127" bestFit="1" customWidth="1"/>
    <col min="48" max="48" width="20.88671875" style="127" bestFit="1" customWidth="1"/>
    <col min="49" max="49" width="28.33203125" style="127" bestFit="1" customWidth="1"/>
    <col min="50" max="50" width="12" style="127" bestFit="1" customWidth="1"/>
    <col min="51" max="51" width="23.21875" style="127" bestFit="1" customWidth="1"/>
    <col min="52" max="52" width="28.5546875" style="127" bestFit="1" customWidth="1"/>
    <col min="53" max="53" width="27.44140625" style="127" bestFit="1" customWidth="1"/>
    <col min="54" max="54" width="31.6640625" style="127" bestFit="1" customWidth="1"/>
    <col min="55" max="55" width="19.6640625" style="127" bestFit="1" customWidth="1"/>
    <col min="56" max="56" width="19.88671875" style="127" bestFit="1" customWidth="1"/>
    <col min="57" max="57" width="30.33203125" style="127" bestFit="1" customWidth="1"/>
    <col min="58" max="58" width="30.5546875" style="127" bestFit="1" customWidth="1"/>
    <col min="59" max="59" width="18.109375" style="127" bestFit="1" customWidth="1"/>
    <col min="60" max="60" width="18.33203125" style="127" bestFit="1" customWidth="1"/>
    <col min="61" max="61" width="10.21875" style="127" bestFit="1" customWidth="1"/>
    <col min="62" max="62" width="19.33203125" style="127" bestFit="1" customWidth="1"/>
    <col min="63" max="63" width="21.21875" style="127" bestFit="1" customWidth="1"/>
    <col min="64" max="64" width="9.44140625" style="127" bestFit="1" customWidth="1"/>
    <col min="65" max="65" width="17.21875" style="127" bestFit="1" customWidth="1"/>
    <col min="66" max="66" width="28.109375" style="127" bestFit="1" customWidth="1"/>
    <col min="67" max="67" width="8.77734375" style="127" bestFit="1" customWidth="1"/>
    <col min="68" max="68" width="80.88671875" style="127" bestFit="1" customWidth="1"/>
    <col min="69" max="69" width="14.77734375" style="127" bestFit="1" customWidth="1"/>
    <col min="70" max="70" width="80.88671875" style="127" bestFit="1" customWidth="1"/>
    <col min="71" max="71" width="32.109375" style="127" bestFit="1" customWidth="1"/>
    <col min="72" max="72" width="22.33203125" style="127" bestFit="1" customWidth="1"/>
    <col min="73" max="73" width="22.6640625" style="127" bestFit="1" customWidth="1"/>
    <col min="74" max="16384" width="9.109375" style="127"/>
  </cols>
  <sheetData>
    <row r="1" spans="1:17" x14ac:dyDescent="0.3">
      <c r="A1" s="126" t="s">
        <v>1</v>
      </c>
      <c r="B1" s="68" t="s">
        <v>128</v>
      </c>
      <c r="C1" s="48"/>
      <c r="D1" s="48"/>
      <c r="E1" s="48"/>
      <c r="F1" s="48"/>
      <c r="G1" s="42"/>
      <c r="H1" s="42"/>
      <c r="I1" s="48"/>
      <c r="J1" s="126" t="s">
        <v>1</v>
      </c>
      <c r="K1" s="172">
        <v>45749</v>
      </c>
      <c r="L1" s="48"/>
    </row>
    <row r="2" spans="1:17" x14ac:dyDescent="0.3">
      <c r="A2" s="126" t="s">
        <v>10</v>
      </c>
      <c r="B2" s="68" t="s">
        <v>128</v>
      </c>
      <c r="C2" s="48"/>
      <c r="D2" s="48"/>
      <c r="E2" s="48"/>
      <c r="F2" s="48"/>
      <c r="G2" s="42"/>
      <c r="H2" s="42"/>
      <c r="I2" s="48"/>
      <c r="J2" s="126" t="s">
        <v>10</v>
      </c>
      <c r="K2" s="68" t="s">
        <v>128</v>
      </c>
      <c r="L2" s="48"/>
    </row>
    <row r="4" spans="1:17" ht="31.2" x14ac:dyDescent="0.3">
      <c r="A4" s="126" t="s">
        <v>129</v>
      </c>
      <c r="B4" s="126" t="s">
        <v>5</v>
      </c>
      <c r="C4" s="68"/>
      <c r="D4" s="68"/>
      <c r="E4" s="68"/>
      <c r="F4" s="48"/>
      <c r="G4" s="42"/>
      <c r="H4" s="42"/>
      <c r="I4" s="42"/>
      <c r="J4" s="126" t="s">
        <v>129</v>
      </c>
      <c r="K4" s="126" t="s">
        <v>5</v>
      </c>
      <c r="L4" s="48"/>
    </row>
    <row r="5" spans="1:17" ht="18.600000000000001" thickBot="1" x14ac:dyDescent="0.4">
      <c r="A5" s="173" t="s">
        <v>450</v>
      </c>
      <c r="B5" s="174" t="s">
        <v>451</v>
      </c>
      <c r="C5" s="174" t="s">
        <v>452</v>
      </c>
      <c r="D5" s="174" t="s">
        <v>453</v>
      </c>
      <c r="E5" s="174" t="s">
        <v>537</v>
      </c>
      <c r="F5" s="48"/>
      <c r="G5" s="42"/>
      <c r="H5" s="42"/>
      <c r="I5" s="42"/>
      <c r="J5" s="173" t="s">
        <v>450</v>
      </c>
      <c r="K5" s="174" t="s">
        <v>453</v>
      </c>
      <c r="L5" s="48"/>
    </row>
    <row r="6" spans="1:17" ht="31.2" x14ac:dyDescent="0.3">
      <c r="A6" s="175" t="s">
        <v>77</v>
      </c>
      <c r="B6" s="176"/>
      <c r="C6" s="176">
        <v>2</v>
      </c>
      <c r="D6" s="176"/>
      <c r="E6" s="177">
        <v>1</v>
      </c>
      <c r="F6" s="48"/>
      <c r="G6" s="42"/>
      <c r="H6" s="42"/>
      <c r="I6" s="42"/>
      <c r="J6" s="175" t="s">
        <v>110</v>
      </c>
      <c r="K6" s="176">
        <v>1</v>
      </c>
      <c r="L6" s="48"/>
    </row>
    <row r="7" spans="1:17" x14ac:dyDescent="0.3">
      <c r="A7" s="178" t="s">
        <v>110</v>
      </c>
      <c r="B7" s="179">
        <v>1</v>
      </c>
      <c r="C7" s="179"/>
      <c r="D7" s="179">
        <v>1</v>
      </c>
      <c r="E7" s="180"/>
      <c r="F7" s="48"/>
      <c r="G7" s="42"/>
      <c r="H7" s="42"/>
      <c r="I7" s="42"/>
      <c r="J7" s="42"/>
      <c r="K7" s="42"/>
      <c r="L7" s="48"/>
    </row>
    <row r="8" spans="1:17" x14ac:dyDescent="0.3">
      <c r="A8" s="42"/>
      <c r="B8" s="42"/>
      <c r="C8" s="42"/>
      <c r="D8" s="42"/>
      <c r="E8" s="42"/>
      <c r="F8" s="48"/>
      <c r="G8" s="42"/>
      <c r="H8" s="42"/>
      <c r="I8" s="42"/>
      <c r="J8" s="42"/>
      <c r="K8" s="42"/>
      <c r="L8" s="48"/>
    </row>
    <row r="9" spans="1:17" x14ac:dyDescent="0.3">
      <c r="A9" s="42"/>
      <c r="B9" s="42"/>
      <c r="C9" s="42"/>
      <c r="D9" s="42"/>
      <c r="E9" s="42"/>
      <c r="F9" s="48"/>
      <c r="G9" s="42"/>
      <c r="H9" s="42"/>
      <c r="I9" s="42"/>
      <c r="J9" s="42"/>
      <c r="K9" s="42"/>
      <c r="L9" s="48"/>
    </row>
    <row r="12" spans="1:17" ht="23.4" x14ac:dyDescent="0.45">
      <c r="A12" s="196" t="s">
        <v>457</v>
      </c>
      <c r="B12" s="196"/>
      <c r="C12" s="196"/>
      <c r="D12" s="196"/>
      <c r="E12" s="196"/>
      <c r="F12" s="196"/>
      <c r="G12" s="196"/>
      <c r="H12" s="196"/>
      <c r="J12" s="196" t="s">
        <v>458</v>
      </c>
      <c r="K12" s="196"/>
      <c r="L12" s="196"/>
      <c r="M12" s="196"/>
      <c r="N12" s="196"/>
      <c r="O12" s="196"/>
      <c r="P12" s="196"/>
      <c r="Q12" s="196"/>
    </row>
    <row r="13" spans="1:17" ht="18.600000000000001" thickBot="1" x14ac:dyDescent="0.4">
      <c r="A13" s="173" t="str" cm="1">
        <f t="array" ref="A13:E15">A5:E7</f>
        <v>Time of Day</v>
      </c>
      <c r="B13" s="174" t="str">
        <v>Mon</v>
      </c>
      <c r="C13" s="174" t="str">
        <v>Tue</v>
      </c>
      <c r="D13" s="174" t="str">
        <v>Wed</v>
      </c>
      <c r="E13" s="174" t="str">
        <v>Thur</v>
      </c>
      <c r="J13" s="173" t="str" cm="1">
        <f t="array" ref="J13:K14">J5:K6</f>
        <v>Time of Day</v>
      </c>
      <c r="K13" s="174" t="str">
        <v>Wed</v>
      </c>
    </row>
    <row r="14" spans="1:17" x14ac:dyDescent="0.3">
      <c r="A14" s="175" t="str">
        <v>Afternoon (12:00-15:59)</v>
      </c>
      <c r="B14" s="176">
        <v>0</v>
      </c>
      <c r="C14" s="176">
        <v>2</v>
      </c>
      <c r="D14" s="176">
        <v>0</v>
      </c>
      <c r="E14" s="177">
        <v>1</v>
      </c>
      <c r="J14" s="175" t="str">
        <v>Night (20:00-23:59)</v>
      </c>
      <c r="K14" s="176">
        <v>1</v>
      </c>
    </row>
    <row r="15" spans="1:17" x14ac:dyDescent="0.3">
      <c r="A15" s="178" t="str">
        <v>Night (20:00-23:59)</v>
      </c>
      <c r="B15" s="179">
        <v>1</v>
      </c>
      <c r="C15" s="179">
        <v>0</v>
      </c>
      <c r="D15" s="179">
        <v>1</v>
      </c>
      <c r="E15" s="180">
        <v>0</v>
      </c>
    </row>
    <row r="18" spans="1:32" x14ac:dyDescent="0.3">
      <c r="A18"/>
      <c r="B18"/>
      <c r="C18" s="48"/>
      <c r="D18" s="48"/>
      <c r="E18" s="48"/>
    </row>
    <row r="19" spans="1:32" x14ac:dyDescent="0.3">
      <c r="A19"/>
      <c r="B19"/>
      <c r="C19" s="48"/>
      <c r="D19" s="48"/>
      <c r="E19" s="48"/>
    </row>
    <row r="21" spans="1:32" x14ac:dyDescent="0.3">
      <c r="A21"/>
      <c r="B21"/>
      <c r="C21" s="42"/>
      <c r="D21" s="42"/>
      <c r="E21" s="42"/>
    </row>
    <row r="22" spans="1:32" x14ac:dyDescent="0.3">
      <c r="A22"/>
      <c r="B22"/>
      <c r="C22" s="42"/>
      <c r="D22" s="42"/>
      <c r="E22" s="42"/>
    </row>
    <row r="23" spans="1:32" x14ac:dyDescent="0.3">
      <c r="A23"/>
      <c r="B23"/>
      <c r="C23" s="42"/>
      <c r="D23" s="42"/>
      <c r="E23" s="42"/>
    </row>
    <row r="24" spans="1:32" ht="16.2" thickBot="1" x14ac:dyDescent="0.35">
      <c r="A24" s="42"/>
      <c r="B24" s="42"/>
      <c r="C24" s="42"/>
      <c r="D24" s="42"/>
      <c r="E24" s="42"/>
    </row>
    <row r="25" spans="1:32" ht="18" x14ac:dyDescent="0.35">
      <c r="M25" s="181"/>
      <c r="AE25" s="182" t="s">
        <v>662</v>
      </c>
      <c r="AF25" s="183" t="s">
        <v>642</v>
      </c>
    </row>
    <row r="26" spans="1:32" ht="18" x14ac:dyDescent="0.35">
      <c r="AE26" s="184" t="s">
        <v>35</v>
      </c>
      <c r="AF26" s="185">
        <v>45749</v>
      </c>
    </row>
    <row r="27" spans="1:32" ht="18" x14ac:dyDescent="0.35">
      <c r="A27"/>
      <c r="B27"/>
      <c r="C27"/>
      <c r="D27"/>
      <c r="E27"/>
      <c r="F27"/>
      <c r="G27"/>
      <c r="H27"/>
      <c r="AE27" s="186" t="s">
        <v>650</v>
      </c>
      <c r="AF27" s="187" t="s">
        <v>453</v>
      </c>
    </row>
    <row r="28" spans="1:32" ht="18" x14ac:dyDescent="0.35">
      <c r="A28"/>
      <c r="B28"/>
      <c r="C28"/>
      <c r="D28"/>
      <c r="E28"/>
      <c r="F28"/>
      <c r="G28"/>
      <c r="H28"/>
      <c r="AE28" s="184" t="s">
        <v>651</v>
      </c>
      <c r="AF28" s="185" t="s">
        <v>110</v>
      </c>
    </row>
    <row r="29" spans="1:32" ht="18" x14ac:dyDescent="0.35">
      <c r="A29"/>
      <c r="B29"/>
      <c r="C29"/>
      <c r="D29"/>
      <c r="E29"/>
      <c r="F29"/>
      <c r="G29"/>
      <c r="H29"/>
      <c r="AE29" s="186" t="s">
        <v>747</v>
      </c>
      <c r="AF29" s="188" t="s">
        <v>753</v>
      </c>
    </row>
    <row r="30" spans="1:32" ht="18" x14ac:dyDescent="0.35">
      <c r="AE30" s="184" t="s">
        <v>748</v>
      </c>
      <c r="AF30" s="185" t="s">
        <v>670</v>
      </c>
    </row>
    <row r="31" spans="1:32" ht="18" x14ac:dyDescent="0.35">
      <c r="AE31" s="186" t="s">
        <v>749</v>
      </c>
      <c r="AF31" s="188" t="s">
        <v>755</v>
      </c>
    </row>
    <row r="32" spans="1:32" ht="18" x14ac:dyDescent="0.35">
      <c r="AE32" s="184" t="s">
        <v>750</v>
      </c>
      <c r="AF32" s="185" t="s">
        <v>754</v>
      </c>
    </row>
    <row r="33" spans="31:32" ht="18" x14ac:dyDescent="0.35">
      <c r="AE33" s="186" t="s">
        <v>656</v>
      </c>
      <c r="AF33" s="188" t="s">
        <v>755</v>
      </c>
    </row>
    <row r="34" spans="31:32" ht="18" x14ac:dyDescent="0.35">
      <c r="AE34" s="184" t="s">
        <v>657</v>
      </c>
      <c r="AF34" s="185" t="s">
        <v>755</v>
      </c>
    </row>
    <row r="35" spans="31:32" ht="18" x14ac:dyDescent="0.3">
      <c r="AE35" s="189" t="s">
        <v>751</v>
      </c>
      <c r="AF35" s="190" t="s">
        <v>755</v>
      </c>
    </row>
    <row r="36" spans="31:32" ht="18.600000000000001" thickBot="1" x14ac:dyDescent="0.4">
      <c r="AE36" s="191" t="s">
        <v>752</v>
      </c>
      <c r="AF36" s="192" t="s">
        <v>755</v>
      </c>
    </row>
    <row r="39" spans="31:32" x14ac:dyDescent="0.3">
      <c r="AE39" s="127" t="s">
        <v>740</v>
      </c>
    </row>
    <row r="40" spans="31:32" x14ac:dyDescent="0.3">
      <c r="AE40" s="197" t="s">
        <v>741</v>
      </c>
      <c r="AF40" s="197"/>
    </row>
    <row r="41" spans="31:32" x14ac:dyDescent="0.3">
      <c r="AE41" s="68" t="s">
        <v>742</v>
      </c>
    </row>
    <row r="42" spans="31:32" x14ac:dyDescent="0.3">
      <c r="AE42" s="68" t="s">
        <v>743</v>
      </c>
    </row>
    <row r="43" spans="31:32" x14ac:dyDescent="0.3">
      <c r="AE43" s="68" t="s">
        <v>744</v>
      </c>
    </row>
    <row r="44" spans="31:32" x14ac:dyDescent="0.3">
      <c r="AE44" s="127" t="s">
        <v>745</v>
      </c>
    </row>
    <row r="45" spans="31:32" x14ac:dyDescent="0.3">
      <c r="AE45" s="127" t="s">
        <v>746</v>
      </c>
    </row>
  </sheetData>
  <mergeCells count="3">
    <mergeCell ref="A12:H12"/>
    <mergeCell ref="AE40:AF40"/>
    <mergeCell ref="J12:Q12"/>
  </mergeCells>
  <phoneticPr fontId="12" type="noConversion"/>
  <pageMargins left="0.7" right="0.7" top="0.75" bottom="0.75" header="0.3" footer="0.3"/>
  <pageSetup orientation="portrait"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332AB-6214-4DE5-892C-6E0F89E34DE7}">
  <sheetPr codeName="Sheet12">
    <tabColor theme="3"/>
  </sheetPr>
  <dimension ref="A1:BB56"/>
  <sheetViews>
    <sheetView topLeftCell="A33" workbookViewId="0">
      <selection sqref="A1:BB55"/>
    </sheetView>
  </sheetViews>
  <sheetFormatPr defaultColWidth="8.88671875" defaultRowHeight="15.6" x14ac:dyDescent="0.3"/>
  <cols>
    <col min="1" max="1" width="20.109375" style="15" bestFit="1" customWidth="1"/>
    <col min="2" max="2" width="16" style="21" bestFit="1" customWidth="1"/>
    <col min="3" max="3" width="24.33203125" style="17" bestFit="1" customWidth="1"/>
    <col min="4" max="4" width="18.77734375" style="23" bestFit="1" customWidth="1"/>
    <col min="5" max="5" width="15.44140625" style="23" bestFit="1" customWidth="1"/>
    <col min="6" max="6" width="16.21875" style="3" bestFit="1" customWidth="1"/>
    <col min="7" max="7" width="19" style="3" bestFit="1" customWidth="1"/>
    <col min="8" max="9" width="36.5546875" style="3" bestFit="1" customWidth="1"/>
    <col min="10" max="10" width="66.33203125" style="3" bestFit="1" customWidth="1"/>
    <col min="11" max="11" width="27.77734375" style="3" bestFit="1" customWidth="1"/>
    <col min="12" max="12" width="26.77734375" style="3" bestFit="1" customWidth="1"/>
    <col min="13" max="13" width="22.21875" style="3" bestFit="1" customWidth="1"/>
    <col min="14" max="14" width="72.77734375" style="3" bestFit="1" customWidth="1"/>
    <col min="15" max="15" width="10" style="15" bestFit="1" customWidth="1"/>
    <col min="16" max="16" width="10.6640625" style="15" bestFit="1" customWidth="1"/>
    <col min="17" max="17" width="80.88671875" style="3" bestFit="1" customWidth="1"/>
    <col min="18" max="18" width="24.44140625" style="15" bestFit="1" customWidth="1"/>
    <col min="19" max="19" width="26.44140625" style="15" bestFit="1" customWidth="1"/>
    <col min="20" max="20" width="20.21875" style="15" bestFit="1" customWidth="1"/>
    <col min="21" max="21" width="12.44140625" style="15" bestFit="1" customWidth="1"/>
    <col min="22" max="22" width="13.33203125" style="15" bestFit="1" customWidth="1"/>
    <col min="23" max="23" width="17.109375" style="15" bestFit="1" customWidth="1"/>
    <col min="24" max="24" width="20.21875" style="15" bestFit="1" customWidth="1"/>
    <col min="25" max="25" width="17.109375" style="15" bestFit="1" customWidth="1"/>
    <col min="26" max="26" width="12.44140625" style="15" bestFit="1" customWidth="1"/>
    <col min="27" max="27" width="13.33203125" style="15" bestFit="1" customWidth="1"/>
    <col min="28" max="28" width="18.88671875" style="3" bestFit="1" customWidth="1"/>
    <col min="29" max="29" width="20.88671875" style="3" bestFit="1" customWidth="1"/>
    <col min="30" max="30" width="28.44140625" style="3" bestFit="1" customWidth="1"/>
    <col min="31" max="31" width="12" style="15" bestFit="1" customWidth="1"/>
    <col min="32" max="32" width="27.33203125" style="3" bestFit="1" customWidth="1"/>
    <col min="33" max="33" width="28.44140625" style="3" bestFit="1" customWidth="1"/>
    <col min="34" max="34" width="46.21875" style="3" bestFit="1" customWidth="1"/>
    <col min="35" max="35" width="31.6640625" style="15" bestFit="1" customWidth="1"/>
    <col min="36" max="36" width="19.6640625" style="32" bestFit="1" customWidth="1"/>
    <col min="37" max="37" width="19.88671875" style="24" bestFit="1" customWidth="1"/>
    <col min="38" max="38" width="30.33203125" style="32" bestFit="1" customWidth="1"/>
    <col min="39" max="39" width="30.5546875" style="24" bestFit="1" customWidth="1"/>
    <col min="40" max="40" width="18.109375" style="32" bestFit="1" customWidth="1"/>
    <col min="41" max="41" width="18.33203125" style="24" bestFit="1" customWidth="1"/>
    <col min="42" max="42" width="10.21875" style="15" bestFit="1" customWidth="1"/>
    <col min="43" max="43" width="19.33203125" style="26" bestFit="1" customWidth="1"/>
    <col min="44" max="44" width="21.21875" style="26" bestFit="1" customWidth="1"/>
    <col min="45" max="45" width="9.44140625" style="26" bestFit="1" customWidth="1"/>
    <col min="46" max="46" width="17.21875" style="28" bestFit="1" customWidth="1"/>
    <col min="47" max="47" width="28.109375" style="30" bestFit="1" customWidth="1"/>
    <col min="48" max="48" width="8.77734375" style="15" bestFit="1" customWidth="1"/>
    <col min="49" max="49" width="80.88671875" style="3" bestFit="1" customWidth="1"/>
    <col min="50" max="50" width="38.77734375" style="3" bestFit="1" customWidth="1"/>
    <col min="51" max="52" width="80.88671875" style="3" bestFit="1" customWidth="1"/>
    <col min="53" max="53" width="22.33203125" style="15" bestFit="1" customWidth="1"/>
    <col min="54" max="54" width="25.77734375" style="15" bestFit="1" customWidth="1"/>
    <col min="55" max="55" width="26.88671875" style="3" bestFit="1" customWidth="1"/>
    <col min="56" max="56" width="80.88671875" style="3" bestFit="1" customWidth="1"/>
    <col min="57" max="16384" width="8.88671875" style="3"/>
  </cols>
  <sheetData>
    <row r="1" spans="1:54" s="18" customFormat="1" ht="18" x14ac:dyDescent="0.35">
      <c r="A1" s="18" t="s">
        <v>0</v>
      </c>
      <c r="B1" s="31" t="s">
        <v>1</v>
      </c>
      <c r="C1" s="18" t="s">
        <v>2</v>
      </c>
      <c r="D1" s="22" t="s">
        <v>3</v>
      </c>
      <c r="E1" s="22" t="s">
        <v>4</v>
      </c>
      <c r="F1" s="18" t="s">
        <v>5</v>
      </c>
      <c r="G1" s="18" t="s">
        <v>6</v>
      </c>
      <c r="H1" s="18" t="s">
        <v>7</v>
      </c>
      <c r="I1" s="18" t="s">
        <v>8</v>
      </c>
      <c r="J1" s="18" t="s">
        <v>10</v>
      </c>
      <c r="K1" s="18" t="s">
        <v>9</v>
      </c>
      <c r="L1" s="18" t="s">
        <v>11</v>
      </c>
      <c r="M1" s="18" t="s">
        <v>12</v>
      </c>
      <c r="N1" s="18" t="s">
        <v>13</v>
      </c>
      <c r="O1" s="18" t="s">
        <v>14</v>
      </c>
      <c r="P1" s="18" t="s">
        <v>15</v>
      </c>
      <c r="Q1" s="18" t="s">
        <v>16</v>
      </c>
      <c r="R1" s="18" t="s">
        <v>17</v>
      </c>
      <c r="S1" s="18" t="s">
        <v>18</v>
      </c>
      <c r="T1" s="18" t="s">
        <v>19</v>
      </c>
      <c r="U1" s="18" t="s">
        <v>20</v>
      </c>
      <c r="V1" s="18" t="s">
        <v>21</v>
      </c>
      <c r="W1" s="18" t="s">
        <v>22</v>
      </c>
      <c r="X1" s="18" t="s">
        <v>23</v>
      </c>
      <c r="Y1" s="18" t="s">
        <v>24</v>
      </c>
      <c r="Z1" s="18" t="s">
        <v>25</v>
      </c>
      <c r="AA1" s="18" t="s">
        <v>26</v>
      </c>
      <c r="AB1" s="18" t="s">
        <v>27</v>
      </c>
      <c r="AC1" s="18" t="s">
        <v>28</v>
      </c>
      <c r="AD1" s="18" t="s">
        <v>29</v>
      </c>
      <c r="AE1" s="18" t="s">
        <v>30</v>
      </c>
      <c r="AF1" s="18" t="s">
        <v>31</v>
      </c>
      <c r="AG1" s="18" t="s">
        <v>32</v>
      </c>
      <c r="AH1" s="18" t="s">
        <v>33</v>
      </c>
      <c r="AI1" s="18" t="s">
        <v>34</v>
      </c>
      <c r="AJ1" s="31" t="s">
        <v>35</v>
      </c>
      <c r="AK1" s="22" t="s">
        <v>36</v>
      </c>
      <c r="AL1" s="31" t="s">
        <v>37</v>
      </c>
      <c r="AM1" s="22" t="s">
        <v>38</v>
      </c>
      <c r="AN1" s="31" t="s">
        <v>39</v>
      </c>
      <c r="AO1" s="22" t="s">
        <v>40</v>
      </c>
      <c r="AP1" s="18" t="s">
        <v>41</v>
      </c>
      <c r="AQ1" s="25" t="s">
        <v>42</v>
      </c>
      <c r="AR1" s="25" t="s">
        <v>43</v>
      </c>
      <c r="AS1" s="25" t="s">
        <v>44</v>
      </c>
      <c r="AT1" s="27" t="s">
        <v>45</v>
      </c>
      <c r="AU1" s="29" t="s">
        <v>46</v>
      </c>
      <c r="AV1" s="18" t="s">
        <v>47</v>
      </c>
      <c r="AW1" t="s">
        <v>460</v>
      </c>
      <c r="AX1" s="18" t="s">
        <v>49</v>
      </c>
      <c r="AY1" s="18" t="s">
        <v>50</v>
      </c>
      <c r="AZ1" s="18" t="s">
        <v>51</v>
      </c>
      <c r="BA1" s="18" t="s">
        <v>52</v>
      </c>
      <c r="BB1" s="18" t="s">
        <v>53</v>
      </c>
    </row>
    <row r="2" spans="1:54" x14ac:dyDescent="0.3">
      <c r="A2" s="56" t="s">
        <v>211</v>
      </c>
      <c r="B2" s="57">
        <v>45660</v>
      </c>
      <c r="C2" s="58" t="s">
        <v>98</v>
      </c>
      <c r="D2" s="59">
        <v>0.875</v>
      </c>
      <c r="E2" s="59">
        <v>0.89583333333333337</v>
      </c>
      <c r="F2" s="58" t="s">
        <v>455</v>
      </c>
      <c r="G2" s="58" t="s">
        <v>56</v>
      </c>
      <c r="H2" s="58" t="s">
        <v>212</v>
      </c>
      <c r="I2" s="58" t="s">
        <v>213</v>
      </c>
      <c r="J2" s="58" t="s">
        <v>214</v>
      </c>
      <c r="K2" s="58" t="s">
        <v>214</v>
      </c>
      <c r="L2" s="58" t="s">
        <v>60</v>
      </c>
      <c r="M2" s="58" t="s">
        <v>60</v>
      </c>
      <c r="N2" s="58" t="s">
        <v>215</v>
      </c>
      <c r="O2" s="56" t="s">
        <v>216</v>
      </c>
      <c r="P2" s="56">
        <v>9</v>
      </c>
      <c r="Q2" s="58" t="s">
        <v>217</v>
      </c>
      <c r="R2" s="56"/>
      <c r="S2" s="56"/>
      <c r="T2" s="56" t="s">
        <v>218</v>
      </c>
      <c r="U2" s="56" t="s">
        <v>64</v>
      </c>
      <c r="V2" s="56" t="s">
        <v>219</v>
      </c>
      <c r="W2" s="56" t="s">
        <v>66</v>
      </c>
      <c r="X2" s="56"/>
      <c r="Y2" s="56"/>
      <c r="Z2" s="56"/>
      <c r="AA2" s="56"/>
      <c r="AB2" s="58" t="s">
        <v>158</v>
      </c>
      <c r="AC2" s="58" t="s">
        <v>68</v>
      </c>
      <c r="AD2" s="58" t="s">
        <v>220</v>
      </c>
      <c r="AE2" s="56" t="s">
        <v>207</v>
      </c>
      <c r="AF2" s="58" t="s">
        <v>221</v>
      </c>
      <c r="AG2" s="58" t="s">
        <v>72</v>
      </c>
      <c r="AH2" s="58" t="s">
        <v>222</v>
      </c>
      <c r="AI2" s="56">
        <v>9</v>
      </c>
      <c r="AJ2" s="57">
        <v>45660</v>
      </c>
      <c r="AK2" s="59">
        <v>0.89583333333333337</v>
      </c>
      <c r="AL2" s="57">
        <v>45661</v>
      </c>
      <c r="AM2" s="59">
        <v>0.2673611111111111</v>
      </c>
      <c r="AN2" s="57">
        <v>45661</v>
      </c>
      <c r="AO2" s="59">
        <v>0.45774305555555556</v>
      </c>
      <c r="AP2" s="56">
        <v>2025</v>
      </c>
      <c r="AQ2" s="61">
        <v>1</v>
      </c>
      <c r="AR2" s="61">
        <v>1</v>
      </c>
      <c r="AS2" s="61">
        <v>3</v>
      </c>
      <c r="AT2" s="62">
        <v>3</v>
      </c>
      <c r="AU2" s="63">
        <v>45660.895833333336</v>
      </c>
      <c r="AV2" s="56">
        <v>309</v>
      </c>
      <c r="AW2" t="s">
        <v>217</v>
      </c>
      <c r="AX2" s="58" t="s">
        <v>223</v>
      </c>
      <c r="AY2" s="58" t="s">
        <v>224</v>
      </c>
      <c r="AZ2" s="58" t="s">
        <v>60</v>
      </c>
      <c r="BA2" s="56" t="s">
        <v>515</v>
      </c>
      <c r="BB2" s="58" t="s">
        <v>110</v>
      </c>
    </row>
    <row r="3" spans="1:54" x14ac:dyDescent="0.3">
      <c r="A3" s="56" t="s">
        <v>54</v>
      </c>
      <c r="B3" s="57">
        <v>45663</v>
      </c>
      <c r="C3" s="58" t="s">
        <v>55</v>
      </c>
      <c r="D3" s="59">
        <v>0.625</v>
      </c>
      <c r="E3" s="59">
        <v>0.64583333333333337</v>
      </c>
      <c r="F3" s="58" t="s">
        <v>451</v>
      </c>
      <c r="G3" s="58" t="s">
        <v>56</v>
      </c>
      <c r="H3" s="58" t="s">
        <v>57</v>
      </c>
      <c r="I3" s="58" t="s">
        <v>58</v>
      </c>
      <c r="J3" s="58" t="s">
        <v>59</v>
      </c>
      <c r="K3" s="58" t="s">
        <v>59</v>
      </c>
      <c r="L3" s="58" t="s">
        <v>60</v>
      </c>
      <c r="M3" s="58" t="s">
        <v>60</v>
      </c>
      <c r="N3" s="58" t="s">
        <v>61</v>
      </c>
      <c r="O3" s="56"/>
      <c r="P3" s="56">
        <v>7</v>
      </c>
      <c r="Q3" s="58" t="s">
        <v>62</v>
      </c>
      <c r="R3" s="56"/>
      <c r="S3" s="56"/>
      <c r="T3" s="56" t="s">
        <v>63</v>
      </c>
      <c r="U3" s="56" t="s">
        <v>64</v>
      </c>
      <c r="V3" s="56" t="s">
        <v>65</v>
      </c>
      <c r="W3" s="56" t="s">
        <v>66</v>
      </c>
      <c r="X3" s="56"/>
      <c r="Y3" s="56"/>
      <c r="Z3" s="56"/>
      <c r="AA3" s="56"/>
      <c r="AB3" s="58" t="s">
        <v>67</v>
      </c>
      <c r="AC3" s="58" t="s">
        <v>68</v>
      </c>
      <c r="AD3" s="58" t="s">
        <v>69</v>
      </c>
      <c r="AE3" s="56" t="s">
        <v>70</v>
      </c>
      <c r="AF3" s="58" t="s">
        <v>71</v>
      </c>
      <c r="AG3" s="58" t="s">
        <v>72</v>
      </c>
      <c r="AH3" s="58" t="s">
        <v>73</v>
      </c>
      <c r="AI3" s="56">
        <v>9</v>
      </c>
      <c r="AJ3" s="57">
        <v>45663</v>
      </c>
      <c r="AK3" s="59">
        <v>0.64583333333333337</v>
      </c>
      <c r="AL3" s="57">
        <v>45667</v>
      </c>
      <c r="AM3" s="59"/>
      <c r="AN3" s="57">
        <v>45667</v>
      </c>
      <c r="AO3" s="59">
        <v>0.82629629629629631</v>
      </c>
      <c r="AP3" s="56">
        <v>2025</v>
      </c>
      <c r="AQ3" s="61">
        <v>2</v>
      </c>
      <c r="AR3" s="61">
        <v>2</v>
      </c>
      <c r="AS3" s="61">
        <v>6</v>
      </c>
      <c r="AT3" s="62">
        <v>6</v>
      </c>
      <c r="AU3" s="63">
        <v>45663.645833333336</v>
      </c>
      <c r="AV3" s="56">
        <v>90</v>
      </c>
      <c r="AW3" t="s">
        <v>62</v>
      </c>
      <c r="AX3" s="58" t="s">
        <v>74</v>
      </c>
      <c r="AY3" s="58" t="s">
        <v>75</v>
      </c>
      <c r="AZ3" s="58" t="s">
        <v>76</v>
      </c>
      <c r="BA3" s="56" t="s">
        <v>515</v>
      </c>
      <c r="BB3" s="58" t="s">
        <v>77</v>
      </c>
    </row>
    <row r="4" spans="1:54" x14ac:dyDescent="0.3">
      <c r="A4" s="56" t="s">
        <v>396</v>
      </c>
      <c r="B4" s="57">
        <v>45664</v>
      </c>
      <c r="C4" s="58" t="s">
        <v>55</v>
      </c>
      <c r="D4" s="59">
        <v>0.58333333333333337</v>
      </c>
      <c r="E4" s="59">
        <v>0.58333333333333337</v>
      </c>
      <c r="F4" s="58" t="s">
        <v>452</v>
      </c>
      <c r="G4" s="58" t="s">
        <v>56</v>
      </c>
      <c r="H4" s="58" t="s">
        <v>397</v>
      </c>
      <c r="I4" s="58" t="s">
        <v>398</v>
      </c>
      <c r="J4" s="58" t="s">
        <v>400</v>
      </c>
      <c r="K4" s="58" t="s">
        <v>399</v>
      </c>
      <c r="L4" s="58" t="s">
        <v>401</v>
      </c>
      <c r="M4" s="58" t="s">
        <v>60</v>
      </c>
      <c r="N4" s="58" t="s">
        <v>402</v>
      </c>
      <c r="O4" s="56" t="s">
        <v>135</v>
      </c>
      <c r="P4" s="56">
        <v>7</v>
      </c>
      <c r="Q4" s="58" t="s">
        <v>403</v>
      </c>
      <c r="R4" s="56"/>
      <c r="S4" s="56"/>
      <c r="T4" s="56"/>
      <c r="U4" s="56"/>
      <c r="V4" s="56"/>
      <c r="W4" s="56"/>
      <c r="X4" s="56"/>
      <c r="Y4" s="56"/>
      <c r="Z4" s="56"/>
      <c r="AA4" s="56"/>
      <c r="AB4" s="58" t="s">
        <v>404</v>
      </c>
      <c r="AC4" s="58" t="s">
        <v>68</v>
      </c>
      <c r="AD4" s="58" t="s">
        <v>405</v>
      </c>
      <c r="AE4" s="56" t="s">
        <v>406</v>
      </c>
      <c r="AF4" s="58" t="s">
        <v>407</v>
      </c>
      <c r="AG4" s="58" t="s">
        <v>72</v>
      </c>
      <c r="AH4" s="58" t="s">
        <v>408</v>
      </c>
      <c r="AI4" s="56">
        <v>9</v>
      </c>
      <c r="AJ4" s="57">
        <v>45664</v>
      </c>
      <c r="AK4" s="59">
        <v>0.58333333333333337</v>
      </c>
      <c r="AL4" s="57"/>
      <c r="AM4" s="59"/>
      <c r="AN4" s="57">
        <v>45667</v>
      </c>
      <c r="AO4" s="59">
        <v>0.59781249999999997</v>
      </c>
      <c r="AP4" s="56">
        <v>2025</v>
      </c>
      <c r="AQ4" s="61">
        <v>2</v>
      </c>
      <c r="AR4" s="61">
        <v>2</v>
      </c>
      <c r="AS4" s="61">
        <v>7</v>
      </c>
      <c r="AT4" s="62">
        <v>7</v>
      </c>
      <c r="AU4" s="63">
        <v>45664.583333333336</v>
      </c>
      <c r="AV4" s="56">
        <v>135</v>
      </c>
      <c r="AW4" t="s">
        <v>403</v>
      </c>
      <c r="AX4" s="58"/>
      <c r="AY4" s="58" t="s">
        <v>409</v>
      </c>
      <c r="AZ4" s="58" t="s">
        <v>60</v>
      </c>
      <c r="BA4" s="56" t="s">
        <v>514</v>
      </c>
      <c r="BB4" s="58" t="s">
        <v>77</v>
      </c>
    </row>
    <row r="5" spans="1:54" x14ac:dyDescent="0.3">
      <c r="A5" s="56" t="s">
        <v>342</v>
      </c>
      <c r="B5" s="57">
        <v>45670</v>
      </c>
      <c r="C5" s="58" t="s">
        <v>55</v>
      </c>
      <c r="D5" s="59">
        <v>0.5</v>
      </c>
      <c r="E5" s="59">
        <v>0.50347222222222221</v>
      </c>
      <c r="F5" s="58" t="s">
        <v>451</v>
      </c>
      <c r="G5" s="58" t="s">
        <v>56</v>
      </c>
      <c r="H5" s="58" t="s">
        <v>343</v>
      </c>
      <c r="I5" s="58" t="s">
        <v>344</v>
      </c>
      <c r="J5" s="58" t="s">
        <v>346</v>
      </c>
      <c r="K5" s="58" t="s">
        <v>345</v>
      </c>
      <c r="L5" s="58" t="s">
        <v>347</v>
      </c>
      <c r="M5" s="58" t="s">
        <v>348</v>
      </c>
      <c r="N5" s="58" t="s">
        <v>349</v>
      </c>
      <c r="O5" s="56" t="s">
        <v>85</v>
      </c>
      <c r="P5" s="56">
        <v>8</v>
      </c>
      <c r="Q5" s="58" t="s">
        <v>350</v>
      </c>
      <c r="R5" s="56"/>
      <c r="S5" s="56"/>
      <c r="T5" s="56"/>
      <c r="U5" s="56"/>
      <c r="V5" s="56"/>
      <c r="W5" s="56"/>
      <c r="X5" s="56"/>
      <c r="Y5" s="56"/>
      <c r="Z5" s="56"/>
      <c r="AA5" s="56"/>
      <c r="AB5" s="58" t="s">
        <v>158</v>
      </c>
      <c r="AC5" s="58" t="s">
        <v>68</v>
      </c>
      <c r="AD5" s="58" t="s">
        <v>351</v>
      </c>
      <c r="AE5" s="56" t="s">
        <v>352</v>
      </c>
      <c r="AF5" s="58" t="s">
        <v>353</v>
      </c>
      <c r="AG5" s="58" t="s">
        <v>124</v>
      </c>
      <c r="AH5" s="58" t="s">
        <v>354</v>
      </c>
      <c r="AI5" s="56">
        <v>9</v>
      </c>
      <c r="AJ5" s="57">
        <v>45670</v>
      </c>
      <c r="AK5" s="59">
        <v>0.50347222222222221</v>
      </c>
      <c r="AL5" s="57"/>
      <c r="AM5" s="59"/>
      <c r="AN5" s="57">
        <v>45670</v>
      </c>
      <c r="AO5" s="59">
        <v>0.50537037037037036</v>
      </c>
      <c r="AP5" s="56">
        <v>2025</v>
      </c>
      <c r="AQ5" s="61">
        <v>3</v>
      </c>
      <c r="AR5" s="61">
        <v>3</v>
      </c>
      <c r="AS5" s="61">
        <v>13</v>
      </c>
      <c r="AT5" s="62">
        <v>13</v>
      </c>
      <c r="AU5" s="63">
        <v>45670.503472222219</v>
      </c>
      <c r="AV5" s="56">
        <v>204</v>
      </c>
      <c r="AW5" t="s">
        <v>350</v>
      </c>
      <c r="AX5" s="58"/>
      <c r="AY5" s="58" t="s">
        <v>355</v>
      </c>
      <c r="AZ5" s="58" t="s">
        <v>356</v>
      </c>
      <c r="BA5" s="56" t="s">
        <v>514</v>
      </c>
      <c r="BB5" s="58" t="s">
        <v>77</v>
      </c>
    </row>
    <row r="6" spans="1:54" x14ac:dyDescent="0.3">
      <c r="A6" s="56" t="s">
        <v>357</v>
      </c>
      <c r="B6" s="57">
        <v>45671</v>
      </c>
      <c r="C6" s="58" t="s">
        <v>55</v>
      </c>
      <c r="D6" s="59">
        <v>0.625</v>
      </c>
      <c r="E6" s="59">
        <v>0.64067129629629627</v>
      </c>
      <c r="F6" s="58" t="s">
        <v>452</v>
      </c>
      <c r="G6" s="58" t="s">
        <v>56</v>
      </c>
      <c r="H6" s="58" t="s">
        <v>358</v>
      </c>
      <c r="I6" s="58" t="s">
        <v>359</v>
      </c>
      <c r="J6" s="58" t="s">
        <v>360</v>
      </c>
      <c r="K6" s="58" t="s">
        <v>348</v>
      </c>
      <c r="L6" s="58" t="s">
        <v>361</v>
      </c>
      <c r="M6" s="58" t="s">
        <v>362</v>
      </c>
      <c r="N6" s="58" t="s">
        <v>363</v>
      </c>
      <c r="O6" s="56" t="s">
        <v>364</v>
      </c>
      <c r="P6" s="56">
        <v>9</v>
      </c>
      <c r="Q6" s="58" t="s">
        <v>365</v>
      </c>
      <c r="R6" s="56"/>
      <c r="S6" s="56"/>
      <c r="T6" s="56" t="s">
        <v>366</v>
      </c>
      <c r="U6" s="56" t="s">
        <v>367</v>
      </c>
      <c r="V6" s="56" t="s">
        <v>368</v>
      </c>
      <c r="W6" s="56" t="s">
        <v>66</v>
      </c>
      <c r="X6" s="56"/>
      <c r="Y6" s="56"/>
      <c r="Z6" s="56"/>
      <c r="AA6" s="56"/>
      <c r="AB6" s="58" t="s">
        <v>120</v>
      </c>
      <c r="AC6" s="58" t="s">
        <v>68</v>
      </c>
      <c r="AD6" s="58" t="s">
        <v>220</v>
      </c>
      <c r="AE6" s="56" t="s">
        <v>369</v>
      </c>
      <c r="AF6" s="58" t="s">
        <v>161</v>
      </c>
      <c r="AG6" s="58" t="s">
        <v>124</v>
      </c>
      <c r="AH6" s="58" t="s">
        <v>354</v>
      </c>
      <c r="AI6" s="56">
        <v>9</v>
      </c>
      <c r="AJ6" s="57">
        <v>45671</v>
      </c>
      <c r="AK6" s="59">
        <v>0.64067129629629627</v>
      </c>
      <c r="AL6" s="57"/>
      <c r="AM6" s="59"/>
      <c r="AN6" s="57">
        <v>45671</v>
      </c>
      <c r="AO6" s="59">
        <v>0.64067129629629627</v>
      </c>
      <c r="AP6" s="56">
        <v>2025</v>
      </c>
      <c r="AQ6" s="61">
        <v>3</v>
      </c>
      <c r="AR6" s="61">
        <v>3</v>
      </c>
      <c r="AS6" s="61">
        <v>14</v>
      </c>
      <c r="AT6" s="62">
        <v>14</v>
      </c>
      <c r="AU6" s="63">
        <v>45671.640277777777</v>
      </c>
      <c r="AV6" s="56">
        <v>450</v>
      </c>
      <c r="AW6" t="s">
        <v>365</v>
      </c>
      <c r="AX6" s="58" t="s">
        <v>370</v>
      </c>
      <c r="AY6" s="58" t="s">
        <v>60</v>
      </c>
      <c r="AZ6" s="58" t="s">
        <v>371</v>
      </c>
      <c r="BA6" s="56" t="s">
        <v>513</v>
      </c>
      <c r="BB6" s="58" t="s">
        <v>77</v>
      </c>
    </row>
    <row r="7" spans="1:54" x14ac:dyDescent="0.3">
      <c r="A7" s="56" t="s">
        <v>185</v>
      </c>
      <c r="B7" s="57">
        <v>45671</v>
      </c>
      <c r="C7" s="58" t="s">
        <v>142</v>
      </c>
      <c r="D7" s="59">
        <v>0.45833333333333331</v>
      </c>
      <c r="E7" s="59">
        <v>0.46388888888888891</v>
      </c>
      <c r="F7" s="58" t="s">
        <v>452</v>
      </c>
      <c r="G7" s="58" t="s">
        <v>56</v>
      </c>
      <c r="H7" s="58" t="s">
        <v>186</v>
      </c>
      <c r="I7" s="58" t="s">
        <v>187</v>
      </c>
      <c r="J7" s="58" t="s">
        <v>188</v>
      </c>
      <c r="K7" s="58" t="s">
        <v>133</v>
      </c>
      <c r="L7" s="58" t="s">
        <v>189</v>
      </c>
      <c r="M7" s="58" t="s">
        <v>190</v>
      </c>
      <c r="N7" s="58" t="s">
        <v>191</v>
      </c>
      <c r="O7" s="56" t="s">
        <v>192</v>
      </c>
      <c r="P7" s="56">
        <v>9</v>
      </c>
      <c r="Q7" s="58" t="s">
        <v>193</v>
      </c>
      <c r="R7" s="56"/>
      <c r="S7" s="56"/>
      <c r="T7" s="56"/>
      <c r="U7" s="56"/>
      <c r="V7" s="56"/>
      <c r="W7" s="56"/>
      <c r="X7" s="56"/>
      <c r="Y7" s="56"/>
      <c r="Z7" s="56"/>
      <c r="AA7" s="56"/>
      <c r="AB7" s="58" t="s">
        <v>194</v>
      </c>
      <c r="AC7" s="58" t="s">
        <v>68</v>
      </c>
      <c r="AD7" s="58" t="s">
        <v>195</v>
      </c>
      <c r="AE7" s="56" t="s">
        <v>160</v>
      </c>
      <c r="AF7" s="58" t="s">
        <v>161</v>
      </c>
      <c r="AG7" s="58" t="s">
        <v>196</v>
      </c>
      <c r="AH7" s="58" t="s">
        <v>138</v>
      </c>
      <c r="AI7" s="56">
        <v>9</v>
      </c>
      <c r="AJ7" s="57">
        <v>45671</v>
      </c>
      <c r="AK7" s="59">
        <v>0.46388888888888891</v>
      </c>
      <c r="AL7" s="57"/>
      <c r="AM7" s="59"/>
      <c r="AN7" s="57">
        <v>45671</v>
      </c>
      <c r="AO7" s="59">
        <v>0.46740740740740738</v>
      </c>
      <c r="AP7" s="56">
        <v>2025</v>
      </c>
      <c r="AQ7" s="61">
        <v>3</v>
      </c>
      <c r="AR7" s="61">
        <v>3</v>
      </c>
      <c r="AS7" s="61">
        <v>14</v>
      </c>
      <c r="AT7" s="62">
        <v>14</v>
      </c>
      <c r="AU7" s="63">
        <v>45671.463888888888</v>
      </c>
      <c r="AV7" s="56">
        <v>895</v>
      </c>
      <c r="AW7" t="s">
        <v>193</v>
      </c>
      <c r="AX7" s="58"/>
      <c r="AY7" s="58" t="s">
        <v>197</v>
      </c>
      <c r="AZ7" s="58" t="s">
        <v>60</v>
      </c>
      <c r="BA7" s="56" t="s">
        <v>513</v>
      </c>
      <c r="BB7" s="58" t="s">
        <v>151</v>
      </c>
    </row>
    <row r="8" spans="1:54" x14ac:dyDescent="0.3">
      <c r="A8" s="56" t="s">
        <v>225</v>
      </c>
      <c r="B8" s="57">
        <v>45672</v>
      </c>
      <c r="C8" s="58" t="s">
        <v>55</v>
      </c>
      <c r="D8" s="59">
        <v>0.5</v>
      </c>
      <c r="E8" s="59">
        <v>0.53988425925925931</v>
      </c>
      <c r="F8" s="58" t="s">
        <v>453</v>
      </c>
      <c r="G8" s="58" t="s">
        <v>56</v>
      </c>
      <c r="H8" s="58" t="s">
        <v>226</v>
      </c>
      <c r="I8" s="58" t="s">
        <v>227</v>
      </c>
      <c r="J8" s="58" t="s">
        <v>214</v>
      </c>
      <c r="K8" s="58" t="s">
        <v>214</v>
      </c>
      <c r="L8" s="58" t="s">
        <v>60</v>
      </c>
      <c r="M8" s="58" t="s">
        <v>60</v>
      </c>
      <c r="N8" s="58" t="s">
        <v>228</v>
      </c>
      <c r="O8" s="56" t="s">
        <v>85</v>
      </c>
      <c r="P8" s="56">
        <v>8</v>
      </c>
      <c r="Q8" s="58" t="s">
        <v>229</v>
      </c>
      <c r="R8" s="56"/>
      <c r="S8" s="56"/>
      <c r="T8" s="56" t="s">
        <v>230</v>
      </c>
      <c r="U8" s="56" t="s">
        <v>64</v>
      </c>
      <c r="V8" s="56" t="s">
        <v>231</v>
      </c>
      <c r="W8" s="56" t="s">
        <v>66</v>
      </c>
      <c r="X8" s="56"/>
      <c r="Y8" s="56"/>
      <c r="Z8" s="56"/>
      <c r="AA8" s="56"/>
      <c r="AB8" s="58" t="s">
        <v>120</v>
      </c>
      <c r="AC8" s="58" t="s">
        <v>68</v>
      </c>
      <c r="AD8" s="58" t="s">
        <v>232</v>
      </c>
      <c r="AE8" s="56" t="s">
        <v>233</v>
      </c>
      <c r="AF8" s="58" t="s">
        <v>71</v>
      </c>
      <c r="AG8" s="58" t="s">
        <v>72</v>
      </c>
      <c r="AH8" s="58" t="s">
        <v>222</v>
      </c>
      <c r="AI8" s="56">
        <v>9</v>
      </c>
      <c r="AJ8" s="57">
        <v>45672</v>
      </c>
      <c r="AK8" s="59">
        <v>0.53988425925925931</v>
      </c>
      <c r="AL8" s="57"/>
      <c r="AM8" s="59"/>
      <c r="AN8" s="57">
        <v>45672</v>
      </c>
      <c r="AO8" s="59">
        <v>0.53988425925925931</v>
      </c>
      <c r="AP8" s="56">
        <v>2025</v>
      </c>
      <c r="AQ8" s="61">
        <v>3</v>
      </c>
      <c r="AR8" s="61">
        <v>3</v>
      </c>
      <c r="AS8" s="61">
        <v>15</v>
      </c>
      <c r="AT8" s="62">
        <v>15</v>
      </c>
      <c r="AU8" s="63">
        <v>45672.539583333331</v>
      </c>
      <c r="AV8" s="56">
        <v>244</v>
      </c>
      <c r="AW8" t="s">
        <v>229</v>
      </c>
      <c r="AX8" s="58" t="s">
        <v>234</v>
      </c>
      <c r="AY8" s="58" t="s">
        <v>235</v>
      </c>
      <c r="AZ8" s="58" t="s">
        <v>236</v>
      </c>
      <c r="BA8" s="56" t="s">
        <v>513</v>
      </c>
      <c r="BB8" s="58" t="s">
        <v>77</v>
      </c>
    </row>
    <row r="9" spans="1:54" x14ac:dyDescent="0.3">
      <c r="A9" s="56" t="s">
        <v>130</v>
      </c>
      <c r="B9" s="57">
        <v>45673</v>
      </c>
      <c r="C9" s="58" t="s">
        <v>55</v>
      </c>
      <c r="D9" s="59">
        <v>0.5</v>
      </c>
      <c r="E9" s="59">
        <v>0.5</v>
      </c>
      <c r="F9" s="58" t="s">
        <v>537</v>
      </c>
      <c r="G9" s="58" t="s">
        <v>56</v>
      </c>
      <c r="H9" s="58" t="s">
        <v>131</v>
      </c>
      <c r="I9" s="58" t="s">
        <v>132</v>
      </c>
      <c r="J9" s="58" t="s">
        <v>133</v>
      </c>
      <c r="K9" s="58" t="s">
        <v>133</v>
      </c>
      <c r="L9" s="58" t="s">
        <v>60</v>
      </c>
      <c r="M9" s="58" t="s">
        <v>60</v>
      </c>
      <c r="N9" s="58" t="s">
        <v>134</v>
      </c>
      <c r="O9" s="56" t="s">
        <v>135</v>
      </c>
      <c r="P9" s="56">
        <v>7</v>
      </c>
      <c r="Q9" s="58" t="s">
        <v>136</v>
      </c>
      <c r="R9" s="56"/>
      <c r="S9" s="56"/>
      <c r="T9" s="56"/>
      <c r="U9" s="56"/>
      <c r="V9" s="56"/>
      <c r="W9" s="56"/>
      <c r="X9" s="56"/>
      <c r="Y9" s="56"/>
      <c r="Z9" s="56"/>
      <c r="AA9" s="56"/>
      <c r="AB9" s="58" t="s">
        <v>67</v>
      </c>
      <c r="AC9" s="58" t="s">
        <v>68</v>
      </c>
      <c r="AD9" s="58" t="s">
        <v>137</v>
      </c>
      <c r="AE9" s="56" t="s">
        <v>70</v>
      </c>
      <c r="AF9" s="58" t="s">
        <v>71</v>
      </c>
      <c r="AG9" s="58" t="s">
        <v>72</v>
      </c>
      <c r="AH9" s="58" t="s">
        <v>138</v>
      </c>
      <c r="AI9" s="56">
        <v>9</v>
      </c>
      <c r="AJ9" s="57">
        <v>45673</v>
      </c>
      <c r="AK9" s="59">
        <v>0.5</v>
      </c>
      <c r="AL9" s="57">
        <v>45673</v>
      </c>
      <c r="AM9" s="59">
        <v>0.75</v>
      </c>
      <c r="AN9" s="57">
        <v>45673</v>
      </c>
      <c r="AO9" s="59">
        <v>0.81587962962962968</v>
      </c>
      <c r="AP9" s="56">
        <v>2025</v>
      </c>
      <c r="AQ9" s="61">
        <v>3</v>
      </c>
      <c r="AR9" s="61">
        <v>3</v>
      </c>
      <c r="AS9" s="61">
        <v>16</v>
      </c>
      <c r="AT9" s="62">
        <v>16</v>
      </c>
      <c r="AU9" s="63">
        <v>45673.5</v>
      </c>
      <c r="AV9" s="56">
        <v>30</v>
      </c>
      <c r="AW9" t="s">
        <v>136</v>
      </c>
      <c r="AX9" s="58"/>
      <c r="AY9" s="58" t="s">
        <v>139</v>
      </c>
      <c r="AZ9" s="58" t="s">
        <v>140</v>
      </c>
      <c r="BA9" s="56" t="s">
        <v>513</v>
      </c>
      <c r="BB9" s="58" t="s">
        <v>77</v>
      </c>
    </row>
    <row r="10" spans="1:54" x14ac:dyDescent="0.3">
      <c r="A10" s="56" t="s">
        <v>372</v>
      </c>
      <c r="B10" s="57">
        <v>45673</v>
      </c>
      <c r="C10" s="58" t="s">
        <v>98</v>
      </c>
      <c r="D10" s="59">
        <v>0.875</v>
      </c>
      <c r="E10" s="59">
        <v>0.87708333333333333</v>
      </c>
      <c r="F10" s="58" t="s">
        <v>537</v>
      </c>
      <c r="G10" s="58" t="s">
        <v>56</v>
      </c>
      <c r="H10" s="58" t="s">
        <v>373</v>
      </c>
      <c r="I10" s="58" t="s">
        <v>374</v>
      </c>
      <c r="J10" s="58" t="s">
        <v>348</v>
      </c>
      <c r="K10" s="58" t="s">
        <v>348</v>
      </c>
      <c r="L10" s="58" t="s">
        <v>60</v>
      </c>
      <c r="M10" s="58" t="s">
        <v>60</v>
      </c>
      <c r="N10" s="58" t="s">
        <v>375</v>
      </c>
      <c r="O10" s="56" t="s">
        <v>179</v>
      </c>
      <c r="P10" s="56">
        <v>9</v>
      </c>
      <c r="Q10" s="58" t="s">
        <v>376</v>
      </c>
      <c r="R10" s="56"/>
      <c r="S10" s="56"/>
      <c r="T10" s="56"/>
      <c r="U10" s="56" t="s">
        <v>377</v>
      </c>
      <c r="V10" s="56" t="s">
        <v>378</v>
      </c>
      <c r="W10" s="56"/>
      <c r="X10" s="56"/>
      <c r="Y10" s="56"/>
      <c r="Z10" s="56"/>
      <c r="AA10" s="56"/>
      <c r="AB10" s="58" t="s">
        <v>67</v>
      </c>
      <c r="AC10" s="58" t="s">
        <v>68</v>
      </c>
      <c r="AD10" s="58" t="s">
        <v>90</v>
      </c>
      <c r="AE10" s="56" t="s">
        <v>91</v>
      </c>
      <c r="AF10" s="58" t="s">
        <v>379</v>
      </c>
      <c r="AG10" s="58" t="s">
        <v>196</v>
      </c>
      <c r="AH10" s="58" t="s">
        <v>354</v>
      </c>
      <c r="AI10" s="56">
        <v>9</v>
      </c>
      <c r="AJ10" s="57">
        <v>45673</v>
      </c>
      <c r="AK10" s="59">
        <v>0.87708333333333333</v>
      </c>
      <c r="AL10" s="57">
        <v>45673</v>
      </c>
      <c r="AM10" s="59">
        <v>0.88611111111111107</v>
      </c>
      <c r="AN10" s="57">
        <v>45674</v>
      </c>
      <c r="AO10" s="59">
        <v>0.51179398148148147</v>
      </c>
      <c r="AP10" s="56">
        <v>2025</v>
      </c>
      <c r="AQ10" s="61">
        <v>3</v>
      </c>
      <c r="AR10" s="61">
        <v>3</v>
      </c>
      <c r="AS10" s="61">
        <v>16</v>
      </c>
      <c r="AT10" s="62">
        <v>16</v>
      </c>
      <c r="AU10" s="63">
        <v>45673.877083333333</v>
      </c>
      <c r="AV10" s="56">
        <v>630</v>
      </c>
      <c r="AW10" t="s">
        <v>376</v>
      </c>
      <c r="AX10" s="58" t="s">
        <v>380</v>
      </c>
      <c r="AY10" s="58" t="s">
        <v>381</v>
      </c>
      <c r="AZ10" s="58" t="s">
        <v>382</v>
      </c>
      <c r="BA10" s="56" t="s">
        <v>513</v>
      </c>
      <c r="BB10" s="58" t="s">
        <v>110</v>
      </c>
    </row>
    <row r="11" spans="1:54" x14ac:dyDescent="0.3">
      <c r="A11" s="56" t="s">
        <v>198</v>
      </c>
      <c r="B11" s="57">
        <v>45673</v>
      </c>
      <c r="C11" s="58" t="s">
        <v>98</v>
      </c>
      <c r="D11" s="59">
        <v>0.83333333333333337</v>
      </c>
      <c r="E11" s="59">
        <v>0.83333333333333337</v>
      </c>
      <c r="F11" s="58" t="s">
        <v>537</v>
      </c>
      <c r="G11" s="58" t="s">
        <v>56</v>
      </c>
      <c r="H11" s="58" t="s">
        <v>199</v>
      </c>
      <c r="I11" s="58" t="s">
        <v>200</v>
      </c>
      <c r="J11" s="58" t="s">
        <v>202</v>
      </c>
      <c r="K11" s="58" t="s">
        <v>201</v>
      </c>
      <c r="L11" s="58" t="s">
        <v>133</v>
      </c>
      <c r="M11" s="58" t="s">
        <v>189</v>
      </c>
      <c r="N11" s="58" t="s">
        <v>203</v>
      </c>
      <c r="O11" s="56" t="s">
        <v>204</v>
      </c>
      <c r="P11" s="56">
        <v>5</v>
      </c>
      <c r="Q11" s="58" t="s">
        <v>205</v>
      </c>
      <c r="R11" s="56"/>
      <c r="S11" s="56"/>
      <c r="T11" s="56"/>
      <c r="U11" s="56"/>
      <c r="V11" s="56"/>
      <c r="W11" s="56"/>
      <c r="X11" s="56"/>
      <c r="Y11" s="56"/>
      <c r="Z11" s="56"/>
      <c r="AA11" s="56"/>
      <c r="AB11" s="58" t="s">
        <v>89</v>
      </c>
      <c r="AC11" s="58" t="s">
        <v>68</v>
      </c>
      <c r="AD11" s="58" t="s">
        <v>206</v>
      </c>
      <c r="AE11" s="56" t="s">
        <v>207</v>
      </c>
      <c r="AF11" s="58"/>
      <c r="AG11" s="58"/>
      <c r="AH11" s="58" t="s">
        <v>138</v>
      </c>
      <c r="AI11" s="56">
        <v>9</v>
      </c>
      <c r="AJ11" s="57">
        <v>45673</v>
      </c>
      <c r="AK11" s="59">
        <v>0.83333333333333337</v>
      </c>
      <c r="AL11" s="57"/>
      <c r="AM11" s="59"/>
      <c r="AN11" s="57">
        <v>45673</v>
      </c>
      <c r="AO11" s="59">
        <v>9.0057870370370371E-2</v>
      </c>
      <c r="AP11" s="56">
        <v>2025</v>
      </c>
      <c r="AQ11" s="61">
        <v>3</v>
      </c>
      <c r="AR11" s="61">
        <v>3</v>
      </c>
      <c r="AS11" s="61">
        <v>16</v>
      </c>
      <c r="AT11" s="62">
        <v>16</v>
      </c>
      <c r="AU11" s="63">
        <v>45673.833333333336</v>
      </c>
      <c r="AV11" s="56">
        <v>152</v>
      </c>
      <c r="AW11" t="s">
        <v>205</v>
      </c>
      <c r="AX11" s="58"/>
      <c r="AY11" s="58" t="s">
        <v>208</v>
      </c>
      <c r="AZ11" s="58" t="s">
        <v>209</v>
      </c>
      <c r="BA11" s="56" t="s">
        <v>513</v>
      </c>
      <c r="BB11" s="58" t="s">
        <v>110</v>
      </c>
    </row>
    <row r="12" spans="1:54" x14ac:dyDescent="0.3">
      <c r="A12" s="56" t="s">
        <v>237</v>
      </c>
      <c r="B12" s="57">
        <v>45678</v>
      </c>
      <c r="C12" s="58" t="s">
        <v>79</v>
      </c>
      <c r="D12" s="59">
        <v>0.79166666666666663</v>
      </c>
      <c r="E12" s="59">
        <v>0.79166666666666663</v>
      </c>
      <c r="F12" s="58" t="s">
        <v>452</v>
      </c>
      <c r="G12" s="58" t="s">
        <v>56</v>
      </c>
      <c r="H12" s="58" t="s">
        <v>238</v>
      </c>
      <c r="I12" s="58" t="s">
        <v>239</v>
      </c>
      <c r="J12" s="58" t="s">
        <v>214</v>
      </c>
      <c r="K12" s="58" t="s">
        <v>214</v>
      </c>
      <c r="L12" s="58" t="s">
        <v>60</v>
      </c>
      <c r="M12" s="58" t="s">
        <v>60</v>
      </c>
      <c r="N12" s="58" t="s">
        <v>240</v>
      </c>
      <c r="O12" s="56" t="s">
        <v>179</v>
      </c>
      <c r="P12" s="56">
        <v>9</v>
      </c>
      <c r="Q12" s="58" t="s">
        <v>241</v>
      </c>
      <c r="R12" s="56"/>
      <c r="S12" s="56"/>
      <c r="T12" s="56" t="s">
        <v>242</v>
      </c>
      <c r="U12" s="56" t="s">
        <v>64</v>
      </c>
      <c r="V12" s="56" t="s">
        <v>243</v>
      </c>
      <c r="W12" s="56" t="s">
        <v>66</v>
      </c>
      <c r="X12" s="56"/>
      <c r="Y12" s="56"/>
      <c r="Z12" s="56"/>
      <c r="AA12" s="56"/>
      <c r="AB12" s="58" t="s">
        <v>244</v>
      </c>
      <c r="AC12" s="58" t="s">
        <v>68</v>
      </c>
      <c r="AD12" s="58" t="s">
        <v>245</v>
      </c>
      <c r="AE12" s="56" t="s">
        <v>207</v>
      </c>
      <c r="AF12" s="58" t="s">
        <v>161</v>
      </c>
      <c r="AG12" s="58" t="s">
        <v>72</v>
      </c>
      <c r="AH12" s="58" t="s">
        <v>222</v>
      </c>
      <c r="AI12" s="56">
        <v>9</v>
      </c>
      <c r="AJ12" s="57">
        <v>45678</v>
      </c>
      <c r="AK12" s="59">
        <v>0.79166666666666663</v>
      </c>
      <c r="AL12" s="57">
        <v>45679</v>
      </c>
      <c r="AM12" s="59">
        <v>0.13125000000000001</v>
      </c>
      <c r="AN12" s="57">
        <v>45679</v>
      </c>
      <c r="AO12" s="59">
        <v>0.13255787037037037</v>
      </c>
      <c r="AP12" s="56">
        <v>2025</v>
      </c>
      <c r="AQ12" s="61">
        <v>4</v>
      </c>
      <c r="AR12" s="61">
        <v>4</v>
      </c>
      <c r="AS12" s="61">
        <v>21</v>
      </c>
      <c r="AT12" s="62">
        <v>21</v>
      </c>
      <c r="AU12" s="63">
        <v>45678.791666666664</v>
      </c>
      <c r="AV12" s="56">
        <v>33</v>
      </c>
      <c r="AW12" t="s">
        <v>241</v>
      </c>
      <c r="AX12" s="58" t="s">
        <v>246</v>
      </c>
      <c r="AY12" s="58" t="s">
        <v>60</v>
      </c>
      <c r="AZ12" s="58" t="s">
        <v>60</v>
      </c>
      <c r="BA12" s="56" t="s">
        <v>512</v>
      </c>
      <c r="BB12" s="58" t="s">
        <v>96</v>
      </c>
    </row>
    <row r="13" spans="1:54" x14ac:dyDescent="0.3">
      <c r="A13" s="56" t="s">
        <v>247</v>
      </c>
      <c r="B13" s="57">
        <v>45679</v>
      </c>
      <c r="C13" s="58" t="s">
        <v>142</v>
      </c>
      <c r="D13" s="59">
        <v>0.33333333333333331</v>
      </c>
      <c r="E13" s="59">
        <v>0.33333333333333331</v>
      </c>
      <c r="F13" s="58" t="s">
        <v>453</v>
      </c>
      <c r="G13" s="58" t="s">
        <v>56</v>
      </c>
      <c r="H13" s="58" t="s">
        <v>248</v>
      </c>
      <c r="I13" s="58" t="s">
        <v>249</v>
      </c>
      <c r="J13" s="58" t="s">
        <v>214</v>
      </c>
      <c r="K13" s="58" t="s">
        <v>214</v>
      </c>
      <c r="L13" s="58" t="s">
        <v>60</v>
      </c>
      <c r="M13" s="58" t="s">
        <v>60</v>
      </c>
      <c r="N13" s="58" t="s">
        <v>250</v>
      </c>
      <c r="O13" s="56" t="s">
        <v>251</v>
      </c>
      <c r="P13" s="56">
        <v>5</v>
      </c>
      <c r="Q13" s="58" t="s">
        <v>252</v>
      </c>
      <c r="R13" s="56"/>
      <c r="S13" s="56"/>
      <c r="T13" s="56" t="s">
        <v>253</v>
      </c>
      <c r="U13" s="56" t="s">
        <v>254</v>
      </c>
      <c r="V13" s="56" t="s">
        <v>255</v>
      </c>
      <c r="W13" s="56" t="s">
        <v>66</v>
      </c>
      <c r="X13" s="56"/>
      <c r="Y13" s="56"/>
      <c r="Z13" s="56"/>
      <c r="AA13" s="56"/>
      <c r="AB13" s="58" t="s">
        <v>120</v>
      </c>
      <c r="AC13" s="58" t="s">
        <v>68</v>
      </c>
      <c r="AD13" s="58" t="s">
        <v>245</v>
      </c>
      <c r="AE13" s="56" t="s">
        <v>207</v>
      </c>
      <c r="AF13" s="58" t="s">
        <v>123</v>
      </c>
      <c r="AG13" s="58" t="s">
        <v>72</v>
      </c>
      <c r="AH13" s="58" t="s">
        <v>222</v>
      </c>
      <c r="AI13" s="56">
        <v>9</v>
      </c>
      <c r="AJ13" s="57">
        <v>45679</v>
      </c>
      <c r="AK13" s="59">
        <v>0.33333333333333331</v>
      </c>
      <c r="AL13" s="57">
        <v>45679</v>
      </c>
      <c r="AM13" s="59">
        <v>0.80069444444444449</v>
      </c>
      <c r="AN13" s="57">
        <v>45679</v>
      </c>
      <c r="AO13" s="59">
        <v>0.80203703703703699</v>
      </c>
      <c r="AP13" s="56">
        <v>2025</v>
      </c>
      <c r="AQ13" s="61">
        <v>4</v>
      </c>
      <c r="AR13" s="61">
        <v>4</v>
      </c>
      <c r="AS13" s="61">
        <v>22</v>
      </c>
      <c r="AT13" s="62">
        <v>22</v>
      </c>
      <c r="AU13" s="63">
        <v>45679.333333333336</v>
      </c>
      <c r="AV13" s="56">
        <v>443</v>
      </c>
      <c r="AW13" t="s">
        <v>252</v>
      </c>
      <c r="AX13" s="58" t="s">
        <v>256</v>
      </c>
      <c r="AY13" s="58" t="s">
        <v>60</v>
      </c>
      <c r="AZ13" s="58" t="s">
        <v>60</v>
      </c>
      <c r="BA13" s="56" t="s">
        <v>512</v>
      </c>
      <c r="BB13" s="58" t="s">
        <v>151</v>
      </c>
    </row>
    <row r="14" spans="1:54" x14ac:dyDescent="0.3">
      <c r="A14" s="56" t="s">
        <v>410</v>
      </c>
      <c r="B14" s="57">
        <v>45680</v>
      </c>
      <c r="C14" s="58" t="s">
        <v>55</v>
      </c>
      <c r="D14" s="59">
        <v>0.625</v>
      </c>
      <c r="E14" s="59">
        <v>0.625</v>
      </c>
      <c r="F14" s="58" t="s">
        <v>537</v>
      </c>
      <c r="G14" s="58" t="s">
        <v>56</v>
      </c>
      <c r="H14" s="58" t="s">
        <v>411</v>
      </c>
      <c r="I14" s="58" t="s">
        <v>412</v>
      </c>
      <c r="J14" s="58" t="s">
        <v>414</v>
      </c>
      <c r="K14" s="58" t="s">
        <v>413</v>
      </c>
      <c r="L14" s="58" t="s">
        <v>401</v>
      </c>
      <c r="M14" s="58" t="s">
        <v>60</v>
      </c>
      <c r="N14" s="58" t="s">
        <v>415</v>
      </c>
      <c r="O14" s="56" t="s">
        <v>85</v>
      </c>
      <c r="P14" s="56">
        <v>8</v>
      </c>
      <c r="Q14" s="58" t="s">
        <v>416</v>
      </c>
      <c r="R14" s="56"/>
      <c r="S14" s="56"/>
      <c r="T14" s="56"/>
      <c r="U14" s="56"/>
      <c r="V14" s="56"/>
      <c r="W14" s="56"/>
      <c r="X14" s="56"/>
      <c r="Y14" s="56"/>
      <c r="Z14" s="56"/>
      <c r="AA14" s="56"/>
      <c r="AB14" s="58" t="s">
        <v>417</v>
      </c>
      <c r="AC14" s="58" t="s">
        <v>68</v>
      </c>
      <c r="AD14" s="58" t="s">
        <v>353</v>
      </c>
      <c r="AE14" s="56" t="s">
        <v>418</v>
      </c>
      <c r="AF14" s="58" t="s">
        <v>407</v>
      </c>
      <c r="AG14" s="58" t="s">
        <v>419</v>
      </c>
      <c r="AH14" s="58"/>
      <c r="AI14" s="56">
        <v>9</v>
      </c>
      <c r="AJ14" s="57">
        <v>45680</v>
      </c>
      <c r="AK14" s="59">
        <v>0.625</v>
      </c>
      <c r="AL14" s="57"/>
      <c r="AM14" s="59"/>
      <c r="AN14" s="57">
        <v>45680</v>
      </c>
      <c r="AO14" s="59">
        <v>0.66545138888888888</v>
      </c>
      <c r="AP14" s="56">
        <v>2025</v>
      </c>
      <c r="AQ14" s="61">
        <v>4</v>
      </c>
      <c r="AR14" s="61">
        <v>4</v>
      </c>
      <c r="AS14" s="61">
        <v>23</v>
      </c>
      <c r="AT14" s="62">
        <v>23</v>
      </c>
      <c r="AU14" s="63">
        <v>45680.625</v>
      </c>
      <c r="AV14" s="56">
        <v>176</v>
      </c>
      <c r="AW14" t="s">
        <v>416</v>
      </c>
      <c r="AX14" s="58"/>
      <c r="AY14" s="58" t="s">
        <v>420</v>
      </c>
      <c r="AZ14" s="58" t="s">
        <v>60</v>
      </c>
      <c r="BA14" s="56" t="s">
        <v>512</v>
      </c>
      <c r="BB14" s="58" t="s">
        <v>77</v>
      </c>
    </row>
    <row r="15" spans="1:54" x14ac:dyDescent="0.3">
      <c r="A15" s="56" t="s">
        <v>141</v>
      </c>
      <c r="B15" s="57">
        <v>45682</v>
      </c>
      <c r="C15" s="58" t="s">
        <v>142</v>
      </c>
      <c r="D15" s="59">
        <v>0.45833333333333331</v>
      </c>
      <c r="E15" s="59">
        <v>0.45833333333333331</v>
      </c>
      <c r="F15" s="58" t="s">
        <v>456</v>
      </c>
      <c r="G15" s="58" t="s">
        <v>56</v>
      </c>
      <c r="H15" s="58" t="s">
        <v>143</v>
      </c>
      <c r="I15" s="58" t="s">
        <v>144</v>
      </c>
      <c r="J15" s="58" t="s">
        <v>133</v>
      </c>
      <c r="K15" s="58" t="s">
        <v>133</v>
      </c>
      <c r="L15" s="58" t="s">
        <v>60</v>
      </c>
      <c r="M15" s="58" t="s">
        <v>60</v>
      </c>
      <c r="N15" s="58" t="s">
        <v>145</v>
      </c>
      <c r="O15" s="56" t="s">
        <v>146</v>
      </c>
      <c r="P15" s="56">
        <v>5</v>
      </c>
      <c r="Q15" s="58" t="s">
        <v>147</v>
      </c>
      <c r="R15" s="56"/>
      <c r="S15" s="56"/>
      <c r="T15" s="56"/>
      <c r="U15" s="56"/>
      <c r="V15" s="56"/>
      <c r="W15" s="56"/>
      <c r="X15" s="56"/>
      <c r="Y15" s="56"/>
      <c r="Z15" s="56"/>
      <c r="AA15" s="56"/>
      <c r="AB15" s="58" t="s">
        <v>89</v>
      </c>
      <c r="AC15" s="58" t="s">
        <v>68</v>
      </c>
      <c r="AD15" s="58" t="s">
        <v>148</v>
      </c>
      <c r="AE15" s="56" t="s">
        <v>91</v>
      </c>
      <c r="AF15" s="58" t="s">
        <v>71</v>
      </c>
      <c r="AG15" s="58" t="s">
        <v>124</v>
      </c>
      <c r="AH15" s="58" t="s">
        <v>138</v>
      </c>
      <c r="AI15" s="56">
        <v>9</v>
      </c>
      <c r="AJ15" s="57">
        <v>45682</v>
      </c>
      <c r="AK15" s="59">
        <v>0.45833333333333331</v>
      </c>
      <c r="AL15" s="57">
        <v>45682</v>
      </c>
      <c r="AM15" s="59">
        <v>0.58333333333333337</v>
      </c>
      <c r="AN15" s="57">
        <v>45682</v>
      </c>
      <c r="AO15" s="59">
        <v>0.58054398148148145</v>
      </c>
      <c r="AP15" s="56">
        <v>2025</v>
      </c>
      <c r="AQ15" s="61">
        <v>4</v>
      </c>
      <c r="AR15" s="61">
        <v>4</v>
      </c>
      <c r="AS15" s="61">
        <v>25</v>
      </c>
      <c r="AT15" s="62">
        <v>25</v>
      </c>
      <c r="AU15" s="63">
        <v>45682.458333333336</v>
      </c>
      <c r="AV15" s="56">
        <v>60</v>
      </c>
      <c r="AW15" t="s">
        <v>147</v>
      </c>
      <c r="AX15" s="58"/>
      <c r="AY15" s="58" t="s">
        <v>149</v>
      </c>
      <c r="AZ15" s="58" t="s">
        <v>150</v>
      </c>
      <c r="BA15" s="56" t="s">
        <v>512</v>
      </c>
      <c r="BB15" s="58" t="s">
        <v>151</v>
      </c>
    </row>
    <row r="16" spans="1:54" x14ac:dyDescent="0.3">
      <c r="A16" s="56" t="s">
        <v>78</v>
      </c>
      <c r="B16" s="57">
        <v>45682</v>
      </c>
      <c r="C16" s="58" t="s">
        <v>79</v>
      </c>
      <c r="D16" s="59">
        <v>0.75</v>
      </c>
      <c r="E16" s="59">
        <v>0.76875000000000004</v>
      </c>
      <c r="F16" s="58" t="s">
        <v>456</v>
      </c>
      <c r="G16" s="58" t="s">
        <v>56</v>
      </c>
      <c r="H16" s="58" t="s">
        <v>80</v>
      </c>
      <c r="I16" s="58" t="s">
        <v>81</v>
      </c>
      <c r="J16" s="58" t="s">
        <v>82</v>
      </c>
      <c r="K16" s="58" t="s">
        <v>59</v>
      </c>
      <c r="L16" s="58" t="s">
        <v>83</v>
      </c>
      <c r="M16" s="58" t="s">
        <v>60</v>
      </c>
      <c r="N16" s="58" t="s">
        <v>84</v>
      </c>
      <c r="O16" s="56" t="s">
        <v>85</v>
      </c>
      <c r="P16" s="56">
        <v>8</v>
      </c>
      <c r="Q16" s="58" t="s">
        <v>86</v>
      </c>
      <c r="R16" s="56"/>
      <c r="S16" s="56"/>
      <c r="T16" s="56" t="s">
        <v>87</v>
      </c>
      <c r="U16" s="56" t="s">
        <v>64</v>
      </c>
      <c r="V16" s="56" t="s">
        <v>88</v>
      </c>
      <c r="W16" s="56" t="s">
        <v>66</v>
      </c>
      <c r="X16" s="56"/>
      <c r="Y16" s="56"/>
      <c r="Z16" s="56"/>
      <c r="AA16" s="56"/>
      <c r="AB16" s="58" t="s">
        <v>89</v>
      </c>
      <c r="AC16" s="58" t="s">
        <v>68</v>
      </c>
      <c r="AD16" s="58" t="s">
        <v>90</v>
      </c>
      <c r="AE16" s="56" t="s">
        <v>91</v>
      </c>
      <c r="AF16" s="58" t="s">
        <v>92</v>
      </c>
      <c r="AG16" s="58" t="s">
        <v>93</v>
      </c>
      <c r="AH16" s="58" t="s">
        <v>73</v>
      </c>
      <c r="AI16" s="56">
        <v>9</v>
      </c>
      <c r="AJ16" s="57">
        <v>45682</v>
      </c>
      <c r="AK16" s="59">
        <v>0.76875000000000004</v>
      </c>
      <c r="AL16" s="57"/>
      <c r="AM16" s="59"/>
      <c r="AN16" s="57">
        <v>45683</v>
      </c>
      <c r="AO16" s="59">
        <v>0.44056712962962963</v>
      </c>
      <c r="AP16" s="56">
        <v>2025</v>
      </c>
      <c r="AQ16" s="61">
        <v>4</v>
      </c>
      <c r="AR16" s="61">
        <v>4</v>
      </c>
      <c r="AS16" s="61">
        <v>25</v>
      </c>
      <c r="AT16" s="62">
        <v>25</v>
      </c>
      <c r="AU16" s="63">
        <v>45682.768750000003</v>
      </c>
      <c r="AV16" s="56">
        <v>206</v>
      </c>
      <c r="AW16" t="s">
        <v>86</v>
      </c>
      <c r="AX16" s="58" t="s">
        <v>94</v>
      </c>
      <c r="AY16" s="58" t="s">
        <v>95</v>
      </c>
      <c r="AZ16" s="58" t="s">
        <v>60</v>
      </c>
      <c r="BA16" s="56" t="s">
        <v>512</v>
      </c>
      <c r="BB16" s="58" t="s">
        <v>96</v>
      </c>
    </row>
    <row r="17" spans="1:54" x14ac:dyDescent="0.3">
      <c r="A17" s="56" t="s">
        <v>97</v>
      </c>
      <c r="B17" s="57">
        <v>45683</v>
      </c>
      <c r="C17" s="58" t="s">
        <v>98</v>
      </c>
      <c r="D17" s="59">
        <v>0.83333333333333337</v>
      </c>
      <c r="E17" s="59">
        <v>0.84027777777777779</v>
      </c>
      <c r="F17" s="58" t="s">
        <v>459</v>
      </c>
      <c r="G17" s="58" t="s">
        <v>56</v>
      </c>
      <c r="H17" s="58" t="s">
        <v>99</v>
      </c>
      <c r="I17" s="58" t="s">
        <v>100</v>
      </c>
      <c r="J17" s="58" t="s">
        <v>82</v>
      </c>
      <c r="K17" s="58" t="s">
        <v>59</v>
      </c>
      <c r="L17" s="58" t="s">
        <v>83</v>
      </c>
      <c r="M17" s="58" t="s">
        <v>60</v>
      </c>
      <c r="N17" s="58" t="s">
        <v>101</v>
      </c>
      <c r="O17" s="56" t="s">
        <v>102</v>
      </c>
      <c r="P17" s="56">
        <v>9</v>
      </c>
      <c r="Q17" s="58" t="s">
        <v>103</v>
      </c>
      <c r="R17" s="56"/>
      <c r="S17" s="56"/>
      <c r="T17" s="56" t="s">
        <v>104</v>
      </c>
      <c r="U17" s="56" t="s">
        <v>64</v>
      </c>
      <c r="V17" s="56" t="s">
        <v>105</v>
      </c>
      <c r="W17" s="56" t="s">
        <v>66</v>
      </c>
      <c r="X17" s="56"/>
      <c r="Y17" s="56"/>
      <c r="Z17" s="56"/>
      <c r="AA17" s="56"/>
      <c r="AB17" s="58" t="s">
        <v>67</v>
      </c>
      <c r="AC17" s="58" t="s">
        <v>68</v>
      </c>
      <c r="AD17" s="58" t="s">
        <v>106</v>
      </c>
      <c r="AE17" s="56" t="s">
        <v>70</v>
      </c>
      <c r="AF17" s="58" t="s">
        <v>107</v>
      </c>
      <c r="AG17" s="58" t="s">
        <v>72</v>
      </c>
      <c r="AH17" s="58" t="s">
        <v>73</v>
      </c>
      <c r="AI17" s="56">
        <v>9</v>
      </c>
      <c r="AJ17" s="57">
        <v>45683</v>
      </c>
      <c r="AK17" s="59">
        <v>0.84027777777777779</v>
      </c>
      <c r="AL17" s="57">
        <v>45683</v>
      </c>
      <c r="AM17" s="59">
        <v>0.84652777777777777</v>
      </c>
      <c r="AN17" s="57">
        <v>45683</v>
      </c>
      <c r="AO17" s="59">
        <v>0.85009259259259262</v>
      </c>
      <c r="AP17" s="56">
        <v>2025</v>
      </c>
      <c r="AQ17" s="61">
        <v>5</v>
      </c>
      <c r="AR17" s="61">
        <v>5</v>
      </c>
      <c r="AS17" s="61">
        <v>26</v>
      </c>
      <c r="AT17" s="62">
        <v>26</v>
      </c>
      <c r="AU17" s="63">
        <v>45683.840277777781</v>
      </c>
      <c r="AV17" s="56">
        <v>5</v>
      </c>
      <c r="AW17" t="s">
        <v>103</v>
      </c>
      <c r="AX17" s="58" t="s">
        <v>108</v>
      </c>
      <c r="AY17" s="58" t="s">
        <v>60</v>
      </c>
      <c r="AZ17" s="58" t="s">
        <v>109</v>
      </c>
      <c r="BA17" s="56" t="s">
        <v>512</v>
      </c>
      <c r="BB17" s="58" t="s">
        <v>110</v>
      </c>
    </row>
    <row r="18" spans="1:54" x14ac:dyDescent="0.3">
      <c r="A18" s="56" t="s">
        <v>257</v>
      </c>
      <c r="B18" s="57">
        <v>45685</v>
      </c>
      <c r="C18" s="58" t="s">
        <v>55</v>
      </c>
      <c r="D18" s="59">
        <v>0.625</v>
      </c>
      <c r="E18" s="59">
        <v>0.625</v>
      </c>
      <c r="F18" s="58" t="s">
        <v>452</v>
      </c>
      <c r="G18" s="58" t="s">
        <v>56</v>
      </c>
      <c r="H18" s="58" t="s">
        <v>258</v>
      </c>
      <c r="I18" s="58" t="s">
        <v>259</v>
      </c>
      <c r="J18" s="58" t="s">
        <v>260</v>
      </c>
      <c r="K18" s="58" t="s">
        <v>214</v>
      </c>
      <c r="L18" s="58" t="s">
        <v>83</v>
      </c>
      <c r="M18" s="58" t="s">
        <v>60</v>
      </c>
      <c r="N18" s="58" t="s">
        <v>261</v>
      </c>
      <c r="O18" s="56" t="s">
        <v>262</v>
      </c>
      <c r="P18" s="56">
        <v>6</v>
      </c>
      <c r="Q18" s="58" t="s">
        <v>263</v>
      </c>
      <c r="R18" s="56"/>
      <c r="S18" s="56"/>
      <c r="T18" s="56" t="s">
        <v>264</v>
      </c>
      <c r="U18" s="56" t="s">
        <v>265</v>
      </c>
      <c r="V18" s="56" t="s">
        <v>266</v>
      </c>
      <c r="W18" s="56" t="s">
        <v>66</v>
      </c>
      <c r="X18" s="56"/>
      <c r="Y18" s="56"/>
      <c r="Z18" s="56"/>
      <c r="AA18" s="56"/>
      <c r="AB18" s="58" t="s">
        <v>120</v>
      </c>
      <c r="AC18" s="58" t="s">
        <v>68</v>
      </c>
      <c r="AD18" s="58" t="s">
        <v>245</v>
      </c>
      <c r="AE18" s="56" t="s">
        <v>207</v>
      </c>
      <c r="AF18" s="58" t="s">
        <v>71</v>
      </c>
      <c r="AG18" s="58" t="s">
        <v>267</v>
      </c>
      <c r="AH18" s="58" t="s">
        <v>222</v>
      </c>
      <c r="AI18" s="56">
        <v>9</v>
      </c>
      <c r="AJ18" s="57">
        <v>45685</v>
      </c>
      <c r="AK18" s="59">
        <v>0.625</v>
      </c>
      <c r="AL18" s="57">
        <v>45686</v>
      </c>
      <c r="AM18" s="59">
        <v>0.91736111111111107</v>
      </c>
      <c r="AN18" s="57">
        <v>45686</v>
      </c>
      <c r="AO18" s="59">
        <v>0.91833333333333333</v>
      </c>
      <c r="AP18" s="56">
        <v>2025</v>
      </c>
      <c r="AQ18" s="61">
        <v>5</v>
      </c>
      <c r="AR18" s="61">
        <v>5</v>
      </c>
      <c r="AS18" s="61">
        <v>28</v>
      </c>
      <c r="AT18" s="62">
        <v>28</v>
      </c>
      <c r="AU18" s="63">
        <v>45685.625</v>
      </c>
      <c r="AV18" s="56">
        <v>119</v>
      </c>
      <c r="AW18" t="s">
        <v>263</v>
      </c>
      <c r="AX18" s="58" t="s">
        <v>268</v>
      </c>
      <c r="AY18" s="58" t="s">
        <v>60</v>
      </c>
      <c r="AZ18" s="58" t="s">
        <v>269</v>
      </c>
      <c r="BA18" s="56" t="s">
        <v>511</v>
      </c>
      <c r="BB18" s="58" t="s">
        <v>77</v>
      </c>
    </row>
    <row r="19" spans="1:54" x14ac:dyDescent="0.3">
      <c r="A19" s="56" t="s">
        <v>306</v>
      </c>
      <c r="B19" s="57">
        <v>45688</v>
      </c>
      <c r="C19" s="58" t="s">
        <v>55</v>
      </c>
      <c r="D19" s="59">
        <v>0.5</v>
      </c>
      <c r="E19" s="59">
        <v>0.5</v>
      </c>
      <c r="F19" s="58" t="s">
        <v>455</v>
      </c>
      <c r="G19" s="58" t="s">
        <v>56</v>
      </c>
      <c r="H19" s="58" t="s">
        <v>307</v>
      </c>
      <c r="I19" s="58" t="s">
        <v>308</v>
      </c>
      <c r="J19" s="58" t="s">
        <v>214</v>
      </c>
      <c r="K19" s="58" t="s">
        <v>214</v>
      </c>
      <c r="L19" s="58" t="s">
        <v>60</v>
      </c>
      <c r="M19" s="58" t="s">
        <v>60</v>
      </c>
      <c r="N19" s="58" t="s">
        <v>309</v>
      </c>
      <c r="O19" s="56" t="s">
        <v>251</v>
      </c>
      <c r="P19" s="56">
        <v>5</v>
      </c>
      <c r="Q19" s="58" t="s">
        <v>310</v>
      </c>
      <c r="R19" s="56"/>
      <c r="S19" s="56"/>
      <c r="T19" s="56" t="s">
        <v>311</v>
      </c>
      <c r="U19" s="56"/>
      <c r="V19" s="56" t="s">
        <v>231</v>
      </c>
      <c r="W19" s="56" t="s">
        <v>66</v>
      </c>
      <c r="X19" s="56"/>
      <c r="Y19" s="56"/>
      <c r="Z19" s="56"/>
      <c r="AA19" s="56"/>
      <c r="AB19" s="58" t="s">
        <v>120</v>
      </c>
      <c r="AC19" s="58" t="s">
        <v>68</v>
      </c>
      <c r="AD19" s="58" t="s">
        <v>206</v>
      </c>
      <c r="AE19" s="56" t="s">
        <v>207</v>
      </c>
      <c r="AF19" s="58" t="s">
        <v>107</v>
      </c>
      <c r="AG19" s="58" t="s">
        <v>72</v>
      </c>
      <c r="AH19" s="58" t="s">
        <v>222</v>
      </c>
      <c r="AI19" s="56">
        <v>9</v>
      </c>
      <c r="AJ19" s="57">
        <v>45688</v>
      </c>
      <c r="AK19" s="59">
        <v>0.5</v>
      </c>
      <c r="AL19" s="57">
        <v>45695</v>
      </c>
      <c r="AM19" s="59">
        <v>0.54166666666666663</v>
      </c>
      <c r="AN19" s="57">
        <v>45696</v>
      </c>
      <c r="AO19" s="59">
        <v>0.3903240740740741</v>
      </c>
      <c r="AP19" s="56">
        <v>2025</v>
      </c>
      <c r="AQ19" s="61">
        <v>5</v>
      </c>
      <c r="AR19" s="61">
        <v>5</v>
      </c>
      <c r="AS19" s="61">
        <v>31</v>
      </c>
      <c r="AT19" s="62">
        <v>31</v>
      </c>
      <c r="AU19" s="63">
        <v>45688.5</v>
      </c>
      <c r="AV19" s="56">
        <v>535</v>
      </c>
      <c r="AW19" t="s">
        <v>310</v>
      </c>
      <c r="AX19" s="58" t="s">
        <v>312</v>
      </c>
      <c r="AY19" s="58" t="s">
        <v>60</v>
      </c>
      <c r="AZ19" s="58" t="s">
        <v>313</v>
      </c>
      <c r="BA19" s="56" t="s">
        <v>511</v>
      </c>
      <c r="BB19" s="58" t="s">
        <v>77</v>
      </c>
    </row>
    <row r="20" spans="1:54" x14ac:dyDescent="0.3">
      <c r="A20" s="56" t="s">
        <v>152</v>
      </c>
      <c r="B20" s="57">
        <v>45688</v>
      </c>
      <c r="C20" s="58" t="s">
        <v>142</v>
      </c>
      <c r="D20" s="59">
        <v>0.45833333333333331</v>
      </c>
      <c r="E20" s="59">
        <v>0.49988425925925928</v>
      </c>
      <c r="F20" s="58" t="s">
        <v>455</v>
      </c>
      <c r="G20" s="58" t="s">
        <v>56</v>
      </c>
      <c r="H20" s="58" t="s">
        <v>153</v>
      </c>
      <c r="I20" s="58" t="s">
        <v>154</v>
      </c>
      <c r="J20" s="58" t="s">
        <v>133</v>
      </c>
      <c r="K20" s="58" t="s">
        <v>133</v>
      </c>
      <c r="L20" s="58" t="s">
        <v>60</v>
      </c>
      <c r="M20" s="58" t="s">
        <v>60</v>
      </c>
      <c r="N20" s="58" t="s">
        <v>155</v>
      </c>
      <c r="O20" s="56" t="s">
        <v>156</v>
      </c>
      <c r="P20" s="56">
        <v>8</v>
      </c>
      <c r="Q20" s="58" t="s">
        <v>157</v>
      </c>
      <c r="R20" s="56"/>
      <c r="S20" s="56"/>
      <c r="T20" s="56"/>
      <c r="U20" s="56"/>
      <c r="V20" s="56"/>
      <c r="W20" s="56"/>
      <c r="X20" s="56"/>
      <c r="Y20" s="56"/>
      <c r="Z20" s="56"/>
      <c r="AA20" s="56"/>
      <c r="AB20" s="58" t="s">
        <v>158</v>
      </c>
      <c r="AC20" s="58" t="s">
        <v>68</v>
      </c>
      <c r="AD20" s="58" t="s">
        <v>159</v>
      </c>
      <c r="AE20" s="56" t="s">
        <v>160</v>
      </c>
      <c r="AF20" s="58" t="s">
        <v>161</v>
      </c>
      <c r="AG20" s="58" t="s">
        <v>72</v>
      </c>
      <c r="AH20" s="58" t="s">
        <v>138</v>
      </c>
      <c r="AI20" s="56">
        <v>9</v>
      </c>
      <c r="AJ20" s="57">
        <v>45688</v>
      </c>
      <c r="AK20" s="59">
        <v>0.49988425925925928</v>
      </c>
      <c r="AL20" s="57"/>
      <c r="AM20" s="59"/>
      <c r="AN20" s="57">
        <v>45688</v>
      </c>
      <c r="AO20" s="59">
        <v>0.49988425925925928</v>
      </c>
      <c r="AP20" s="56">
        <v>2025</v>
      </c>
      <c r="AQ20" s="61">
        <v>5</v>
      </c>
      <c r="AR20" s="61">
        <v>5</v>
      </c>
      <c r="AS20" s="61">
        <v>31</v>
      </c>
      <c r="AT20" s="62">
        <v>31</v>
      </c>
      <c r="AU20" s="63">
        <v>45688.499305555553</v>
      </c>
      <c r="AV20" s="56">
        <v>292</v>
      </c>
      <c r="AW20" t="s">
        <v>157</v>
      </c>
      <c r="AX20" s="58"/>
      <c r="AY20" s="58" t="s">
        <v>60</v>
      </c>
      <c r="AZ20" s="58" t="s">
        <v>60</v>
      </c>
      <c r="BA20" s="56" t="s">
        <v>511</v>
      </c>
      <c r="BB20" s="58" t="s">
        <v>151</v>
      </c>
    </row>
    <row r="21" spans="1:54" x14ac:dyDescent="0.3">
      <c r="A21" s="56" t="s">
        <v>270</v>
      </c>
      <c r="B21" s="57">
        <v>45689</v>
      </c>
      <c r="C21" s="58" t="s">
        <v>163</v>
      </c>
      <c r="D21" s="59">
        <v>4.1666666666666664E-2</v>
      </c>
      <c r="E21" s="59">
        <v>4.1666666666666664E-2</v>
      </c>
      <c r="F21" s="58" t="s">
        <v>456</v>
      </c>
      <c r="G21" s="58" t="s">
        <v>112</v>
      </c>
      <c r="H21" s="58" t="s">
        <v>271</v>
      </c>
      <c r="I21" s="58" t="s">
        <v>272</v>
      </c>
      <c r="J21" s="58" t="s">
        <v>214</v>
      </c>
      <c r="K21" s="58" t="s">
        <v>214</v>
      </c>
      <c r="L21" s="58" t="s">
        <v>60</v>
      </c>
      <c r="M21" s="58" t="s">
        <v>60</v>
      </c>
      <c r="N21" s="58" t="s">
        <v>273</v>
      </c>
      <c r="O21" s="56" t="s">
        <v>274</v>
      </c>
      <c r="P21" s="56">
        <v>6</v>
      </c>
      <c r="Q21" s="58" t="s">
        <v>275</v>
      </c>
      <c r="R21" s="56"/>
      <c r="S21" s="56"/>
      <c r="T21" s="56" t="s">
        <v>276</v>
      </c>
      <c r="U21" s="56" t="s">
        <v>118</v>
      </c>
      <c r="V21" s="56" t="s">
        <v>277</v>
      </c>
      <c r="W21" s="56" t="s">
        <v>66</v>
      </c>
      <c r="X21" s="56"/>
      <c r="Y21" s="56"/>
      <c r="Z21" s="56"/>
      <c r="AA21" s="56"/>
      <c r="AB21" s="58" t="s">
        <v>120</v>
      </c>
      <c r="AC21" s="58" t="s">
        <v>68</v>
      </c>
      <c r="AD21" s="58" t="s">
        <v>245</v>
      </c>
      <c r="AE21" s="56" t="s">
        <v>207</v>
      </c>
      <c r="AF21" s="58" t="s">
        <v>123</v>
      </c>
      <c r="AG21" s="58" t="s">
        <v>72</v>
      </c>
      <c r="AH21" s="58" t="s">
        <v>222</v>
      </c>
      <c r="AI21" s="56">
        <v>9</v>
      </c>
      <c r="AJ21" s="57">
        <v>45689</v>
      </c>
      <c r="AK21" s="59">
        <v>4.1666666666666664E-2</v>
      </c>
      <c r="AL21" s="57"/>
      <c r="AM21" s="59">
        <v>0.10416666666666667</v>
      </c>
      <c r="AN21" s="57">
        <v>45689</v>
      </c>
      <c r="AO21" s="59">
        <v>0.11982638888888889</v>
      </c>
      <c r="AP21" s="56">
        <v>2025</v>
      </c>
      <c r="AQ21" s="61">
        <v>5</v>
      </c>
      <c r="AR21" s="61">
        <v>1</v>
      </c>
      <c r="AS21" s="61">
        <v>1</v>
      </c>
      <c r="AT21" s="62">
        <v>32</v>
      </c>
      <c r="AU21" s="63">
        <v>45689.041666666664</v>
      </c>
      <c r="AV21" s="56">
        <v>453</v>
      </c>
      <c r="AW21" t="s">
        <v>275</v>
      </c>
      <c r="AX21" s="58" t="s">
        <v>278</v>
      </c>
      <c r="AY21" s="58" t="s">
        <v>60</v>
      </c>
      <c r="AZ21" s="58" t="s">
        <v>279</v>
      </c>
      <c r="BA21" s="56" t="s">
        <v>511</v>
      </c>
      <c r="BB21" s="58" t="s">
        <v>173</v>
      </c>
    </row>
    <row r="22" spans="1:54" x14ac:dyDescent="0.3">
      <c r="A22" s="56" t="s">
        <v>383</v>
      </c>
      <c r="B22" s="57">
        <v>45690</v>
      </c>
      <c r="C22" s="58" t="s">
        <v>79</v>
      </c>
      <c r="D22" s="59">
        <v>0.70833333333333337</v>
      </c>
      <c r="E22" s="59">
        <v>0.72569444444444442</v>
      </c>
      <c r="F22" s="58" t="s">
        <v>459</v>
      </c>
      <c r="G22" s="58" t="s">
        <v>112</v>
      </c>
      <c r="H22" s="58" t="s">
        <v>295</v>
      </c>
      <c r="I22" s="58" t="s">
        <v>384</v>
      </c>
      <c r="J22" s="58" t="s">
        <v>385</v>
      </c>
      <c r="K22" s="58" t="s">
        <v>177</v>
      </c>
      <c r="L22" s="58" t="s">
        <v>348</v>
      </c>
      <c r="M22" s="58" t="s">
        <v>60</v>
      </c>
      <c r="N22" s="58" t="s">
        <v>386</v>
      </c>
      <c r="O22" s="56" t="s">
        <v>146</v>
      </c>
      <c r="P22" s="56">
        <v>5</v>
      </c>
      <c r="Q22" s="58" t="s">
        <v>387</v>
      </c>
      <c r="R22" s="56"/>
      <c r="S22" s="56"/>
      <c r="T22" s="56"/>
      <c r="U22" s="56"/>
      <c r="V22" s="56"/>
      <c r="W22" s="56"/>
      <c r="X22" s="56"/>
      <c r="Y22" s="56"/>
      <c r="Z22" s="56"/>
      <c r="AA22" s="56"/>
      <c r="AB22" s="58" t="s">
        <v>67</v>
      </c>
      <c r="AC22" s="58" t="s">
        <v>68</v>
      </c>
      <c r="AD22" s="58" t="s">
        <v>106</v>
      </c>
      <c r="AE22" s="56" t="s">
        <v>70</v>
      </c>
      <c r="AF22" s="58" t="s">
        <v>181</v>
      </c>
      <c r="AG22" s="58" t="s">
        <v>93</v>
      </c>
      <c r="AH22" s="58"/>
      <c r="AI22" s="56">
        <v>9</v>
      </c>
      <c r="AJ22" s="57">
        <v>45690</v>
      </c>
      <c r="AK22" s="59">
        <v>0.72569444444444442</v>
      </c>
      <c r="AL22" s="57">
        <v>45690</v>
      </c>
      <c r="AM22" s="59">
        <v>0.75</v>
      </c>
      <c r="AN22" s="57">
        <v>45691</v>
      </c>
      <c r="AO22" s="59">
        <v>0.50143518518518515</v>
      </c>
      <c r="AP22" s="56">
        <v>2025</v>
      </c>
      <c r="AQ22" s="61">
        <v>6</v>
      </c>
      <c r="AR22" s="61">
        <v>2</v>
      </c>
      <c r="AS22" s="61">
        <v>2</v>
      </c>
      <c r="AT22" s="62">
        <v>33</v>
      </c>
      <c r="AU22" s="63">
        <v>45690.725694444445</v>
      </c>
      <c r="AV22" s="56">
        <v>144</v>
      </c>
      <c r="AW22" t="s">
        <v>387</v>
      </c>
      <c r="AX22" s="58"/>
      <c r="AY22" s="58" t="s">
        <v>388</v>
      </c>
      <c r="AZ22" s="58" t="s">
        <v>60</v>
      </c>
      <c r="BA22" s="56" t="s">
        <v>511</v>
      </c>
      <c r="BB22" s="58" t="s">
        <v>96</v>
      </c>
    </row>
    <row r="23" spans="1:54" x14ac:dyDescent="0.3">
      <c r="A23" s="56" t="s">
        <v>389</v>
      </c>
      <c r="B23" s="57">
        <v>45691</v>
      </c>
      <c r="C23" s="58" t="s">
        <v>79</v>
      </c>
      <c r="D23" s="59">
        <v>0.66666666666666663</v>
      </c>
      <c r="E23" s="59">
        <v>0.694849537037037</v>
      </c>
      <c r="F23" s="58" t="s">
        <v>451</v>
      </c>
      <c r="G23" s="58" t="s">
        <v>112</v>
      </c>
      <c r="H23" s="58" t="s">
        <v>358</v>
      </c>
      <c r="I23" s="58" t="s">
        <v>390</v>
      </c>
      <c r="J23" s="58" t="s">
        <v>348</v>
      </c>
      <c r="K23" s="58" t="s">
        <v>348</v>
      </c>
      <c r="L23" s="58" t="s">
        <v>60</v>
      </c>
      <c r="M23" s="58" t="s">
        <v>60</v>
      </c>
      <c r="N23" s="58" t="s">
        <v>391</v>
      </c>
      <c r="O23" s="56" t="s">
        <v>364</v>
      </c>
      <c r="P23" s="56">
        <v>9</v>
      </c>
      <c r="Q23" s="58" t="s">
        <v>392</v>
      </c>
      <c r="R23" s="56"/>
      <c r="S23" s="56"/>
      <c r="T23" s="56"/>
      <c r="U23" s="56"/>
      <c r="V23" s="56"/>
      <c r="W23" s="56"/>
      <c r="X23" s="56"/>
      <c r="Y23" s="56"/>
      <c r="Z23" s="56"/>
      <c r="AA23" s="56"/>
      <c r="AB23" s="58" t="s">
        <v>89</v>
      </c>
      <c r="AC23" s="58" t="s">
        <v>68</v>
      </c>
      <c r="AD23" s="58" t="s">
        <v>137</v>
      </c>
      <c r="AE23" s="56" t="s">
        <v>70</v>
      </c>
      <c r="AF23" s="58" t="s">
        <v>107</v>
      </c>
      <c r="AG23" s="58" t="s">
        <v>72</v>
      </c>
      <c r="AH23" s="58" t="s">
        <v>354</v>
      </c>
      <c r="AI23" s="56">
        <v>9</v>
      </c>
      <c r="AJ23" s="57"/>
      <c r="AK23" s="59"/>
      <c r="AL23" s="57"/>
      <c r="AM23" s="59"/>
      <c r="AN23" s="57">
        <v>45691</v>
      </c>
      <c r="AO23" s="59">
        <v>0.694849537037037</v>
      </c>
      <c r="AP23" s="56">
        <v>2025</v>
      </c>
      <c r="AQ23" s="61">
        <v>6</v>
      </c>
      <c r="AR23" s="61">
        <v>2</v>
      </c>
      <c r="AS23" s="61">
        <v>3</v>
      </c>
      <c r="AT23" s="62">
        <v>34</v>
      </c>
      <c r="AU23" s="63">
        <v>45691.694444444445</v>
      </c>
      <c r="AV23" s="56">
        <v>400</v>
      </c>
      <c r="AW23" t="s">
        <v>392</v>
      </c>
      <c r="AX23" s="58"/>
      <c r="AY23" s="58" t="s">
        <v>393</v>
      </c>
      <c r="AZ23" s="58" t="s">
        <v>394</v>
      </c>
      <c r="BA23" s="56" t="s">
        <v>511</v>
      </c>
      <c r="BB23" s="58" t="s">
        <v>96</v>
      </c>
    </row>
    <row r="24" spans="1:54" x14ac:dyDescent="0.3">
      <c r="A24" s="56" t="s">
        <v>280</v>
      </c>
      <c r="B24" s="57">
        <v>45691</v>
      </c>
      <c r="C24" s="58" t="s">
        <v>79</v>
      </c>
      <c r="D24" s="59">
        <v>0.75</v>
      </c>
      <c r="E24" s="59">
        <v>0.77083333333333337</v>
      </c>
      <c r="F24" s="58" t="s">
        <v>451</v>
      </c>
      <c r="G24" s="58" t="s">
        <v>112</v>
      </c>
      <c r="H24" s="58" t="s">
        <v>281</v>
      </c>
      <c r="I24" s="58" t="s">
        <v>282</v>
      </c>
      <c r="J24" s="58" t="s">
        <v>214</v>
      </c>
      <c r="K24" s="58" t="s">
        <v>214</v>
      </c>
      <c r="L24" s="58" t="s">
        <v>60</v>
      </c>
      <c r="M24" s="58" t="s">
        <v>60</v>
      </c>
      <c r="N24" s="58" t="s">
        <v>283</v>
      </c>
      <c r="O24" s="56" t="s">
        <v>284</v>
      </c>
      <c r="P24" s="56">
        <v>8</v>
      </c>
      <c r="Q24" s="58" t="s">
        <v>285</v>
      </c>
      <c r="R24" s="56"/>
      <c r="S24" s="56"/>
      <c r="T24" s="56" t="s">
        <v>286</v>
      </c>
      <c r="U24" s="56" t="s">
        <v>287</v>
      </c>
      <c r="V24" s="56" t="s">
        <v>288</v>
      </c>
      <c r="W24" s="56" t="s">
        <v>289</v>
      </c>
      <c r="X24" s="56"/>
      <c r="Y24" s="56"/>
      <c r="Z24" s="56"/>
      <c r="AA24" s="56"/>
      <c r="AB24" s="58" t="s">
        <v>67</v>
      </c>
      <c r="AC24" s="58" t="s">
        <v>68</v>
      </c>
      <c r="AD24" s="58" t="s">
        <v>106</v>
      </c>
      <c r="AE24" s="56" t="s">
        <v>70</v>
      </c>
      <c r="AF24" s="58" t="s">
        <v>71</v>
      </c>
      <c r="AG24" s="58" t="s">
        <v>196</v>
      </c>
      <c r="AH24" s="58" t="s">
        <v>222</v>
      </c>
      <c r="AI24" s="56">
        <v>9</v>
      </c>
      <c r="AJ24" s="57">
        <v>45691</v>
      </c>
      <c r="AK24" s="59">
        <v>0.77083333333333337</v>
      </c>
      <c r="AL24" s="57">
        <v>45692</v>
      </c>
      <c r="AM24" s="59">
        <v>0.79166666666666663</v>
      </c>
      <c r="AN24" s="57">
        <v>45692</v>
      </c>
      <c r="AO24" s="59">
        <v>0.53023148148148147</v>
      </c>
      <c r="AP24" s="56">
        <v>2025</v>
      </c>
      <c r="AQ24" s="61">
        <v>6</v>
      </c>
      <c r="AR24" s="61">
        <v>2</v>
      </c>
      <c r="AS24" s="61">
        <v>3</v>
      </c>
      <c r="AT24" s="62">
        <v>34</v>
      </c>
      <c r="AU24" s="63">
        <v>45691.770833333336</v>
      </c>
      <c r="AV24" s="56">
        <v>55</v>
      </c>
      <c r="AW24" t="s">
        <v>285</v>
      </c>
      <c r="AX24" s="58" t="s">
        <v>290</v>
      </c>
      <c r="AY24" s="58" t="s">
        <v>291</v>
      </c>
      <c r="AZ24" s="58" t="s">
        <v>292</v>
      </c>
      <c r="BA24" s="56" t="s">
        <v>511</v>
      </c>
      <c r="BB24" s="58" t="s">
        <v>96</v>
      </c>
    </row>
    <row r="25" spans="1:54" x14ac:dyDescent="0.3">
      <c r="A25" s="56" t="s">
        <v>162</v>
      </c>
      <c r="B25" s="57">
        <v>45693</v>
      </c>
      <c r="C25" s="58" t="s">
        <v>163</v>
      </c>
      <c r="D25" s="59">
        <v>8.3333333333333329E-2</v>
      </c>
      <c r="E25" s="59">
        <v>0.12291666666666666</v>
      </c>
      <c r="F25" s="58" t="s">
        <v>453</v>
      </c>
      <c r="G25" s="58" t="s">
        <v>112</v>
      </c>
      <c r="H25" s="58" t="s">
        <v>164</v>
      </c>
      <c r="I25" s="58" t="s">
        <v>165</v>
      </c>
      <c r="J25" s="58" t="s">
        <v>167</v>
      </c>
      <c r="K25" s="58" t="s">
        <v>166</v>
      </c>
      <c r="L25" s="58" t="s">
        <v>168</v>
      </c>
      <c r="M25" s="58" t="s">
        <v>60</v>
      </c>
      <c r="N25" s="58" t="s">
        <v>169</v>
      </c>
      <c r="O25" s="56" t="s">
        <v>156</v>
      </c>
      <c r="P25" s="56">
        <v>8</v>
      </c>
      <c r="Q25" s="58" t="s">
        <v>170</v>
      </c>
      <c r="R25" s="56"/>
      <c r="S25" s="56"/>
      <c r="T25" s="56"/>
      <c r="U25" s="56"/>
      <c r="V25" s="56"/>
      <c r="W25" s="56"/>
      <c r="X25" s="56"/>
      <c r="Y25" s="56"/>
      <c r="Z25" s="56"/>
      <c r="AA25" s="56"/>
      <c r="AB25" s="58" t="s">
        <v>120</v>
      </c>
      <c r="AC25" s="58" t="s">
        <v>68</v>
      </c>
      <c r="AD25" s="58" t="s">
        <v>171</v>
      </c>
      <c r="AE25" s="56" t="s">
        <v>91</v>
      </c>
      <c r="AF25" s="58" t="s">
        <v>172</v>
      </c>
      <c r="AG25" s="58" t="s">
        <v>124</v>
      </c>
      <c r="AH25" s="58" t="s">
        <v>138</v>
      </c>
      <c r="AI25" s="56">
        <v>9</v>
      </c>
      <c r="AJ25" s="57">
        <v>45693</v>
      </c>
      <c r="AK25" s="59">
        <v>0.12291666666666666</v>
      </c>
      <c r="AL25" s="57"/>
      <c r="AM25" s="59"/>
      <c r="AN25" s="57">
        <v>45693</v>
      </c>
      <c r="AO25" s="59">
        <v>0.1233912037037037</v>
      </c>
      <c r="AP25" s="56">
        <v>2025</v>
      </c>
      <c r="AQ25" s="61">
        <v>6</v>
      </c>
      <c r="AR25" s="61">
        <v>2</v>
      </c>
      <c r="AS25" s="61">
        <v>5</v>
      </c>
      <c r="AT25" s="62">
        <v>36</v>
      </c>
      <c r="AU25" s="63">
        <v>45693.122916666667</v>
      </c>
      <c r="AV25" s="56">
        <v>441</v>
      </c>
      <c r="AW25" t="s">
        <v>170</v>
      </c>
      <c r="AX25" s="58"/>
      <c r="AY25" s="58" t="s">
        <v>60</v>
      </c>
      <c r="AZ25" s="58" t="s">
        <v>60</v>
      </c>
      <c r="BA25" s="56" t="s">
        <v>510</v>
      </c>
      <c r="BB25" s="58" t="s">
        <v>173</v>
      </c>
    </row>
    <row r="26" spans="1:54" x14ac:dyDescent="0.3">
      <c r="A26" s="56" t="s">
        <v>293</v>
      </c>
      <c r="B26" s="57">
        <v>45695</v>
      </c>
      <c r="C26" s="58" t="s">
        <v>294</v>
      </c>
      <c r="D26" s="59">
        <v>0.25</v>
      </c>
      <c r="E26" s="59">
        <v>0.27430555555555558</v>
      </c>
      <c r="F26" s="58" t="s">
        <v>455</v>
      </c>
      <c r="G26" s="58" t="s">
        <v>112</v>
      </c>
      <c r="H26" s="58" t="s">
        <v>295</v>
      </c>
      <c r="I26" s="58" t="s">
        <v>296</v>
      </c>
      <c r="J26" s="58" t="s">
        <v>214</v>
      </c>
      <c r="K26" s="58" t="s">
        <v>214</v>
      </c>
      <c r="L26" s="58" t="s">
        <v>60</v>
      </c>
      <c r="M26" s="58" t="s">
        <v>60</v>
      </c>
      <c r="N26" s="58" t="s">
        <v>297</v>
      </c>
      <c r="O26" s="56" t="s">
        <v>204</v>
      </c>
      <c r="P26" s="56">
        <v>5</v>
      </c>
      <c r="Q26" s="58" t="s">
        <v>298</v>
      </c>
      <c r="R26" s="56"/>
      <c r="S26" s="56"/>
      <c r="T26" s="56" t="s">
        <v>299</v>
      </c>
      <c r="U26" s="56" t="s">
        <v>300</v>
      </c>
      <c r="V26" s="56" t="s">
        <v>301</v>
      </c>
      <c r="W26" s="56" t="s">
        <v>66</v>
      </c>
      <c r="X26" s="56"/>
      <c r="Y26" s="56"/>
      <c r="Z26" s="56"/>
      <c r="AA26" s="56"/>
      <c r="AB26" s="58" t="s">
        <v>120</v>
      </c>
      <c r="AC26" s="58" t="s">
        <v>68</v>
      </c>
      <c r="AD26" s="58" t="s">
        <v>302</v>
      </c>
      <c r="AE26" s="56" t="s">
        <v>122</v>
      </c>
      <c r="AF26" s="58" t="s">
        <v>181</v>
      </c>
      <c r="AG26" s="58" t="s">
        <v>93</v>
      </c>
      <c r="AH26" s="58" t="s">
        <v>222</v>
      </c>
      <c r="AI26" s="56">
        <v>9</v>
      </c>
      <c r="AJ26" s="57">
        <v>45695</v>
      </c>
      <c r="AK26" s="59">
        <v>0.27430555555555558</v>
      </c>
      <c r="AL26" s="57">
        <v>45695</v>
      </c>
      <c r="AM26" s="59">
        <v>0.28472222222222221</v>
      </c>
      <c r="AN26" s="57">
        <v>45695</v>
      </c>
      <c r="AO26" s="59">
        <v>0.30738425925925927</v>
      </c>
      <c r="AP26" s="56">
        <v>2025</v>
      </c>
      <c r="AQ26" s="61">
        <v>6</v>
      </c>
      <c r="AR26" s="61">
        <v>2</v>
      </c>
      <c r="AS26" s="61">
        <v>7</v>
      </c>
      <c r="AT26" s="62">
        <v>38</v>
      </c>
      <c r="AU26" s="63">
        <v>45695.274305555555</v>
      </c>
      <c r="AV26" s="56">
        <v>170</v>
      </c>
      <c r="AW26" t="s">
        <v>298</v>
      </c>
      <c r="AX26" s="58" t="s">
        <v>303</v>
      </c>
      <c r="AY26" s="58" t="s">
        <v>60</v>
      </c>
      <c r="AZ26" s="58" t="s">
        <v>304</v>
      </c>
      <c r="BA26" s="56" t="s">
        <v>510</v>
      </c>
      <c r="BB26" s="58" t="s">
        <v>305</v>
      </c>
    </row>
    <row r="27" spans="1:54" x14ac:dyDescent="0.3">
      <c r="A27" s="56" t="s">
        <v>438</v>
      </c>
      <c r="B27" s="57">
        <v>45701</v>
      </c>
      <c r="C27" s="58" t="s">
        <v>163</v>
      </c>
      <c r="D27" s="59">
        <v>8.3333333333333329E-2</v>
      </c>
      <c r="E27" s="59">
        <v>8.3333333333333329E-2</v>
      </c>
      <c r="F27" s="58" t="s">
        <v>537</v>
      </c>
      <c r="G27" s="58" t="s">
        <v>112</v>
      </c>
      <c r="H27" s="58" t="s">
        <v>439</v>
      </c>
      <c r="I27" s="58" t="s">
        <v>440</v>
      </c>
      <c r="J27" s="58" t="s">
        <v>442</v>
      </c>
      <c r="K27" s="58" t="s">
        <v>441</v>
      </c>
      <c r="L27" s="58" t="s">
        <v>443</v>
      </c>
      <c r="M27" s="58" t="s">
        <v>348</v>
      </c>
      <c r="N27" s="58" t="s">
        <v>444</v>
      </c>
      <c r="O27" s="56" t="s">
        <v>192</v>
      </c>
      <c r="P27" s="56">
        <v>9</v>
      </c>
      <c r="Q27" s="58" t="s">
        <v>445</v>
      </c>
      <c r="R27" s="56"/>
      <c r="S27" s="56"/>
      <c r="T27" s="56"/>
      <c r="U27" s="56"/>
      <c r="V27" s="56"/>
      <c r="W27" s="56"/>
      <c r="X27" s="56"/>
      <c r="Y27" s="56"/>
      <c r="Z27" s="56"/>
      <c r="AA27" s="56"/>
      <c r="AB27" s="58" t="s">
        <v>446</v>
      </c>
      <c r="AC27" s="58" t="s">
        <v>68</v>
      </c>
      <c r="AD27" s="58" t="s">
        <v>121</v>
      </c>
      <c r="AE27" s="56" t="s">
        <v>122</v>
      </c>
      <c r="AF27" s="58" t="s">
        <v>379</v>
      </c>
      <c r="AG27" s="58" t="s">
        <v>447</v>
      </c>
      <c r="AH27" s="58"/>
      <c r="AI27" s="56">
        <v>9</v>
      </c>
      <c r="AJ27" s="57">
        <v>45701</v>
      </c>
      <c r="AK27" s="59">
        <v>8.3333333333333329E-2</v>
      </c>
      <c r="AL27" s="57"/>
      <c r="AM27" s="59"/>
      <c r="AN27" s="57">
        <v>45701</v>
      </c>
      <c r="AO27" s="59">
        <v>0.51225694444444447</v>
      </c>
      <c r="AP27" s="56">
        <v>2025</v>
      </c>
      <c r="AQ27" s="61">
        <v>7</v>
      </c>
      <c r="AR27" s="61">
        <v>3</v>
      </c>
      <c r="AS27" s="61">
        <v>13</v>
      </c>
      <c r="AT27" s="62">
        <v>44</v>
      </c>
      <c r="AU27" s="63">
        <v>45701.083333333336</v>
      </c>
      <c r="AV27" s="56">
        <v>128</v>
      </c>
      <c r="AW27" t="s">
        <v>445</v>
      </c>
      <c r="AX27" s="58"/>
      <c r="AY27" s="58" t="s">
        <v>448</v>
      </c>
      <c r="AZ27" s="58" t="s">
        <v>449</v>
      </c>
      <c r="BA27" s="56" t="s">
        <v>509</v>
      </c>
      <c r="BB27" s="58" t="s">
        <v>173</v>
      </c>
    </row>
    <row r="28" spans="1:54" x14ac:dyDescent="0.3">
      <c r="A28" s="56" t="s">
        <v>111</v>
      </c>
      <c r="B28" s="57">
        <v>45701</v>
      </c>
      <c r="C28" s="58" t="s">
        <v>79</v>
      </c>
      <c r="D28" s="59">
        <v>0.66666666666666663</v>
      </c>
      <c r="E28" s="59">
        <v>0.66666666666666663</v>
      </c>
      <c r="F28" s="58" t="s">
        <v>537</v>
      </c>
      <c r="G28" s="58" t="s">
        <v>112</v>
      </c>
      <c r="H28" s="58" t="s">
        <v>113</v>
      </c>
      <c r="I28" s="58" t="s">
        <v>113</v>
      </c>
      <c r="J28" s="58" t="s">
        <v>59</v>
      </c>
      <c r="K28" s="58" t="s">
        <v>59</v>
      </c>
      <c r="L28" s="58" t="s">
        <v>60</v>
      </c>
      <c r="M28" s="58" t="s">
        <v>60</v>
      </c>
      <c r="N28" s="58" t="s">
        <v>114</v>
      </c>
      <c r="O28" s="56" t="s">
        <v>115</v>
      </c>
      <c r="P28" s="56">
        <v>6</v>
      </c>
      <c r="Q28" s="58" t="s">
        <v>116</v>
      </c>
      <c r="R28" s="56"/>
      <c r="S28" s="56"/>
      <c r="T28" s="56" t="s">
        <v>117</v>
      </c>
      <c r="U28" s="56" t="s">
        <v>118</v>
      </c>
      <c r="V28" s="56" t="s">
        <v>119</v>
      </c>
      <c r="W28" s="56" t="s">
        <v>66</v>
      </c>
      <c r="X28" s="56"/>
      <c r="Y28" s="56"/>
      <c r="Z28" s="56"/>
      <c r="AA28" s="56"/>
      <c r="AB28" s="58" t="s">
        <v>120</v>
      </c>
      <c r="AC28" s="58" t="s">
        <v>68</v>
      </c>
      <c r="AD28" s="58" t="s">
        <v>121</v>
      </c>
      <c r="AE28" s="56" t="s">
        <v>122</v>
      </c>
      <c r="AF28" s="58" t="s">
        <v>123</v>
      </c>
      <c r="AG28" s="58" t="s">
        <v>124</v>
      </c>
      <c r="AH28" s="58" t="s">
        <v>73</v>
      </c>
      <c r="AI28" s="56">
        <v>9</v>
      </c>
      <c r="AJ28" s="57">
        <v>45701</v>
      </c>
      <c r="AK28" s="59">
        <v>0.66666666666666663</v>
      </c>
      <c r="AL28" s="57"/>
      <c r="AM28" s="59"/>
      <c r="AN28" s="57">
        <v>45702</v>
      </c>
      <c r="AO28" s="59">
        <v>0.29906250000000001</v>
      </c>
      <c r="AP28" s="56">
        <v>2025</v>
      </c>
      <c r="AQ28" s="61">
        <v>7</v>
      </c>
      <c r="AR28" s="61">
        <v>3</v>
      </c>
      <c r="AS28" s="61">
        <v>13</v>
      </c>
      <c r="AT28" s="62">
        <v>44</v>
      </c>
      <c r="AU28" s="63">
        <v>45701.666666666664</v>
      </c>
      <c r="AV28" s="56"/>
      <c r="AW28" t="s">
        <v>116</v>
      </c>
      <c r="AX28" s="58" t="s">
        <v>125</v>
      </c>
      <c r="AY28" s="58" t="s">
        <v>126</v>
      </c>
      <c r="AZ28" s="58" t="s">
        <v>127</v>
      </c>
      <c r="BA28" s="56" t="s">
        <v>509</v>
      </c>
      <c r="BB28" s="58" t="s">
        <v>96</v>
      </c>
    </row>
    <row r="29" spans="1:54" x14ac:dyDescent="0.3">
      <c r="A29" s="56" t="s">
        <v>174</v>
      </c>
      <c r="B29" s="57">
        <v>45705</v>
      </c>
      <c r="C29" s="58" t="s">
        <v>55</v>
      </c>
      <c r="D29" s="59">
        <v>0.5</v>
      </c>
      <c r="E29" s="59">
        <v>0.52497685185185183</v>
      </c>
      <c r="F29" s="58" t="s">
        <v>451</v>
      </c>
      <c r="G29" s="58" t="s">
        <v>112</v>
      </c>
      <c r="H29" s="58" t="s">
        <v>99</v>
      </c>
      <c r="I29" s="58" t="s">
        <v>175</v>
      </c>
      <c r="J29" s="58" t="s">
        <v>176</v>
      </c>
      <c r="K29" s="58" t="s">
        <v>166</v>
      </c>
      <c r="L29" s="58" t="s">
        <v>177</v>
      </c>
      <c r="M29" s="58" t="s">
        <v>60</v>
      </c>
      <c r="N29" s="58" t="s">
        <v>178</v>
      </c>
      <c r="O29" s="56" t="s">
        <v>179</v>
      </c>
      <c r="P29" s="56">
        <v>9</v>
      </c>
      <c r="Q29" s="58" t="s">
        <v>180</v>
      </c>
      <c r="R29" s="56"/>
      <c r="S29" s="56"/>
      <c r="T29" s="56"/>
      <c r="U29" s="56"/>
      <c r="V29" s="56"/>
      <c r="W29" s="56"/>
      <c r="X29" s="56"/>
      <c r="Y29" s="56"/>
      <c r="Z29" s="56"/>
      <c r="AA29" s="56"/>
      <c r="AB29" s="58" t="s">
        <v>67</v>
      </c>
      <c r="AC29" s="58" t="s">
        <v>68</v>
      </c>
      <c r="AD29" s="58" t="s">
        <v>69</v>
      </c>
      <c r="AE29" s="56" t="s">
        <v>70</v>
      </c>
      <c r="AF29" s="58" t="s">
        <v>181</v>
      </c>
      <c r="AG29" s="58" t="s">
        <v>182</v>
      </c>
      <c r="AH29" s="58" t="s">
        <v>138</v>
      </c>
      <c r="AI29" s="56">
        <v>9</v>
      </c>
      <c r="AJ29" s="57">
        <v>45705</v>
      </c>
      <c r="AK29" s="59">
        <v>0.52497685185185183</v>
      </c>
      <c r="AL29" s="57"/>
      <c r="AM29" s="59"/>
      <c r="AN29" s="57">
        <v>45705</v>
      </c>
      <c r="AO29" s="59">
        <v>0.52497685185185183</v>
      </c>
      <c r="AP29" s="56">
        <v>2025</v>
      </c>
      <c r="AQ29" s="61">
        <v>8</v>
      </c>
      <c r="AR29" s="61">
        <v>4</v>
      </c>
      <c r="AS29" s="61">
        <v>17</v>
      </c>
      <c r="AT29" s="62">
        <v>48</v>
      </c>
      <c r="AU29" s="63">
        <v>45705.524305555555</v>
      </c>
      <c r="AV29" s="56">
        <v>35</v>
      </c>
      <c r="AW29" t="s">
        <v>180</v>
      </c>
      <c r="AX29" s="58"/>
      <c r="AY29" s="58" t="s">
        <v>183</v>
      </c>
      <c r="AZ29" s="58" t="s">
        <v>184</v>
      </c>
      <c r="BA29" s="56" t="s">
        <v>509</v>
      </c>
      <c r="BB29" s="58" t="s">
        <v>77</v>
      </c>
    </row>
    <row r="30" spans="1:54" x14ac:dyDescent="0.3">
      <c r="A30" s="56" t="s">
        <v>325</v>
      </c>
      <c r="B30" s="57">
        <v>45705</v>
      </c>
      <c r="C30" s="58" t="s">
        <v>142</v>
      </c>
      <c r="D30" s="59">
        <v>0.375</v>
      </c>
      <c r="E30" s="59">
        <v>0.39716435185185184</v>
      </c>
      <c r="F30" s="58" t="s">
        <v>451</v>
      </c>
      <c r="G30" s="58" t="s">
        <v>112</v>
      </c>
      <c r="H30" s="58" t="s">
        <v>57</v>
      </c>
      <c r="I30" s="58" t="s">
        <v>326</v>
      </c>
      <c r="J30" s="58" t="s">
        <v>214</v>
      </c>
      <c r="K30" s="58" t="s">
        <v>214</v>
      </c>
      <c r="L30" s="58" t="s">
        <v>60</v>
      </c>
      <c r="M30" s="58" t="s">
        <v>60</v>
      </c>
      <c r="N30" s="58" t="s">
        <v>327</v>
      </c>
      <c r="O30" s="56" t="s">
        <v>328</v>
      </c>
      <c r="P30" s="56">
        <v>7</v>
      </c>
      <c r="Q30" s="58" t="s">
        <v>329</v>
      </c>
      <c r="R30" s="56"/>
      <c r="S30" s="56"/>
      <c r="T30" s="56" t="s">
        <v>330</v>
      </c>
      <c r="U30" s="56" t="s">
        <v>64</v>
      </c>
      <c r="V30" s="56" t="s">
        <v>219</v>
      </c>
      <c r="W30" s="56" t="s">
        <v>66</v>
      </c>
      <c r="X30" s="56"/>
      <c r="Y30" s="56"/>
      <c r="Z30" s="56"/>
      <c r="AA30" s="56"/>
      <c r="AB30" s="58" t="s">
        <v>67</v>
      </c>
      <c r="AC30" s="58" t="s">
        <v>68</v>
      </c>
      <c r="AD30" s="58" t="s">
        <v>331</v>
      </c>
      <c r="AE30" s="56" t="s">
        <v>70</v>
      </c>
      <c r="AF30" s="58" t="s">
        <v>123</v>
      </c>
      <c r="AG30" s="58" t="s">
        <v>72</v>
      </c>
      <c r="AH30" s="58" t="s">
        <v>222</v>
      </c>
      <c r="AI30" s="56">
        <v>9</v>
      </c>
      <c r="AJ30" s="57">
        <v>45705</v>
      </c>
      <c r="AK30" s="59">
        <v>0.39716435185185184</v>
      </c>
      <c r="AL30" s="57"/>
      <c r="AM30" s="59"/>
      <c r="AN30" s="57">
        <v>45705</v>
      </c>
      <c r="AO30" s="59">
        <v>0.39716435185185184</v>
      </c>
      <c r="AP30" s="56">
        <v>2025</v>
      </c>
      <c r="AQ30" s="61">
        <v>8</v>
      </c>
      <c r="AR30" s="61">
        <v>4</v>
      </c>
      <c r="AS30" s="61">
        <v>17</v>
      </c>
      <c r="AT30" s="62">
        <v>48</v>
      </c>
      <c r="AU30" s="63">
        <v>45705.396527777775</v>
      </c>
      <c r="AV30" s="56">
        <v>30</v>
      </c>
      <c r="AW30" t="s">
        <v>329</v>
      </c>
      <c r="AX30" s="58" t="s">
        <v>332</v>
      </c>
      <c r="AY30" s="58" t="s">
        <v>60</v>
      </c>
      <c r="AZ30" s="58" t="s">
        <v>60</v>
      </c>
      <c r="BA30" s="56" t="s">
        <v>509</v>
      </c>
      <c r="BB30" s="58" t="s">
        <v>151</v>
      </c>
    </row>
    <row r="31" spans="1:54" x14ac:dyDescent="0.3">
      <c r="A31" s="56" t="s">
        <v>314</v>
      </c>
      <c r="B31" s="57">
        <v>45705</v>
      </c>
      <c r="C31" s="58" t="s">
        <v>142</v>
      </c>
      <c r="D31" s="59">
        <v>0.33333333333333331</v>
      </c>
      <c r="E31" s="59">
        <v>0.34877314814814814</v>
      </c>
      <c r="F31" s="58" t="s">
        <v>451</v>
      </c>
      <c r="G31" s="58" t="s">
        <v>112</v>
      </c>
      <c r="H31" s="58" t="s">
        <v>315</v>
      </c>
      <c r="I31" s="58" t="s">
        <v>316</v>
      </c>
      <c r="J31" s="58" t="s">
        <v>317</v>
      </c>
      <c r="K31" s="58" t="s">
        <v>214</v>
      </c>
      <c r="L31" s="58" t="s">
        <v>318</v>
      </c>
      <c r="M31" s="58" t="s">
        <v>60</v>
      </c>
      <c r="N31" s="58" t="s">
        <v>319</v>
      </c>
      <c r="O31" s="56" t="s">
        <v>135</v>
      </c>
      <c r="P31" s="56">
        <v>7</v>
      </c>
      <c r="Q31" s="58" t="s">
        <v>320</v>
      </c>
      <c r="R31" s="56"/>
      <c r="S31" s="56"/>
      <c r="T31" s="56" t="s">
        <v>321</v>
      </c>
      <c r="U31" s="56" t="s">
        <v>64</v>
      </c>
      <c r="V31" s="56" t="s">
        <v>219</v>
      </c>
      <c r="W31" s="56" t="s">
        <v>66</v>
      </c>
      <c r="X31" s="56"/>
      <c r="Y31" s="56"/>
      <c r="Z31" s="56"/>
      <c r="AA31" s="56"/>
      <c r="AB31" s="58" t="s">
        <v>67</v>
      </c>
      <c r="AC31" s="58" t="s">
        <v>68</v>
      </c>
      <c r="AD31" s="58" t="s">
        <v>69</v>
      </c>
      <c r="AE31" s="56" t="s">
        <v>70</v>
      </c>
      <c r="AF31" s="58" t="s">
        <v>123</v>
      </c>
      <c r="AG31" s="58" t="s">
        <v>124</v>
      </c>
      <c r="AH31" s="58" t="s">
        <v>222</v>
      </c>
      <c r="AI31" s="56">
        <v>9</v>
      </c>
      <c r="AJ31" s="57">
        <v>45705</v>
      </c>
      <c r="AK31" s="59">
        <v>0.34877314814814814</v>
      </c>
      <c r="AL31" s="57"/>
      <c r="AM31" s="59"/>
      <c r="AN31" s="57">
        <v>45705</v>
      </c>
      <c r="AO31" s="59">
        <v>0.34877314814814814</v>
      </c>
      <c r="AP31" s="56">
        <v>2025</v>
      </c>
      <c r="AQ31" s="61">
        <v>8</v>
      </c>
      <c r="AR31" s="61">
        <v>4</v>
      </c>
      <c r="AS31" s="61">
        <v>17</v>
      </c>
      <c r="AT31" s="62">
        <v>48</v>
      </c>
      <c r="AU31" s="63">
        <v>45705.348611111112</v>
      </c>
      <c r="AV31" s="56">
        <v>100</v>
      </c>
      <c r="AW31" t="s">
        <v>320</v>
      </c>
      <c r="AX31" s="58" t="s">
        <v>322</v>
      </c>
      <c r="AY31" s="58" t="s">
        <v>323</v>
      </c>
      <c r="AZ31" s="58" t="s">
        <v>324</v>
      </c>
      <c r="BA31" s="56" t="s">
        <v>509</v>
      </c>
      <c r="BB31" s="58" t="s">
        <v>151</v>
      </c>
    </row>
    <row r="32" spans="1:54" x14ac:dyDescent="0.3">
      <c r="A32" s="56" t="s">
        <v>421</v>
      </c>
      <c r="B32" s="57">
        <v>45705</v>
      </c>
      <c r="C32" s="58" t="s">
        <v>98</v>
      </c>
      <c r="D32" s="59">
        <v>0.83333333333333337</v>
      </c>
      <c r="E32" s="59">
        <v>0.83333333333333337</v>
      </c>
      <c r="F32" s="58" t="s">
        <v>451</v>
      </c>
      <c r="G32" s="58" t="s">
        <v>112</v>
      </c>
      <c r="H32" s="58" t="s">
        <v>422</v>
      </c>
      <c r="I32" s="58" t="s">
        <v>423</v>
      </c>
      <c r="J32" s="58" t="s">
        <v>425</v>
      </c>
      <c r="K32" s="58" t="s">
        <v>424</v>
      </c>
      <c r="L32" s="58" t="s">
        <v>413</v>
      </c>
      <c r="M32" s="58" t="s">
        <v>60</v>
      </c>
      <c r="N32" s="58" t="s">
        <v>426</v>
      </c>
      <c r="O32" s="56" t="s">
        <v>427</v>
      </c>
      <c r="P32" s="56">
        <v>8</v>
      </c>
      <c r="Q32" s="58" t="s">
        <v>428</v>
      </c>
      <c r="R32" s="56"/>
      <c r="S32" s="56"/>
      <c r="T32" s="56"/>
      <c r="U32" s="56"/>
      <c r="V32" s="56"/>
      <c r="W32" s="56"/>
      <c r="X32" s="56"/>
      <c r="Y32" s="56"/>
      <c r="Z32" s="56"/>
      <c r="AA32" s="56"/>
      <c r="AB32" s="58" t="s">
        <v>417</v>
      </c>
      <c r="AC32" s="58" t="s">
        <v>68</v>
      </c>
      <c r="AD32" s="58" t="s">
        <v>107</v>
      </c>
      <c r="AE32" s="56" t="s">
        <v>418</v>
      </c>
      <c r="AF32" s="58" t="s">
        <v>107</v>
      </c>
      <c r="AG32" s="58" t="s">
        <v>267</v>
      </c>
      <c r="AH32" s="58"/>
      <c r="AI32" s="56">
        <v>9</v>
      </c>
      <c r="AJ32" s="57">
        <v>45705</v>
      </c>
      <c r="AK32" s="59">
        <v>0.83333333333333337</v>
      </c>
      <c r="AL32" s="57">
        <v>45705</v>
      </c>
      <c r="AM32" s="59">
        <v>0.98958333333333337</v>
      </c>
      <c r="AN32" s="57">
        <v>45706</v>
      </c>
      <c r="AO32" s="59">
        <v>0.73564814814814816</v>
      </c>
      <c r="AP32" s="56">
        <v>2025</v>
      </c>
      <c r="AQ32" s="61">
        <v>8</v>
      </c>
      <c r="AR32" s="61">
        <v>4</v>
      </c>
      <c r="AS32" s="61">
        <v>17</v>
      </c>
      <c r="AT32" s="62">
        <v>48</v>
      </c>
      <c r="AU32" s="63">
        <v>45705.833333333336</v>
      </c>
      <c r="AV32" s="56">
        <v>240</v>
      </c>
      <c r="AW32" t="s">
        <v>428</v>
      </c>
      <c r="AX32" s="58"/>
      <c r="AY32" s="58" t="s">
        <v>429</v>
      </c>
      <c r="AZ32" s="58" t="s">
        <v>60</v>
      </c>
      <c r="BA32" s="56" t="s">
        <v>509</v>
      </c>
      <c r="BB32" s="58" t="s">
        <v>110</v>
      </c>
    </row>
    <row r="33" spans="1:54" x14ac:dyDescent="0.3">
      <c r="A33" s="56" t="s">
        <v>430</v>
      </c>
      <c r="B33" s="57">
        <v>45708</v>
      </c>
      <c r="C33" s="58" t="s">
        <v>55</v>
      </c>
      <c r="D33" s="59">
        <v>0.5</v>
      </c>
      <c r="E33" s="59">
        <v>0.53615740740740736</v>
      </c>
      <c r="F33" s="58" t="s">
        <v>452</v>
      </c>
      <c r="G33" s="58" t="s">
        <v>112</v>
      </c>
      <c r="H33" s="58" t="s">
        <v>431</v>
      </c>
      <c r="I33" s="58" t="s">
        <v>432</v>
      </c>
      <c r="J33" s="58" t="s">
        <v>413</v>
      </c>
      <c r="K33" s="58" t="s">
        <v>413</v>
      </c>
      <c r="L33" s="58" t="s">
        <v>60</v>
      </c>
      <c r="M33" s="58" t="s">
        <v>60</v>
      </c>
      <c r="N33" s="58" t="s">
        <v>433</v>
      </c>
      <c r="O33" s="56" t="s">
        <v>102</v>
      </c>
      <c r="P33" s="56">
        <v>8</v>
      </c>
      <c r="Q33" s="58" t="s">
        <v>434</v>
      </c>
      <c r="R33" s="56"/>
      <c r="S33" s="56"/>
      <c r="T33" s="56"/>
      <c r="U33" s="56"/>
      <c r="V33" s="56"/>
      <c r="W33" s="56"/>
      <c r="X33" s="56"/>
      <c r="Y33" s="56"/>
      <c r="Z33" s="56"/>
      <c r="AA33" s="56"/>
      <c r="AB33" s="58" t="s">
        <v>67</v>
      </c>
      <c r="AC33" s="58" t="s">
        <v>68</v>
      </c>
      <c r="AD33" s="58" t="s">
        <v>435</v>
      </c>
      <c r="AE33" s="56" t="s">
        <v>70</v>
      </c>
      <c r="AF33" s="58" t="s">
        <v>353</v>
      </c>
      <c r="AG33" s="58" t="s">
        <v>436</v>
      </c>
      <c r="AH33" s="58" t="s">
        <v>437</v>
      </c>
      <c r="AI33" s="56">
        <v>9</v>
      </c>
      <c r="AJ33" s="57">
        <v>42906</v>
      </c>
      <c r="AK33" s="59">
        <v>0.53615740740740736</v>
      </c>
      <c r="AL33" s="57">
        <v>45555</v>
      </c>
      <c r="AM33" s="59"/>
      <c r="AN33" s="57">
        <v>45708</v>
      </c>
      <c r="AO33" s="59">
        <v>0.53615740740740736</v>
      </c>
      <c r="AP33" s="56">
        <v>2017</v>
      </c>
      <c r="AQ33" s="61">
        <v>25</v>
      </c>
      <c r="AR33" s="61">
        <v>4</v>
      </c>
      <c r="AS33" s="61">
        <v>20</v>
      </c>
      <c r="AT33" s="62">
        <v>171</v>
      </c>
      <c r="AU33" s="63">
        <v>42906.536111111112</v>
      </c>
      <c r="AV33" s="56">
        <v>360</v>
      </c>
      <c r="AW33" t="s">
        <v>434</v>
      </c>
      <c r="AX33" s="58"/>
      <c r="AY33" s="58" t="s">
        <v>60</v>
      </c>
      <c r="AZ33" s="58" t="s">
        <v>60</v>
      </c>
      <c r="BA33" s="56" t="s">
        <v>508</v>
      </c>
      <c r="BB33" s="58" t="s">
        <v>77</v>
      </c>
    </row>
    <row r="34" spans="1:54" x14ac:dyDescent="0.3">
      <c r="A34" s="56" t="s">
        <v>333</v>
      </c>
      <c r="B34" s="57">
        <v>45713</v>
      </c>
      <c r="C34" s="58" t="s">
        <v>142</v>
      </c>
      <c r="D34" s="59">
        <v>0.41666666666666669</v>
      </c>
      <c r="E34" s="59">
        <v>0.41666666666666669</v>
      </c>
      <c r="F34" s="58" t="s">
        <v>452</v>
      </c>
      <c r="G34" s="58" t="s">
        <v>112</v>
      </c>
      <c r="H34" s="58" t="s">
        <v>334</v>
      </c>
      <c r="I34" s="58" t="s">
        <v>335</v>
      </c>
      <c r="J34" s="58" t="s">
        <v>214</v>
      </c>
      <c r="K34" s="58" t="s">
        <v>214</v>
      </c>
      <c r="L34" s="58" t="s">
        <v>60</v>
      </c>
      <c r="M34" s="58" t="s">
        <v>60</v>
      </c>
      <c r="N34" s="58" t="s">
        <v>336</v>
      </c>
      <c r="O34" s="56" t="s">
        <v>251</v>
      </c>
      <c r="P34" s="56">
        <v>5</v>
      </c>
      <c r="Q34" s="58" t="s">
        <v>337</v>
      </c>
      <c r="R34" s="56"/>
      <c r="S34" s="56"/>
      <c r="T34" s="56" t="s">
        <v>338</v>
      </c>
      <c r="U34" s="56" t="s">
        <v>64</v>
      </c>
      <c r="V34" s="56" t="s">
        <v>339</v>
      </c>
      <c r="W34" s="56" t="s">
        <v>340</v>
      </c>
      <c r="X34" s="56"/>
      <c r="Y34" s="56"/>
      <c r="Z34" s="56"/>
      <c r="AA34" s="56"/>
      <c r="AB34" s="58" t="s">
        <v>158</v>
      </c>
      <c r="AC34" s="58" t="s">
        <v>68</v>
      </c>
      <c r="AD34" s="58" t="s">
        <v>159</v>
      </c>
      <c r="AE34" s="56" t="s">
        <v>160</v>
      </c>
      <c r="AF34" s="58"/>
      <c r="AG34" s="58"/>
      <c r="AH34" s="58"/>
      <c r="AI34" s="56">
        <v>9</v>
      </c>
      <c r="AJ34" s="57">
        <v>45713</v>
      </c>
      <c r="AK34" s="59">
        <v>0.41666666666666669</v>
      </c>
      <c r="AL34" s="57">
        <v>45713</v>
      </c>
      <c r="AM34" s="59">
        <v>0.95833333333333337</v>
      </c>
      <c r="AN34" s="57">
        <v>45712</v>
      </c>
      <c r="AO34" s="59">
        <v>0.99136574074074069</v>
      </c>
      <c r="AP34" s="56">
        <v>2025</v>
      </c>
      <c r="AQ34" s="61">
        <v>9</v>
      </c>
      <c r="AR34" s="61">
        <v>5</v>
      </c>
      <c r="AS34" s="61">
        <v>25</v>
      </c>
      <c r="AT34" s="62">
        <v>56</v>
      </c>
      <c r="AU34" s="63">
        <v>45713.416666666664</v>
      </c>
      <c r="AV34" s="56">
        <v>430</v>
      </c>
      <c r="AW34" t="s">
        <v>337</v>
      </c>
      <c r="AX34" s="58" t="s">
        <v>341</v>
      </c>
      <c r="AY34" s="58" t="s">
        <v>60</v>
      </c>
      <c r="AZ34" s="58" t="s">
        <v>60</v>
      </c>
      <c r="BA34" s="56" t="s">
        <v>507</v>
      </c>
      <c r="BB34" s="58" t="s">
        <v>151</v>
      </c>
    </row>
    <row r="35" spans="1:54" x14ac:dyDescent="0.3">
      <c r="A35" s="56" t="s">
        <v>485</v>
      </c>
      <c r="B35" s="57">
        <v>45720</v>
      </c>
      <c r="C35" s="58" t="s">
        <v>79</v>
      </c>
      <c r="D35" s="59">
        <v>0.75</v>
      </c>
      <c r="E35" s="59">
        <v>0.79126157407407405</v>
      </c>
      <c r="F35" s="58" t="s">
        <v>452</v>
      </c>
      <c r="G35" s="58" t="s">
        <v>462</v>
      </c>
      <c r="H35" s="58" t="s">
        <v>486</v>
      </c>
      <c r="I35" s="58" t="s">
        <v>487</v>
      </c>
      <c r="J35" s="58" t="s">
        <v>348</v>
      </c>
      <c r="K35" s="58" t="s">
        <v>348</v>
      </c>
      <c r="L35" s="58" t="s">
        <v>60</v>
      </c>
      <c r="M35" s="58" t="s">
        <v>60</v>
      </c>
      <c r="N35" s="58" t="s">
        <v>488</v>
      </c>
      <c r="O35" s="56" t="s">
        <v>262</v>
      </c>
      <c r="P35" s="56">
        <v>6</v>
      </c>
      <c r="Q35" s="58" t="s">
        <v>489</v>
      </c>
      <c r="R35" s="56"/>
      <c r="S35" s="56"/>
      <c r="T35" s="56"/>
      <c r="U35" s="56"/>
      <c r="V35" s="56"/>
      <c r="W35" s="56"/>
      <c r="X35" s="56"/>
      <c r="Y35" s="56"/>
      <c r="Z35" s="56"/>
      <c r="AA35" s="56"/>
      <c r="AB35" s="58" t="s">
        <v>417</v>
      </c>
      <c r="AC35" s="58" t="s">
        <v>68</v>
      </c>
      <c r="AD35" s="58" t="s">
        <v>490</v>
      </c>
      <c r="AE35" s="56" t="s">
        <v>207</v>
      </c>
      <c r="AF35" s="58" t="s">
        <v>71</v>
      </c>
      <c r="AG35" s="58" t="s">
        <v>124</v>
      </c>
      <c r="AH35" s="58" t="s">
        <v>354</v>
      </c>
      <c r="AI35" s="56">
        <v>9</v>
      </c>
      <c r="AJ35" s="57">
        <v>45720</v>
      </c>
      <c r="AK35" s="59">
        <v>0.79126157407407405</v>
      </c>
      <c r="AL35" s="57"/>
      <c r="AM35" s="59"/>
      <c r="AN35" s="57">
        <v>45720</v>
      </c>
      <c r="AO35" s="59">
        <v>0.79126157407407405</v>
      </c>
      <c r="AP35" s="56">
        <v>2025</v>
      </c>
      <c r="AQ35" s="61">
        <v>10</v>
      </c>
      <c r="AR35" s="61">
        <v>2</v>
      </c>
      <c r="AS35" s="61">
        <v>4</v>
      </c>
      <c r="AT35" s="62">
        <v>63</v>
      </c>
      <c r="AU35" s="63">
        <v>45720.790972222225</v>
      </c>
      <c r="AV35" s="56">
        <v>216</v>
      </c>
      <c r="AW35" t="s">
        <v>489</v>
      </c>
      <c r="AX35" s="58"/>
      <c r="AY35" s="58" t="s">
        <v>491</v>
      </c>
      <c r="AZ35" s="58" t="s">
        <v>492</v>
      </c>
      <c r="BA35" s="56" t="s">
        <v>506</v>
      </c>
      <c r="BB35" s="58" t="s">
        <v>96</v>
      </c>
    </row>
    <row r="36" spans="1:54" x14ac:dyDescent="0.3">
      <c r="A36" s="56" t="s">
        <v>493</v>
      </c>
      <c r="B36" s="57">
        <v>45720</v>
      </c>
      <c r="C36" s="58" t="s">
        <v>55</v>
      </c>
      <c r="D36" s="59">
        <v>0.625</v>
      </c>
      <c r="E36" s="59">
        <v>0.64097222222222228</v>
      </c>
      <c r="F36" s="58" t="s">
        <v>452</v>
      </c>
      <c r="G36" s="58" t="s">
        <v>462</v>
      </c>
      <c r="H36" s="58" t="s">
        <v>494</v>
      </c>
      <c r="I36" s="58" t="s">
        <v>495</v>
      </c>
      <c r="J36" s="58" t="s">
        <v>496</v>
      </c>
      <c r="K36" s="58" t="s">
        <v>348</v>
      </c>
      <c r="L36" s="58" t="s">
        <v>497</v>
      </c>
      <c r="M36" s="58" t="s">
        <v>345</v>
      </c>
      <c r="N36" s="58" t="s">
        <v>498</v>
      </c>
      <c r="O36" s="56" t="s">
        <v>85</v>
      </c>
      <c r="P36" s="56">
        <v>8</v>
      </c>
      <c r="Q36" s="58" t="s">
        <v>499</v>
      </c>
      <c r="R36" s="56"/>
      <c r="S36" s="56"/>
      <c r="T36" s="56" t="s">
        <v>500</v>
      </c>
      <c r="U36" s="56" t="s">
        <v>501</v>
      </c>
      <c r="V36" s="56" t="s">
        <v>502</v>
      </c>
      <c r="W36" s="56" t="s">
        <v>66</v>
      </c>
      <c r="X36" s="56"/>
      <c r="Y36" s="56"/>
      <c r="Z36" s="56"/>
      <c r="AA36" s="56"/>
      <c r="AB36" s="58" t="s">
        <v>417</v>
      </c>
      <c r="AC36" s="58" t="s">
        <v>68</v>
      </c>
      <c r="AD36" s="58" t="s">
        <v>503</v>
      </c>
      <c r="AE36" s="56" t="s">
        <v>160</v>
      </c>
      <c r="AF36" s="58" t="s">
        <v>379</v>
      </c>
      <c r="AG36" s="58" t="s">
        <v>196</v>
      </c>
      <c r="AH36" s="58" t="s">
        <v>354</v>
      </c>
      <c r="AI36" s="56">
        <v>9</v>
      </c>
      <c r="AJ36" s="57">
        <v>45720</v>
      </c>
      <c r="AK36" s="59">
        <v>0.64097222222222228</v>
      </c>
      <c r="AL36" s="57"/>
      <c r="AM36" s="59"/>
      <c r="AN36" s="57">
        <v>45720</v>
      </c>
      <c r="AO36" s="59">
        <v>0.64444444444444449</v>
      </c>
      <c r="AP36" s="56">
        <v>2025</v>
      </c>
      <c r="AQ36" s="61">
        <v>10</v>
      </c>
      <c r="AR36" s="61">
        <v>2</v>
      </c>
      <c r="AS36" s="61">
        <v>4</v>
      </c>
      <c r="AT36" s="62">
        <v>63</v>
      </c>
      <c r="AU36" s="63">
        <v>45720.640972222223</v>
      </c>
      <c r="AV36" s="56">
        <v>195</v>
      </c>
      <c r="AW36" t="s">
        <v>499</v>
      </c>
      <c r="AX36" s="58" t="s">
        <v>504</v>
      </c>
      <c r="AY36" s="58" t="s">
        <v>505</v>
      </c>
      <c r="AZ36" s="58" t="s">
        <v>60</v>
      </c>
      <c r="BA36" s="56" t="s">
        <v>506</v>
      </c>
      <c r="BB36" s="58" t="s">
        <v>77</v>
      </c>
    </row>
    <row r="37" spans="1:54" x14ac:dyDescent="0.3">
      <c r="A37" s="56" t="s">
        <v>461</v>
      </c>
      <c r="B37" s="57">
        <v>45722</v>
      </c>
      <c r="C37" s="58" t="s">
        <v>98</v>
      </c>
      <c r="D37" s="59">
        <v>0.91666666666666663</v>
      </c>
      <c r="E37" s="59">
        <v>0.94149305555555551</v>
      </c>
      <c r="F37" s="58" t="s">
        <v>537</v>
      </c>
      <c r="G37" s="58" t="s">
        <v>462</v>
      </c>
      <c r="H37" s="58" t="s">
        <v>463</v>
      </c>
      <c r="I37" s="58" t="s">
        <v>464</v>
      </c>
      <c r="J37" s="58" t="s">
        <v>59</v>
      </c>
      <c r="K37" s="58" t="s">
        <v>59</v>
      </c>
      <c r="L37" s="58" t="s">
        <v>60</v>
      </c>
      <c r="M37" s="58" t="s">
        <v>60</v>
      </c>
      <c r="N37" s="58" t="s">
        <v>465</v>
      </c>
      <c r="O37" s="56" t="s">
        <v>85</v>
      </c>
      <c r="P37" s="56">
        <v>8</v>
      </c>
      <c r="Q37" s="58" t="s">
        <v>466</v>
      </c>
      <c r="R37" s="56"/>
      <c r="S37" s="56"/>
      <c r="T37" s="56" t="s">
        <v>467</v>
      </c>
      <c r="U37" s="56" t="s">
        <v>118</v>
      </c>
      <c r="V37" s="56" t="s">
        <v>468</v>
      </c>
      <c r="W37" s="56" t="s">
        <v>66</v>
      </c>
      <c r="X37" s="56"/>
      <c r="Y37" s="56"/>
      <c r="Z37" s="56"/>
      <c r="AA37" s="56"/>
      <c r="AB37" s="58" t="s">
        <v>469</v>
      </c>
      <c r="AC37" s="58" t="s">
        <v>68</v>
      </c>
      <c r="AD37" s="58" t="s">
        <v>69</v>
      </c>
      <c r="AE37" s="56" t="s">
        <v>70</v>
      </c>
      <c r="AF37" s="58" t="s">
        <v>161</v>
      </c>
      <c r="AG37" s="58" t="s">
        <v>124</v>
      </c>
      <c r="AH37" s="58"/>
      <c r="AI37" s="56">
        <v>9</v>
      </c>
      <c r="AJ37" s="57">
        <v>45722</v>
      </c>
      <c r="AK37" s="59">
        <v>0.94149305555555551</v>
      </c>
      <c r="AL37" s="57"/>
      <c r="AM37" s="59"/>
      <c r="AN37" s="57">
        <v>45722</v>
      </c>
      <c r="AO37" s="59">
        <v>0.94149305555555551</v>
      </c>
      <c r="AP37" s="56">
        <v>2025</v>
      </c>
      <c r="AQ37" s="61">
        <v>10</v>
      </c>
      <c r="AR37" s="61">
        <v>2</v>
      </c>
      <c r="AS37" s="61">
        <v>6</v>
      </c>
      <c r="AT37" s="62">
        <v>65</v>
      </c>
      <c r="AU37" s="63">
        <v>45722.940972222219</v>
      </c>
      <c r="AV37" s="56">
        <v>216</v>
      </c>
      <c r="AW37" t="s">
        <v>466</v>
      </c>
      <c r="AX37" s="58" t="s">
        <v>470</v>
      </c>
      <c r="AY37" s="58" t="s">
        <v>471</v>
      </c>
      <c r="AZ37" s="58" t="s">
        <v>472</v>
      </c>
      <c r="BA37" s="56" t="s">
        <v>506</v>
      </c>
      <c r="BB37" s="58" t="s">
        <v>110</v>
      </c>
    </row>
    <row r="38" spans="1:54" x14ac:dyDescent="0.3">
      <c r="A38" s="56" t="s">
        <v>473</v>
      </c>
      <c r="B38" s="57">
        <v>45725</v>
      </c>
      <c r="C38" s="58" t="s">
        <v>79</v>
      </c>
      <c r="D38" s="59">
        <v>0.79166666666666663</v>
      </c>
      <c r="E38" s="59">
        <v>0.8125</v>
      </c>
      <c r="F38" s="58" t="s">
        <v>459</v>
      </c>
      <c r="G38" s="58" t="s">
        <v>462</v>
      </c>
      <c r="H38" s="58" t="s">
        <v>474</v>
      </c>
      <c r="I38" s="58" t="s">
        <v>475</v>
      </c>
      <c r="J38" s="58" t="s">
        <v>59</v>
      </c>
      <c r="K38" s="58" t="s">
        <v>59</v>
      </c>
      <c r="L38" s="58" t="s">
        <v>60</v>
      </c>
      <c r="M38" s="58" t="s">
        <v>60</v>
      </c>
      <c r="N38" s="58" t="s">
        <v>476</v>
      </c>
      <c r="O38" s="56" t="s">
        <v>135</v>
      </c>
      <c r="P38" s="56">
        <v>7</v>
      </c>
      <c r="Q38" s="58" t="s">
        <v>477</v>
      </c>
      <c r="R38" s="56"/>
      <c r="S38" s="56"/>
      <c r="T38" s="56" t="s">
        <v>478</v>
      </c>
      <c r="U38" s="56" t="s">
        <v>479</v>
      </c>
      <c r="V38" s="56" t="s">
        <v>480</v>
      </c>
      <c r="W38" s="56" t="s">
        <v>66</v>
      </c>
      <c r="X38" s="56"/>
      <c r="Y38" s="56"/>
      <c r="Z38" s="56"/>
      <c r="AA38" s="56"/>
      <c r="AB38" s="58" t="s">
        <v>158</v>
      </c>
      <c r="AC38" s="58" t="s">
        <v>68</v>
      </c>
      <c r="AD38" s="58" t="s">
        <v>481</v>
      </c>
      <c r="AE38" s="56" t="s">
        <v>352</v>
      </c>
      <c r="AF38" s="58"/>
      <c r="AG38" s="58"/>
      <c r="AH38" s="58"/>
      <c r="AI38" s="56">
        <v>9</v>
      </c>
      <c r="AJ38" s="57">
        <v>45725</v>
      </c>
      <c r="AK38" s="59">
        <v>0.8125</v>
      </c>
      <c r="AL38" s="57">
        <v>45726</v>
      </c>
      <c r="AM38" s="59">
        <v>0.35416666666666669</v>
      </c>
      <c r="AN38" s="57">
        <v>45726</v>
      </c>
      <c r="AO38" s="59">
        <v>0.37046296296296294</v>
      </c>
      <c r="AP38" s="56">
        <v>2025</v>
      </c>
      <c r="AQ38" s="61">
        <v>11</v>
      </c>
      <c r="AR38" s="61">
        <v>3</v>
      </c>
      <c r="AS38" s="61">
        <v>9</v>
      </c>
      <c r="AT38" s="62">
        <v>68</v>
      </c>
      <c r="AU38" s="63">
        <v>45725.8125</v>
      </c>
      <c r="AV38" s="56">
        <v>282</v>
      </c>
      <c r="AW38" t="s">
        <v>477</v>
      </c>
      <c r="AX38" s="58" t="s">
        <v>482</v>
      </c>
      <c r="AY38" s="58" t="s">
        <v>483</v>
      </c>
      <c r="AZ38" s="58" t="s">
        <v>484</v>
      </c>
      <c r="BA38" s="56" t="s">
        <v>506</v>
      </c>
      <c r="BB38" s="58" t="s">
        <v>96</v>
      </c>
    </row>
    <row r="39" spans="1:54" x14ac:dyDescent="0.3">
      <c r="A39" s="56" t="s">
        <v>530</v>
      </c>
      <c r="B39" s="57">
        <v>45726</v>
      </c>
      <c r="C39" s="58" t="s">
        <v>163</v>
      </c>
      <c r="D39" s="59">
        <v>4.1666666666666664E-2</v>
      </c>
      <c r="E39" s="59">
        <v>4.6527777777777779E-2</v>
      </c>
      <c r="F39" s="58" t="s">
        <v>451</v>
      </c>
      <c r="G39" s="58" t="s">
        <v>462</v>
      </c>
      <c r="H39" s="58" t="s">
        <v>531</v>
      </c>
      <c r="I39" s="58" t="s">
        <v>532</v>
      </c>
      <c r="J39" s="58" t="s">
        <v>133</v>
      </c>
      <c r="K39" s="58" t="s">
        <v>133</v>
      </c>
      <c r="L39" s="58" t="s">
        <v>60</v>
      </c>
      <c r="M39" s="58" t="s">
        <v>60</v>
      </c>
      <c r="N39" s="58" t="s">
        <v>533</v>
      </c>
      <c r="O39" s="56" t="s">
        <v>284</v>
      </c>
      <c r="P39" s="56">
        <v>8</v>
      </c>
      <c r="Q39" s="58" t="s">
        <v>534</v>
      </c>
      <c r="R39" s="56"/>
      <c r="S39" s="56"/>
      <c r="T39" s="56"/>
      <c r="U39" s="56"/>
      <c r="V39" s="56"/>
      <c r="W39" s="56"/>
      <c r="X39" s="56"/>
      <c r="Y39" s="56"/>
      <c r="Z39" s="56"/>
      <c r="AA39" s="56"/>
      <c r="AB39" s="58" t="s">
        <v>535</v>
      </c>
      <c r="AC39" s="58" t="s">
        <v>68</v>
      </c>
      <c r="AD39" s="58" t="s">
        <v>220</v>
      </c>
      <c r="AE39" s="56" t="s">
        <v>160</v>
      </c>
      <c r="AF39" s="58" t="s">
        <v>107</v>
      </c>
      <c r="AG39" s="58" t="s">
        <v>124</v>
      </c>
      <c r="AH39" s="58" t="s">
        <v>138</v>
      </c>
      <c r="AI39" s="56">
        <v>9</v>
      </c>
      <c r="AJ39" s="57">
        <v>45726</v>
      </c>
      <c r="AK39" s="59">
        <v>4.6527777777777779E-2</v>
      </c>
      <c r="AL39" s="57">
        <v>45726</v>
      </c>
      <c r="AM39" s="59">
        <v>0.16180555555555556</v>
      </c>
      <c r="AN39" s="57">
        <v>45727</v>
      </c>
      <c r="AO39" s="59">
        <v>0.44234953703703705</v>
      </c>
      <c r="AP39" s="56">
        <v>2025</v>
      </c>
      <c r="AQ39" s="61">
        <v>11</v>
      </c>
      <c r="AR39" s="61">
        <v>3</v>
      </c>
      <c r="AS39" s="61">
        <v>10</v>
      </c>
      <c r="AT39" s="62">
        <v>69</v>
      </c>
      <c r="AU39" s="63">
        <v>45726.046527777777</v>
      </c>
      <c r="AV39" s="56">
        <v>1</v>
      </c>
      <c r="AW39" t="s">
        <v>534</v>
      </c>
      <c r="AX39" s="58"/>
      <c r="AY39" s="58" t="s">
        <v>536</v>
      </c>
      <c r="AZ39" s="58" t="s">
        <v>60</v>
      </c>
      <c r="BA39" s="56" t="s">
        <v>506</v>
      </c>
      <c r="BB39" s="58" t="s">
        <v>173</v>
      </c>
    </row>
    <row r="40" spans="1:54" x14ac:dyDescent="0.3">
      <c r="A40" s="56" t="s">
        <v>517</v>
      </c>
      <c r="B40" s="57">
        <v>45727</v>
      </c>
      <c r="C40" s="58" t="s">
        <v>55</v>
      </c>
      <c r="D40" s="59">
        <v>0.58333333333333337</v>
      </c>
      <c r="E40" s="59">
        <v>0.60416666666666663</v>
      </c>
      <c r="F40" s="58" t="s">
        <v>452</v>
      </c>
      <c r="G40" s="58" t="s">
        <v>462</v>
      </c>
      <c r="H40" s="58" t="s">
        <v>518</v>
      </c>
      <c r="I40" s="58" t="s">
        <v>519</v>
      </c>
      <c r="J40" s="58" t="s">
        <v>59</v>
      </c>
      <c r="K40" s="58" t="s">
        <v>59</v>
      </c>
      <c r="L40" s="58" t="s">
        <v>60</v>
      </c>
      <c r="M40" s="58" t="s">
        <v>60</v>
      </c>
      <c r="N40" s="58" t="s">
        <v>520</v>
      </c>
      <c r="O40" s="56" t="s">
        <v>85</v>
      </c>
      <c r="P40" s="56">
        <v>8</v>
      </c>
      <c r="Q40" s="58" t="s">
        <v>521</v>
      </c>
      <c r="R40" s="56"/>
      <c r="S40" s="56"/>
      <c r="T40" s="56" t="s">
        <v>522</v>
      </c>
      <c r="U40" s="56" t="s">
        <v>523</v>
      </c>
      <c r="V40" s="56" t="s">
        <v>524</v>
      </c>
      <c r="W40" s="56" t="s">
        <v>66</v>
      </c>
      <c r="X40" s="56"/>
      <c r="Y40" s="56"/>
      <c r="Z40" s="56"/>
      <c r="AA40" s="56"/>
      <c r="AB40" s="58" t="s">
        <v>417</v>
      </c>
      <c r="AC40" s="58" t="s">
        <v>68</v>
      </c>
      <c r="AD40" s="58" t="s">
        <v>159</v>
      </c>
      <c r="AE40" s="56" t="s">
        <v>160</v>
      </c>
      <c r="AF40" s="58" t="s">
        <v>525</v>
      </c>
      <c r="AG40" s="58" t="s">
        <v>124</v>
      </c>
      <c r="AH40" s="58" t="s">
        <v>73</v>
      </c>
      <c r="AI40" s="56">
        <v>9</v>
      </c>
      <c r="AJ40" s="57">
        <v>45727</v>
      </c>
      <c r="AK40" s="59">
        <v>0.60416666666666663</v>
      </c>
      <c r="AL40" s="57"/>
      <c r="AM40" s="59"/>
      <c r="AN40" s="57">
        <v>45727</v>
      </c>
      <c r="AO40" s="59">
        <v>0.69039351851851849</v>
      </c>
      <c r="AP40" s="56">
        <v>2025</v>
      </c>
      <c r="AQ40" s="61">
        <v>11</v>
      </c>
      <c r="AR40" s="61">
        <v>3</v>
      </c>
      <c r="AS40" s="61">
        <v>11</v>
      </c>
      <c r="AT40" s="62">
        <v>70</v>
      </c>
      <c r="AU40" s="63">
        <v>45727.604166666664</v>
      </c>
      <c r="AV40" s="56">
        <v>123</v>
      </c>
      <c r="AW40" t="s">
        <v>521</v>
      </c>
      <c r="AX40" s="58" t="s">
        <v>526</v>
      </c>
      <c r="AY40" s="58" t="s">
        <v>527</v>
      </c>
      <c r="AZ40" s="58" t="s">
        <v>528</v>
      </c>
      <c r="BA40" s="56" t="s">
        <v>529</v>
      </c>
      <c r="BB40" s="58" t="s">
        <v>77</v>
      </c>
    </row>
    <row r="41" spans="1:54" x14ac:dyDescent="0.3">
      <c r="A41" s="56" t="s">
        <v>550</v>
      </c>
      <c r="B41" s="57">
        <v>45737</v>
      </c>
      <c r="C41" s="58" t="s">
        <v>294</v>
      </c>
      <c r="D41" s="59">
        <v>0.29166666666666669</v>
      </c>
      <c r="E41" s="59">
        <v>0.32500000000000001</v>
      </c>
      <c r="F41" s="58" t="s">
        <v>455</v>
      </c>
      <c r="G41" s="58" t="s">
        <v>462</v>
      </c>
      <c r="H41" s="58" t="s">
        <v>551</v>
      </c>
      <c r="I41" s="58" t="s">
        <v>552</v>
      </c>
      <c r="J41" s="58" t="s">
        <v>214</v>
      </c>
      <c r="K41" s="58" t="s">
        <v>214</v>
      </c>
      <c r="L41" s="58" t="s">
        <v>60</v>
      </c>
      <c r="M41" s="58" t="s">
        <v>60</v>
      </c>
      <c r="N41" s="58" t="s">
        <v>553</v>
      </c>
      <c r="O41" s="56" t="s">
        <v>262</v>
      </c>
      <c r="P41" s="56">
        <v>6</v>
      </c>
      <c r="Q41" s="58" t="s">
        <v>554</v>
      </c>
      <c r="R41" s="56"/>
      <c r="S41" s="56"/>
      <c r="T41" s="56" t="s">
        <v>555</v>
      </c>
      <c r="U41" s="56" t="s">
        <v>556</v>
      </c>
      <c r="V41" s="56"/>
      <c r="W41" s="56" t="s">
        <v>66</v>
      </c>
      <c r="X41" s="56"/>
      <c r="Y41" s="56"/>
      <c r="Z41" s="56"/>
      <c r="AA41" s="56"/>
      <c r="AB41" s="58" t="s">
        <v>469</v>
      </c>
      <c r="AC41" s="58" t="s">
        <v>68</v>
      </c>
      <c r="AD41" s="58" t="s">
        <v>148</v>
      </c>
      <c r="AE41" s="56" t="s">
        <v>91</v>
      </c>
      <c r="AF41" s="58" t="s">
        <v>181</v>
      </c>
      <c r="AG41" s="58" t="s">
        <v>182</v>
      </c>
      <c r="AH41" s="58"/>
      <c r="AI41" s="56">
        <v>9</v>
      </c>
      <c r="AJ41" s="57">
        <v>45737</v>
      </c>
      <c r="AK41" s="59">
        <v>0.32500000000000001</v>
      </c>
      <c r="AL41" s="57"/>
      <c r="AM41" s="59"/>
      <c r="AN41" s="57">
        <v>45737</v>
      </c>
      <c r="AO41" s="59">
        <v>0.59714120370370372</v>
      </c>
      <c r="AP41" s="56">
        <v>2025</v>
      </c>
      <c r="AQ41" s="61">
        <v>12</v>
      </c>
      <c r="AR41" s="61">
        <v>4</v>
      </c>
      <c r="AS41" s="61">
        <v>21</v>
      </c>
      <c r="AT41" s="62">
        <v>80</v>
      </c>
      <c r="AU41" s="63">
        <v>45737.324999999997</v>
      </c>
      <c r="AV41" s="56">
        <v>171</v>
      </c>
      <c r="AW41" t="s">
        <v>554</v>
      </c>
      <c r="AX41" s="58" t="s">
        <v>557</v>
      </c>
      <c r="AY41" s="58" t="s">
        <v>558</v>
      </c>
      <c r="AZ41" s="58" t="s">
        <v>559</v>
      </c>
      <c r="BA41" s="56" t="s">
        <v>549</v>
      </c>
      <c r="BB41" s="58" t="s">
        <v>305</v>
      </c>
    </row>
    <row r="42" spans="1:54" x14ac:dyDescent="0.3">
      <c r="A42" s="56" t="s">
        <v>560</v>
      </c>
      <c r="B42" s="57">
        <v>45739</v>
      </c>
      <c r="C42" s="58" t="s">
        <v>294</v>
      </c>
      <c r="D42" s="59">
        <v>0.16666666666666666</v>
      </c>
      <c r="E42" s="59">
        <v>0.1736111111111111</v>
      </c>
      <c r="F42" s="58" t="s">
        <v>459</v>
      </c>
      <c r="G42" s="58" t="s">
        <v>462</v>
      </c>
      <c r="H42" s="58" t="s">
        <v>561</v>
      </c>
      <c r="I42" s="58" t="s">
        <v>562</v>
      </c>
      <c r="J42" s="58" t="s">
        <v>563</v>
      </c>
      <c r="K42" s="58" t="s">
        <v>59</v>
      </c>
      <c r="L42" s="58" t="s">
        <v>564</v>
      </c>
      <c r="M42" s="58" t="s">
        <v>60</v>
      </c>
      <c r="N42" s="58" t="s">
        <v>565</v>
      </c>
      <c r="O42" s="56" t="s">
        <v>251</v>
      </c>
      <c r="P42" s="56">
        <v>5</v>
      </c>
      <c r="Q42" s="58" t="s">
        <v>566</v>
      </c>
      <c r="R42" s="56"/>
      <c r="S42" s="56"/>
      <c r="T42" s="56" t="s">
        <v>567</v>
      </c>
      <c r="U42" s="56" t="s">
        <v>118</v>
      </c>
      <c r="V42" s="56" t="s">
        <v>568</v>
      </c>
      <c r="W42" s="56" t="s">
        <v>66</v>
      </c>
      <c r="X42" s="56"/>
      <c r="Y42" s="56"/>
      <c r="Z42" s="56"/>
      <c r="AA42" s="56"/>
      <c r="AB42" s="58" t="s">
        <v>569</v>
      </c>
      <c r="AC42" s="58" t="s">
        <v>68</v>
      </c>
      <c r="AD42" s="58" t="s">
        <v>106</v>
      </c>
      <c r="AE42" s="56" t="s">
        <v>70</v>
      </c>
      <c r="AF42" s="58" t="s">
        <v>123</v>
      </c>
      <c r="AG42" s="58" t="s">
        <v>124</v>
      </c>
      <c r="AH42" s="58"/>
      <c r="AI42" s="56">
        <v>9</v>
      </c>
      <c r="AJ42" s="57">
        <v>45739</v>
      </c>
      <c r="AK42" s="59">
        <v>0.1736111111111111</v>
      </c>
      <c r="AL42" s="57">
        <v>45739</v>
      </c>
      <c r="AM42" s="59">
        <v>0.18055555555555555</v>
      </c>
      <c r="AN42" s="57">
        <v>45739</v>
      </c>
      <c r="AO42" s="59">
        <v>0.20511574074074074</v>
      </c>
      <c r="AP42" s="56">
        <v>2025</v>
      </c>
      <c r="AQ42" s="61">
        <v>13</v>
      </c>
      <c r="AR42" s="61">
        <v>5</v>
      </c>
      <c r="AS42" s="61">
        <v>23</v>
      </c>
      <c r="AT42" s="62">
        <v>82</v>
      </c>
      <c r="AU42" s="63">
        <v>45739.173611111109</v>
      </c>
      <c r="AV42" s="56">
        <v>24</v>
      </c>
      <c r="AW42" t="s">
        <v>566</v>
      </c>
      <c r="AX42" s="58" t="s">
        <v>570</v>
      </c>
      <c r="AY42" s="58" t="s">
        <v>571</v>
      </c>
      <c r="AZ42" s="58" t="s">
        <v>572</v>
      </c>
      <c r="BA42" s="56" t="s">
        <v>549</v>
      </c>
      <c r="BB42" s="58" t="s">
        <v>305</v>
      </c>
    </row>
    <row r="43" spans="1:54" x14ac:dyDescent="0.3">
      <c r="A43" s="56" t="s">
        <v>679</v>
      </c>
      <c r="B43" s="57">
        <v>45741</v>
      </c>
      <c r="C43" s="58" t="s">
        <v>142</v>
      </c>
      <c r="D43" s="59">
        <v>0.45833333333333331</v>
      </c>
      <c r="E43" s="59">
        <v>0.48402777777777778</v>
      </c>
      <c r="F43" s="58" t="s">
        <v>452</v>
      </c>
      <c r="G43" s="58" t="s">
        <v>462</v>
      </c>
      <c r="H43" s="58" t="s">
        <v>358</v>
      </c>
      <c r="I43" s="58" t="s">
        <v>359</v>
      </c>
      <c r="J43" s="58" t="s">
        <v>687</v>
      </c>
      <c r="K43" s="58" t="s">
        <v>348</v>
      </c>
      <c r="L43" s="58" t="s">
        <v>83</v>
      </c>
      <c r="M43" s="58" t="s">
        <v>688</v>
      </c>
      <c r="N43" s="58" t="s">
        <v>363</v>
      </c>
      <c r="O43" s="56" t="s">
        <v>364</v>
      </c>
      <c r="P43" s="56">
        <v>9</v>
      </c>
      <c r="Q43" s="58" t="s">
        <v>689</v>
      </c>
      <c r="R43" s="56"/>
      <c r="S43" s="56"/>
      <c r="T43" s="56" t="s">
        <v>690</v>
      </c>
      <c r="U43" s="56" t="s">
        <v>523</v>
      </c>
      <c r="V43" s="56" t="s">
        <v>691</v>
      </c>
      <c r="W43" s="56" t="s">
        <v>66</v>
      </c>
      <c r="X43" s="56"/>
      <c r="Y43" s="56"/>
      <c r="Z43" s="56"/>
      <c r="AA43" s="56"/>
      <c r="AB43" s="58" t="s">
        <v>158</v>
      </c>
      <c r="AC43" s="58" t="s">
        <v>68</v>
      </c>
      <c r="AD43" s="58" t="s">
        <v>648</v>
      </c>
      <c r="AE43" s="56" t="s">
        <v>352</v>
      </c>
      <c r="AF43" s="58" t="s">
        <v>161</v>
      </c>
      <c r="AG43" s="58" t="s">
        <v>124</v>
      </c>
      <c r="AH43" s="58"/>
      <c r="AI43" s="56">
        <v>9</v>
      </c>
      <c r="AJ43" s="57">
        <v>45741</v>
      </c>
      <c r="AK43" s="59">
        <v>0.48402777777777778</v>
      </c>
      <c r="AL43" s="57"/>
      <c r="AM43" s="59"/>
      <c r="AN43" s="57">
        <v>45741</v>
      </c>
      <c r="AO43" s="59">
        <v>0.50343749999999998</v>
      </c>
      <c r="AP43" s="56">
        <v>2025</v>
      </c>
      <c r="AQ43" s="61">
        <v>13</v>
      </c>
      <c r="AR43" s="61">
        <v>5</v>
      </c>
      <c r="AS43" s="61">
        <v>25</v>
      </c>
      <c r="AT43" s="62">
        <v>84</v>
      </c>
      <c r="AU43" s="63">
        <v>45741.484027777777</v>
      </c>
      <c r="AV43" s="56">
        <v>450</v>
      </c>
      <c r="AW43" t="s">
        <v>689</v>
      </c>
      <c r="AX43" s="58" t="s">
        <v>692</v>
      </c>
      <c r="AY43" s="58" t="s">
        <v>693</v>
      </c>
      <c r="AZ43" s="58" t="s">
        <v>694</v>
      </c>
      <c r="BA43" s="56" t="s">
        <v>582</v>
      </c>
      <c r="BB43" s="58" t="s">
        <v>151</v>
      </c>
    </row>
    <row r="44" spans="1:54" x14ac:dyDescent="0.3">
      <c r="A44" s="56" t="s">
        <v>574</v>
      </c>
      <c r="B44" s="57">
        <v>45743</v>
      </c>
      <c r="C44" s="58" t="s">
        <v>98</v>
      </c>
      <c r="D44" s="59">
        <v>0.91666666666666663</v>
      </c>
      <c r="E44" s="59">
        <v>0.94666666666666666</v>
      </c>
      <c r="F44" s="58" t="s">
        <v>537</v>
      </c>
      <c r="G44" s="58" t="s">
        <v>462</v>
      </c>
      <c r="H44" s="58" t="s">
        <v>486</v>
      </c>
      <c r="I44" s="58" t="s">
        <v>575</v>
      </c>
      <c r="J44" s="58" t="s">
        <v>576</v>
      </c>
      <c r="K44" s="58" t="s">
        <v>166</v>
      </c>
      <c r="L44" s="58" t="s">
        <v>577</v>
      </c>
      <c r="M44" s="58" t="s">
        <v>361</v>
      </c>
      <c r="N44" s="58" t="s">
        <v>578</v>
      </c>
      <c r="O44" s="56" t="s">
        <v>262</v>
      </c>
      <c r="P44" s="56">
        <v>6</v>
      </c>
      <c r="Q44" s="58" t="s">
        <v>579</v>
      </c>
      <c r="R44" s="56"/>
      <c r="S44" s="56"/>
      <c r="T44" s="56"/>
      <c r="U44" s="56"/>
      <c r="V44" s="56"/>
      <c r="W44" s="56"/>
      <c r="X44" s="56"/>
      <c r="Y44" s="56"/>
      <c r="Z44" s="56"/>
      <c r="AA44" s="56"/>
      <c r="AB44" s="58" t="s">
        <v>417</v>
      </c>
      <c r="AC44" s="58" t="s">
        <v>68</v>
      </c>
      <c r="AD44" s="58" t="s">
        <v>580</v>
      </c>
      <c r="AE44" s="56" t="s">
        <v>122</v>
      </c>
      <c r="AF44" s="58" t="s">
        <v>379</v>
      </c>
      <c r="AG44" s="58" t="s">
        <v>124</v>
      </c>
      <c r="AH44" s="58"/>
      <c r="AI44" s="56">
        <v>9</v>
      </c>
      <c r="AJ44" s="57">
        <v>45743</v>
      </c>
      <c r="AK44" s="59">
        <v>0.94666666666666666</v>
      </c>
      <c r="AL44" s="57"/>
      <c r="AM44" s="59"/>
      <c r="AN44" s="57">
        <v>45743</v>
      </c>
      <c r="AO44" s="59">
        <v>0.94666666666666666</v>
      </c>
      <c r="AP44" s="56">
        <v>2025</v>
      </c>
      <c r="AQ44" s="61">
        <v>13</v>
      </c>
      <c r="AR44" s="61">
        <v>5</v>
      </c>
      <c r="AS44" s="61">
        <v>27</v>
      </c>
      <c r="AT44" s="62">
        <v>86</v>
      </c>
      <c r="AU44" s="63">
        <v>45743.946527777778</v>
      </c>
      <c r="AV44" s="56">
        <v>211</v>
      </c>
      <c r="AW44" t="s">
        <v>579</v>
      </c>
      <c r="AX44" s="58"/>
      <c r="AY44" s="58" t="s">
        <v>60</v>
      </c>
      <c r="AZ44" s="58" t="s">
        <v>581</v>
      </c>
      <c r="BA44" s="56" t="s">
        <v>582</v>
      </c>
      <c r="BB44" s="58" t="s">
        <v>110</v>
      </c>
    </row>
    <row r="45" spans="1:54" x14ac:dyDescent="0.3">
      <c r="A45" s="56" t="s">
        <v>583</v>
      </c>
      <c r="B45" s="57">
        <v>45743</v>
      </c>
      <c r="C45" s="58" t="s">
        <v>98</v>
      </c>
      <c r="D45" s="59">
        <v>0.95833333333333337</v>
      </c>
      <c r="E45" s="59">
        <v>0.97916666666666663</v>
      </c>
      <c r="F45" s="58" t="s">
        <v>537</v>
      </c>
      <c r="G45" s="58" t="s">
        <v>462</v>
      </c>
      <c r="H45" s="58" t="s">
        <v>531</v>
      </c>
      <c r="I45" s="58" t="s">
        <v>584</v>
      </c>
      <c r="J45" s="58" t="s">
        <v>133</v>
      </c>
      <c r="K45" s="58" t="s">
        <v>133</v>
      </c>
      <c r="L45" s="58" t="s">
        <v>60</v>
      </c>
      <c r="M45" s="58" t="s">
        <v>60</v>
      </c>
      <c r="N45" s="58" t="s">
        <v>585</v>
      </c>
      <c r="O45" s="56" t="s">
        <v>284</v>
      </c>
      <c r="P45" s="56">
        <v>8</v>
      </c>
      <c r="Q45" s="58" t="s">
        <v>586</v>
      </c>
      <c r="R45" s="56">
        <v>50300</v>
      </c>
      <c r="S45" s="56"/>
      <c r="T45" s="56"/>
      <c r="U45" s="56"/>
      <c r="V45" s="56"/>
      <c r="W45" s="56"/>
      <c r="X45" s="56"/>
      <c r="Y45" s="56"/>
      <c r="Z45" s="56"/>
      <c r="AA45" s="56"/>
      <c r="AB45" s="58" t="s">
        <v>158</v>
      </c>
      <c r="AC45" s="58" t="s">
        <v>68</v>
      </c>
      <c r="AD45" s="58" t="s">
        <v>481</v>
      </c>
      <c r="AE45" s="56" t="s">
        <v>352</v>
      </c>
      <c r="AF45" s="58" t="s">
        <v>587</v>
      </c>
      <c r="AG45" s="58" t="s">
        <v>124</v>
      </c>
      <c r="AH45" s="58"/>
      <c r="AI45" s="56">
        <v>9</v>
      </c>
      <c r="AJ45" s="57">
        <v>45743</v>
      </c>
      <c r="AK45" s="59">
        <v>0.97916666666666663</v>
      </c>
      <c r="AL45" s="57">
        <v>45744</v>
      </c>
      <c r="AM45" s="59">
        <v>2.5000000000000001E-2</v>
      </c>
      <c r="AN45" s="57">
        <v>45744</v>
      </c>
      <c r="AO45" s="59">
        <v>0.46781250000000002</v>
      </c>
      <c r="AP45" s="56">
        <v>2025</v>
      </c>
      <c r="AQ45" s="61">
        <v>13</v>
      </c>
      <c r="AR45" s="61">
        <v>5</v>
      </c>
      <c r="AS45" s="61">
        <v>27</v>
      </c>
      <c r="AT45" s="62">
        <v>86</v>
      </c>
      <c r="AU45" s="63">
        <v>45743.979166666664</v>
      </c>
      <c r="AV45" s="56">
        <v>2</v>
      </c>
      <c r="AW45" t="s">
        <v>586</v>
      </c>
      <c r="AX45" s="58"/>
      <c r="AY45" s="58" t="s">
        <v>588</v>
      </c>
      <c r="AZ45" s="58" t="s">
        <v>589</v>
      </c>
      <c r="BA45" s="56" t="s">
        <v>582</v>
      </c>
      <c r="BB45" s="58" t="s">
        <v>110</v>
      </c>
    </row>
    <row r="46" spans="1:54" x14ac:dyDescent="0.3">
      <c r="A46" s="56" t="s">
        <v>629</v>
      </c>
      <c r="B46" s="57">
        <v>45744</v>
      </c>
      <c r="C46" s="58" t="s">
        <v>98</v>
      </c>
      <c r="D46" s="59">
        <v>0.83333333333333337</v>
      </c>
      <c r="E46" s="59">
        <v>0.85416666666666663</v>
      </c>
      <c r="F46" s="58" t="s">
        <v>455</v>
      </c>
      <c r="G46" s="58" t="s">
        <v>462</v>
      </c>
      <c r="H46" s="58" t="s">
        <v>630</v>
      </c>
      <c r="I46" s="58" t="s">
        <v>631</v>
      </c>
      <c r="J46" s="58" t="s">
        <v>214</v>
      </c>
      <c r="K46" s="58" t="s">
        <v>214</v>
      </c>
      <c r="L46" s="58" t="s">
        <v>60</v>
      </c>
      <c r="M46" s="58" t="s">
        <v>60</v>
      </c>
      <c r="N46" s="58" t="s">
        <v>632</v>
      </c>
      <c r="O46" s="56" t="s">
        <v>427</v>
      </c>
      <c r="P46" s="56">
        <v>8</v>
      </c>
      <c r="Q46" s="58" t="s">
        <v>633</v>
      </c>
      <c r="R46" s="56"/>
      <c r="S46" s="56"/>
      <c r="T46" s="56" t="s">
        <v>634</v>
      </c>
      <c r="U46" s="56" t="s">
        <v>635</v>
      </c>
      <c r="V46" s="56" t="s">
        <v>636</v>
      </c>
      <c r="W46" s="56" t="s">
        <v>66</v>
      </c>
      <c r="X46" s="56"/>
      <c r="Y46" s="56"/>
      <c r="Z46" s="56"/>
      <c r="AA46" s="56"/>
      <c r="AB46" s="58" t="s">
        <v>569</v>
      </c>
      <c r="AC46" s="58" t="s">
        <v>68</v>
      </c>
      <c r="AD46" s="58" t="s">
        <v>637</v>
      </c>
      <c r="AE46" s="56" t="s">
        <v>638</v>
      </c>
      <c r="AF46" s="58"/>
      <c r="AG46" s="58"/>
      <c r="AH46" s="58"/>
      <c r="AI46" s="56">
        <v>9</v>
      </c>
      <c r="AJ46" s="57">
        <v>45744</v>
      </c>
      <c r="AK46" s="59">
        <v>0.85416666666666663</v>
      </c>
      <c r="AL46" s="57">
        <v>45745</v>
      </c>
      <c r="AM46" s="59">
        <v>0.41666666666666669</v>
      </c>
      <c r="AN46" s="57">
        <v>45745</v>
      </c>
      <c r="AO46" s="59">
        <v>0.42986111111111114</v>
      </c>
      <c r="AP46" s="56">
        <v>2025</v>
      </c>
      <c r="AQ46" s="61">
        <v>13</v>
      </c>
      <c r="AR46" s="61">
        <v>5</v>
      </c>
      <c r="AS46" s="61">
        <v>28</v>
      </c>
      <c r="AT46" s="62">
        <v>87</v>
      </c>
      <c r="AU46" s="63">
        <v>45744.854166666664</v>
      </c>
      <c r="AV46" s="56">
        <v>296</v>
      </c>
      <c r="AW46" t="s">
        <v>633</v>
      </c>
      <c r="AX46" s="58" t="s">
        <v>639</v>
      </c>
      <c r="AY46" s="58" t="s">
        <v>60</v>
      </c>
      <c r="AZ46" s="58" t="s">
        <v>640</v>
      </c>
      <c r="BA46" s="56" t="s">
        <v>582</v>
      </c>
      <c r="BB46" s="58" t="s">
        <v>110</v>
      </c>
    </row>
    <row r="47" spans="1:54" x14ac:dyDescent="0.3">
      <c r="A47" s="56" t="s">
        <v>695</v>
      </c>
      <c r="B47" s="57">
        <v>45745</v>
      </c>
      <c r="C47" s="58" t="s">
        <v>294</v>
      </c>
      <c r="D47" s="59">
        <v>0.16666666666666666</v>
      </c>
      <c r="E47" s="59">
        <v>0.20515046296296297</v>
      </c>
      <c r="F47" s="58" t="s">
        <v>456</v>
      </c>
      <c r="G47" s="58" t="s">
        <v>462</v>
      </c>
      <c r="H47" s="58" t="s">
        <v>696</v>
      </c>
      <c r="I47" s="58" t="s">
        <v>697</v>
      </c>
      <c r="J47" s="58" t="s">
        <v>698</v>
      </c>
      <c r="K47" s="58" t="s">
        <v>177</v>
      </c>
      <c r="L47" s="58" t="s">
        <v>699</v>
      </c>
      <c r="M47" s="58" t="s">
        <v>60</v>
      </c>
      <c r="N47" s="58" t="s">
        <v>700</v>
      </c>
      <c r="O47" s="56" t="s">
        <v>274</v>
      </c>
      <c r="P47" s="56">
        <v>6</v>
      </c>
      <c r="Q47" s="58" t="s">
        <v>701</v>
      </c>
      <c r="R47" s="56"/>
      <c r="S47" s="56"/>
      <c r="T47" s="56" t="s">
        <v>702</v>
      </c>
      <c r="U47" s="56" t="s">
        <v>635</v>
      </c>
      <c r="V47" s="56" t="s">
        <v>636</v>
      </c>
      <c r="W47" s="56" t="s">
        <v>66</v>
      </c>
      <c r="X47" s="56"/>
      <c r="Y47" s="56"/>
      <c r="Z47" s="56"/>
      <c r="AA47" s="56"/>
      <c r="AB47" s="58" t="s">
        <v>569</v>
      </c>
      <c r="AC47" s="58" t="s">
        <v>68</v>
      </c>
      <c r="AD47" s="58" t="s">
        <v>580</v>
      </c>
      <c r="AE47" s="56" t="s">
        <v>122</v>
      </c>
      <c r="AF47" s="58"/>
      <c r="AG47" s="58"/>
      <c r="AH47" s="58"/>
      <c r="AI47" s="56">
        <v>9</v>
      </c>
      <c r="AJ47" s="57">
        <v>45745</v>
      </c>
      <c r="AK47" s="59">
        <v>0.20515046296296297</v>
      </c>
      <c r="AL47" s="57"/>
      <c r="AM47" s="59"/>
      <c r="AN47" s="57">
        <v>45745</v>
      </c>
      <c r="AO47" s="59">
        <v>0.20931712962962962</v>
      </c>
      <c r="AP47" s="56">
        <v>2025</v>
      </c>
      <c r="AQ47" s="61">
        <v>13</v>
      </c>
      <c r="AR47" s="61">
        <v>5</v>
      </c>
      <c r="AS47" s="61">
        <v>29</v>
      </c>
      <c r="AT47" s="62">
        <v>88</v>
      </c>
      <c r="AU47" s="63">
        <v>45745.204861111109</v>
      </c>
      <c r="AV47" s="56">
        <v>15</v>
      </c>
      <c r="AW47" t="s">
        <v>701</v>
      </c>
      <c r="AX47" s="58" t="s">
        <v>703</v>
      </c>
      <c r="AY47" s="58" t="s">
        <v>704</v>
      </c>
      <c r="AZ47" s="58" t="s">
        <v>705</v>
      </c>
      <c r="BA47" s="56" t="s">
        <v>582</v>
      </c>
      <c r="BB47" s="58" t="s">
        <v>305</v>
      </c>
    </row>
    <row r="48" spans="1:54" x14ac:dyDescent="0.3">
      <c r="A48" s="56" t="s">
        <v>590</v>
      </c>
      <c r="B48" s="57">
        <v>45747</v>
      </c>
      <c r="C48" s="58" t="s">
        <v>55</v>
      </c>
      <c r="D48" s="59">
        <v>0.5</v>
      </c>
      <c r="E48" s="59">
        <v>0.5</v>
      </c>
      <c r="F48" s="58" t="s">
        <v>451</v>
      </c>
      <c r="G48" s="58" t="s">
        <v>462</v>
      </c>
      <c r="H48" s="58" t="s">
        <v>258</v>
      </c>
      <c r="I48" s="58" t="s">
        <v>591</v>
      </c>
      <c r="J48" s="58" t="s">
        <v>133</v>
      </c>
      <c r="K48" s="58" t="s">
        <v>133</v>
      </c>
      <c r="L48" s="58" t="s">
        <v>60</v>
      </c>
      <c r="M48" s="58" t="s">
        <v>60</v>
      </c>
      <c r="N48" s="58" t="s">
        <v>592</v>
      </c>
      <c r="O48" s="56" t="s">
        <v>593</v>
      </c>
      <c r="P48" s="56">
        <v>7</v>
      </c>
      <c r="Q48" s="58" t="s">
        <v>594</v>
      </c>
      <c r="R48" s="56"/>
      <c r="S48" s="56"/>
      <c r="T48" s="56"/>
      <c r="U48" s="56"/>
      <c r="V48" s="56"/>
      <c r="W48" s="56"/>
      <c r="X48" s="56"/>
      <c r="Y48" s="56"/>
      <c r="Z48" s="56"/>
      <c r="AA48" s="56"/>
      <c r="AB48" s="58" t="s">
        <v>569</v>
      </c>
      <c r="AC48" s="58" t="s">
        <v>68</v>
      </c>
      <c r="AD48" s="58" t="s">
        <v>595</v>
      </c>
      <c r="AE48" s="56" t="s">
        <v>91</v>
      </c>
      <c r="AF48" s="58"/>
      <c r="AG48" s="58"/>
      <c r="AH48" s="58"/>
      <c r="AI48" s="56">
        <v>9</v>
      </c>
      <c r="AJ48" s="57">
        <v>45747</v>
      </c>
      <c r="AK48" s="59">
        <v>0.5</v>
      </c>
      <c r="AL48" s="57"/>
      <c r="AM48" s="59"/>
      <c r="AN48" s="57">
        <v>45747</v>
      </c>
      <c r="AO48" s="59">
        <v>0.54355324074074074</v>
      </c>
      <c r="AP48" s="56">
        <v>2025</v>
      </c>
      <c r="AQ48" s="61">
        <v>14</v>
      </c>
      <c r="AR48" s="61">
        <v>6</v>
      </c>
      <c r="AS48" s="61">
        <v>31</v>
      </c>
      <c r="AT48" s="62">
        <v>90</v>
      </c>
      <c r="AU48" s="63">
        <v>45747.5</v>
      </c>
      <c r="AV48" s="56">
        <v>100</v>
      </c>
      <c r="AW48" t="s">
        <v>594</v>
      </c>
      <c r="AX48" s="58"/>
      <c r="AY48" s="58" t="s">
        <v>596</v>
      </c>
      <c r="AZ48" s="58" t="s">
        <v>597</v>
      </c>
      <c r="BA48" s="56" t="s">
        <v>582</v>
      </c>
      <c r="BB48" s="58" t="s">
        <v>77</v>
      </c>
    </row>
    <row r="49" spans="1:54" x14ac:dyDescent="0.3">
      <c r="A49" s="56" t="s">
        <v>706</v>
      </c>
      <c r="B49" s="57">
        <v>45747</v>
      </c>
      <c r="C49" s="58" t="s">
        <v>79</v>
      </c>
      <c r="D49" s="59">
        <v>0.75</v>
      </c>
      <c r="E49" s="59">
        <v>0.77777777777777779</v>
      </c>
      <c r="F49" s="58" t="s">
        <v>451</v>
      </c>
      <c r="G49" s="58" t="s">
        <v>462</v>
      </c>
      <c r="H49" s="58" t="s">
        <v>707</v>
      </c>
      <c r="I49" s="58" t="s">
        <v>707</v>
      </c>
      <c r="J49" s="58" t="s">
        <v>708</v>
      </c>
      <c r="K49" s="58" t="s">
        <v>59</v>
      </c>
      <c r="L49" s="58" t="s">
        <v>83</v>
      </c>
      <c r="M49" s="58" t="s">
        <v>709</v>
      </c>
      <c r="N49" s="58" t="s">
        <v>710</v>
      </c>
      <c r="O49" s="56" t="s">
        <v>135</v>
      </c>
      <c r="P49" s="56">
        <v>7</v>
      </c>
      <c r="Q49" s="58" t="s">
        <v>711</v>
      </c>
      <c r="R49" s="56"/>
      <c r="S49" s="56"/>
      <c r="T49" s="56" t="s">
        <v>712</v>
      </c>
      <c r="U49" s="56" t="s">
        <v>713</v>
      </c>
      <c r="V49" s="56" t="s">
        <v>714</v>
      </c>
      <c r="W49" s="56" t="s">
        <v>66</v>
      </c>
      <c r="X49" s="56"/>
      <c r="Y49" s="56"/>
      <c r="Z49" s="56"/>
      <c r="AA49" s="56"/>
      <c r="AB49" s="58" t="s">
        <v>469</v>
      </c>
      <c r="AC49" s="58" t="s">
        <v>68</v>
      </c>
      <c r="AD49" s="58" t="s">
        <v>715</v>
      </c>
      <c r="AE49" s="56" t="s">
        <v>91</v>
      </c>
      <c r="AF49" s="58"/>
      <c r="AG49" s="58"/>
      <c r="AH49" s="58"/>
      <c r="AI49" s="56">
        <v>9</v>
      </c>
      <c r="AJ49" s="57">
        <v>45747</v>
      </c>
      <c r="AK49" s="59">
        <v>0.77777777777777779</v>
      </c>
      <c r="AL49" s="57">
        <v>45747</v>
      </c>
      <c r="AM49" s="59">
        <v>0.91666666666666663</v>
      </c>
      <c r="AN49" s="57">
        <v>45747</v>
      </c>
      <c r="AO49" s="59">
        <v>0.93032407407407403</v>
      </c>
      <c r="AP49" s="56">
        <v>2025</v>
      </c>
      <c r="AQ49" s="61">
        <v>14</v>
      </c>
      <c r="AR49" s="61">
        <v>6</v>
      </c>
      <c r="AS49" s="61">
        <v>31</v>
      </c>
      <c r="AT49" s="62">
        <v>90</v>
      </c>
      <c r="AU49" s="63">
        <v>45747.777777777781</v>
      </c>
      <c r="AV49" s="56"/>
      <c r="AW49" t="s">
        <v>711</v>
      </c>
      <c r="AX49" s="58" t="s">
        <v>716</v>
      </c>
      <c r="AY49" s="58" t="s">
        <v>60</v>
      </c>
      <c r="AZ49" s="58" t="s">
        <v>717</v>
      </c>
      <c r="BA49" s="56" t="s">
        <v>582</v>
      </c>
      <c r="BB49" s="58" t="s">
        <v>96</v>
      </c>
    </row>
    <row r="50" spans="1:54" x14ac:dyDescent="0.3">
      <c r="A50" s="56" t="s">
        <v>606</v>
      </c>
      <c r="B50" s="57">
        <v>45747</v>
      </c>
      <c r="C50" s="58" t="s">
        <v>79</v>
      </c>
      <c r="D50" s="59">
        <v>0.75</v>
      </c>
      <c r="E50" s="59">
        <v>0.75</v>
      </c>
      <c r="F50" s="58" t="s">
        <v>451</v>
      </c>
      <c r="G50" s="58" t="s">
        <v>462</v>
      </c>
      <c r="H50" s="58" t="s">
        <v>212</v>
      </c>
      <c r="I50" s="58" t="s">
        <v>607</v>
      </c>
      <c r="J50" s="58" t="s">
        <v>59</v>
      </c>
      <c r="K50" s="58" t="s">
        <v>59</v>
      </c>
      <c r="L50" s="58" t="s">
        <v>60</v>
      </c>
      <c r="M50" s="58" t="s">
        <v>60</v>
      </c>
      <c r="N50" s="58" t="s">
        <v>608</v>
      </c>
      <c r="O50" s="56" t="s">
        <v>216</v>
      </c>
      <c r="P50" s="56"/>
      <c r="Q50" s="58" t="s">
        <v>609</v>
      </c>
      <c r="R50" s="56">
        <v>2</v>
      </c>
      <c r="S50" s="56">
        <v>0</v>
      </c>
      <c r="T50" s="56" t="s">
        <v>610</v>
      </c>
      <c r="U50" s="56" t="s">
        <v>254</v>
      </c>
      <c r="V50" s="56" t="s">
        <v>611</v>
      </c>
      <c r="W50" s="56" t="s">
        <v>66</v>
      </c>
      <c r="X50" s="56"/>
      <c r="Y50" s="56"/>
      <c r="Z50" s="56"/>
      <c r="AA50" s="56"/>
      <c r="AB50" s="58" t="s">
        <v>469</v>
      </c>
      <c r="AC50" s="58" t="s">
        <v>68</v>
      </c>
      <c r="AD50" s="58" t="s">
        <v>612</v>
      </c>
      <c r="AE50" s="56" t="s">
        <v>613</v>
      </c>
      <c r="AF50" s="58" t="s">
        <v>161</v>
      </c>
      <c r="AG50" s="58" t="s">
        <v>124</v>
      </c>
      <c r="AH50" s="58" t="s">
        <v>614</v>
      </c>
      <c r="AI50" s="56">
        <v>9</v>
      </c>
      <c r="AJ50" s="57">
        <v>45747</v>
      </c>
      <c r="AK50" s="59">
        <v>0.75</v>
      </c>
      <c r="AL50" s="57"/>
      <c r="AM50" s="59"/>
      <c r="AN50" s="57">
        <v>45748</v>
      </c>
      <c r="AO50" s="59">
        <v>3.6863425925925924E-2</v>
      </c>
      <c r="AP50" s="56">
        <v>2025</v>
      </c>
      <c r="AQ50" s="61">
        <v>14</v>
      </c>
      <c r="AR50" s="61">
        <v>6</v>
      </c>
      <c r="AS50" s="61">
        <v>31</v>
      </c>
      <c r="AT50" s="62">
        <v>90</v>
      </c>
      <c r="AU50" s="63">
        <v>45747.75</v>
      </c>
      <c r="AV50" s="56">
        <v>310</v>
      </c>
      <c r="AW50" t="s">
        <v>609</v>
      </c>
      <c r="AX50" s="58" t="s">
        <v>615</v>
      </c>
      <c r="AY50" s="58" t="s">
        <v>60</v>
      </c>
      <c r="AZ50" s="58" t="s">
        <v>60</v>
      </c>
      <c r="BA50" s="56" t="s">
        <v>582</v>
      </c>
      <c r="BB50" s="58" t="s">
        <v>96</v>
      </c>
    </row>
    <row r="51" spans="1:54" x14ac:dyDescent="0.3">
      <c r="A51" s="56" t="s">
        <v>616</v>
      </c>
      <c r="B51" s="57">
        <v>45747</v>
      </c>
      <c r="C51" s="58" t="s">
        <v>98</v>
      </c>
      <c r="D51" s="59">
        <v>0.83333333333333337</v>
      </c>
      <c r="E51" s="59">
        <v>0.83333333333333337</v>
      </c>
      <c r="F51" s="58" t="s">
        <v>451</v>
      </c>
      <c r="G51" s="58" t="s">
        <v>462</v>
      </c>
      <c r="H51" s="58" t="s">
        <v>212</v>
      </c>
      <c r="I51" s="58" t="s">
        <v>607</v>
      </c>
      <c r="J51" s="58" t="s">
        <v>59</v>
      </c>
      <c r="K51" s="58" t="s">
        <v>59</v>
      </c>
      <c r="L51" s="58" t="s">
        <v>60</v>
      </c>
      <c r="M51" s="58" t="s">
        <v>60</v>
      </c>
      <c r="N51" s="58" t="s">
        <v>608</v>
      </c>
      <c r="O51" s="56" t="s">
        <v>216</v>
      </c>
      <c r="P51" s="56">
        <v>9</v>
      </c>
      <c r="Q51" s="58" t="s">
        <v>617</v>
      </c>
      <c r="R51" s="56">
        <v>5</v>
      </c>
      <c r="S51" s="56">
        <v>0</v>
      </c>
      <c r="T51" s="56" t="s">
        <v>618</v>
      </c>
      <c r="U51" s="56" t="s">
        <v>254</v>
      </c>
      <c r="V51" s="56" t="s">
        <v>619</v>
      </c>
      <c r="W51" s="56" t="s">
        <v>66</v>
      </c>
      <c r="X51" s="56"/>
      <c r="Y51" s="56"/>
      <c r="Z51" s="56"/>
      <c r="AA51" s="56"/>
      <c r="AB51" s="58" t="s">
        <v>469</v>
      </c>
      <c r="AC51" s="58" t="s">
        <v>68</v>
      </c>
      <c r="AD51" s="58" t="s">
        <v>612</v>
      </c>
      <c r="AE51" s="56" t="s">
        <v>613</v>
      </c>
      <c r="AF51" s="58" t="s">
        <v>161</v>
      </c>
      <c r="AG51" s="58" t="s">
        <v>124</v>
      </c>
      <c r="AH51" s="58" t="s">
        <v>614</v>
      </c>
      <c r="AI51" s="56">
        <v>9</v>
      </c>
      <c r="AJ51" s="57">
        <v>45747</v>
      </c>
      <c r="AK51" s="59">
        <v>0.83333333333333337</v>
      </c>
      <c r="AL51" s="57"/>
      <c r="AM51" s="59"/>
      <c r="AN51" s="57">
        <v>45747</v>
      </c>
      <c r="AO51" s="59">
        <v>0.99899305555555551</v>
      </c>
      <c r="AP51" s="56">
        <v>2025</v>
      </c>
      <c r="AQ51" s="61">
        <v>14</v>
      </c>
      <c r="AR51" s="61">
        <v>6</v>
      </c>
      <c r="AS51" s="61">
        <v>31</v>
      </c>
      <c r="AT51" s="62">
        <v>90</v>
      </c>
      <c r="AU51" s="63">
        <v>45747.833333333336</v>
      </c>
      <c r="AV51" s="56">
        <v>310</v>
      </c>
      <c r="AW51" t="s">
        <v>617</v>
      </c>
      <c r="AX51" s="58" t="s">
        <v>620</v>
      </c>
      <c r="AY51" s="58" t="s">
        <v>60</v>
      </c>
      <c r="AZ51" s="58" t="s">
        <v>60</v>
      </c>
      <c r="BA51" s="56" t="s">
        <v>582</v>
      </c>
      <c r="BB51" s="58" t="s">
        <v>110</v>
      </c>
    </row>
    <row r="52" spans="1:54" x14ac:dyDescent="0.3">
      <c r="A52" s="56" t="s">
        <v>621</v>
      </c>
      <c r="B52" s="57">
        <v>45748</v>
      </c>
      <c r="C52" s="58" t="s">
        <v>98</v>
      </c>
      <c r="D52" s="59">
        <v>0.83333333333333337</v>
      </c>
      <c r="E52" s="59">
        <v>0.85324074074074074</v>
      </c>
      <c r="F52" s="58" t="s">
        <v>452</v>
      </c>
      <c r="G52" s="58" t="s">
        <v>599</v>
      </c>
      <c r="H52" s="58" t="s">
        <v>57</v>
      </c>
      <c r="I52" s="58" t="s">
        <v>622</v>
      </c>
      <c r="J52" s="58" t="s">
        <v>59</v>
      </c>
      <c r="K52" s="58" t="s">
        <v>59</v>
      </c>
      <c r="L52" s="58" t="s">
        <v>60</v>
      </c>
      <c r="M52" s="58" t="s">
        <v>60</v>
      </c>
      <c r="N52" s="58" t="s">
        <v>623</v>
      </c>
      <c r="O52" s="56" t="s">
        <v>328</v>
      </c>
      <c r="P52" s="56">
        <v>7</v>
      </c>
      <c r="Q52" s="58" t="s">
        <v>624</v>
      </c>
      <c r="R52" s="56"/>
      <c r="S52" s="56"/>
      <c r="T52" s="56" t="s">
        <v>625</v>
      </c>
      <c r="U52" s="56" t="s">
        <v>626</v>
      </c>
      <c r="V52" s="56" t="s">
        <v>627</v>
      </c>
      <c r="W52" s="56" t="s">
        <v>66</v>
      </c>
      <c r="X52" s="56"/>
      <c r="Y52" s="56"/>
      <c r="Z52" s="56"/>
      <c r="AA52" s="56"/>
      <c r="AB52" s="58" t="s">
        <v>67</v>
      </c>
      <c r="AC52" s="58" t="s">
        <v>68</v>
      </c>
      <c r="AD52" s="58" t="s">
        <v>331</v>
      </c>
      <c r="AE52" s="56" t="s">
        <v>70</v>
      </c>
      <c r="AF52" s="58" t="s">
        <v>161</v>
      </c>
      <c r="AG52" s="58" t="s">
        <v>72</v>
      </c>
      <c r="AH52" s="58"/>
      <c r="AI52" s="56">
        <v>9</v>
      </c>
      <c r="AJ52" s="57">
        <v>45748</v>
      </c>
      <c r="AK52" s="59">
        <v>0.85324074074074074</v>
      </c>
      <c r="AL52" s="57"/>
      <c r="AM52" s="59"/>
      <c r="AN52" s="57">
        <v>45748</v>
      </c>
      <c r="AO52" s="59">
        <v>0.85324074074074074</v>
      </c>
      <c r="AP52" s="56">
        <v>2025</v>
      </c>
      <c r="AQ52" s="61">
        <v>14</v>
      </c>
      <c r="AR52" s="61">
        <v>1</v>
      </c>
      <c r="AS52" s="61">
        <v>1</v>
      </c>
      <c r="AT52" s="62">
        <v>91</v>
      </c>
      <c r="AU52" s="63">
        <v>45748.852777777778</v>
      </c>
      <c r="AV52" s="56">
        <v>77</v>
      </c>
      <c r="AW52" t="s">
        <v>624</v>
      </c>
      <c r="AX52" s="58" t="s">
        <v>628</v>
      </c>
      <c r="AY52" s="58" t="s">
        <v>60</v>
      </c>
      <c r="AZ52" s="58" t="s">
        <v>60</v>
      </c>
      <c r="BA52" s="56" t="s">
        <v>605</v>
      </c>
      <c r="BB52" s="58" t="s">
        <v>110</v>
      </c>
    </row>
    <row r="53" spans="1:54" x14ac:dyDescent="0.3">
      <c r="A53" s="56" t="s">
        <v>598</v>
      </c>
      <c r="B53" s="57">
        <v>45748</v>
      </c>
      <c r="C53" s="58" t="s">
        <v>55</v>
      </c>
      <c r="D53" s="59">
        <v>0.5</v>
      </c>
      <c r="E53" s="59">
        <v>0.5</v>
      </c>
      <c r="F53" s="58" t="s">
        <v>452</v>
      </c>
      <c r="G53" s="58" t="s">
        <v>599</v>
      </c>
      <c r="H53" s="58" t="s">
        <v>600</v>
      </c>
      <c r="I53" s="58" t="s">
        <v>601</v>
      </c>
      <c r="J53" s="58" t="s">
        <v>133</v>
      </c>
      <c r="K53" s="58" t="s">
        <v>133</v>
      </c>
      <c r="L53" s="58" t="s">
        <v>60</v>
      </c>
      <c r="M53" s="58" t="s">
        <v>60</v>
      </c>
      <c r="N53" s="58" t="s">
        <v>602</v>
      </c>
      <c r="O53" s="56" t="s">
        <v>146</v>
      </c>
      <c r="P53" s="56">
        <v>5</v>
      </c>
      <c r="Q53" s="58" t="s">
        <v>603</v>
      </c>
      <c r="R53" s="56"/>
      <c r="S53" s="56"/>
      <c r="T53" s="56"/>
      <c r="U53" s="56"/>
      <c r="V53" s="56"/>
      <c r="W53" s="56"/>
      <c r="X53" s="56"/>
      <c r="Y53" s="56"/>
      <c r="Z53" s="56"/>
      <c r="AA53" s="56"/>
      <c r="AB53" s="58" t="s">
        <v>158</v>
      </c>
      <c r="AC53" s="58" t="s">
        <v>68</v>
      </c>
      <c r="AD53" s="58" t="s">
        <v>604</v>
      </c>
      <c r="AE53" s="56" t="s">
        <v>207</v>
      </c>
      <c r="AF53" s="58" t="s">
        <v>525</v>
      </c>
      <c r="AG53" s="58" t="s">
        <v>124</v>
      </c>
      <c r="AH53" s="58"/>
      <c r="AI53" s="56">
        <v>9</v>
      </c>
      <c r="AJ53" s="57">
        <v>45748</v>
      </c>
      <c r="AK53" s="59">
        <v>0.5</v>
      </c>
      <c r="AL53" s="57">
        <v>45751</v>
      </c>
      <c r="AM53" s="59">
        <v>0.52083333333333337</v>
      </c>
      <c r="AN53" s="57">
        <v>45751</v>
      </c>
      <c r="AO53" s="59">
        <v>0.54546296296296293</v>
      </c>
      <c r="AP53" s="56">
        <v>2025</v>
      </c>
      <c r="AQ53" s="61">
        <v>14</v>
      </c>
      <c r="AR53" s="61">
        <v>1</v>
      </c>
      <c r="AS53" s="61">
        <v>1</v>
      </c>
      <c r="AT53" s="62">
        <v>91</v>
      </c>
      <c r="AU53" s="63">
        <v>45748.5</v>
      </c>
      <c r="AV53" s="56">
        <v>75</v>
      </c>
      <c r="AW53" t="s">
        <v>603</v>
      </c>
      <c r="AX53" s="58"/>
      <c r="AY53" s="58" t="s">
        <v>60</v>
      </c>
      <c r="AZ53" s="58" t="s">
        <v>60</v>
      </c>
      <c r="BA53" s="56" t="s">
        <v>605</v>
      </c>
      <c r="BB53" s="58" t="s">
        <v>77</v>
      </c>
    </row>
    <row r="54" spans="1:54" x14ac:dyDescent="0.3">
      <c r="A54" s="56" t="s">
        <v>641</v>
      </c>
      <c r="B54" s="57">
        <v>45749</v>
      </c>
      <c r="C54" s="58" t="s">
        <v>98</v>
      </c>
      <c r="D54" s="59">
        <v>0.875</v>
      </c>
      <c r="E54" s="59">
        <v>0.89930555555555558</v>
      </c>
      <c r="F54" s="58" t="s">
        <v>453</v>
      </c>
      <c r="G54" s="58" t="s">
        <v>599</v>
      </c>
      <c r="H54" s="58" t="s">
        <v>642</v>
      </c>
      <c r="I54" s="58" t="s">
        <v>643</v>
      </c>
      <c r="J54" s="58" t="s">
        <v>644</v>
      </c>
      <c r="K54" s="58" t="s">
        <v>645</v>
      </c>
      <c r="L54" s="58" t="s">
        <v>413</v>
      </c>
      <c r="M54" s="58" t="s">
        <v>401</v>
      </c>
      <c r="N54" s="58" t="s">
        <v>646</v>
      </c>
      <c r="O54" s="56" t="s">
        <v>102</v>
      </c>
      <c r="P54" s="56">
        <v>8</v>
      </c>
      <c r="Q54" s="58" t="s">
        <v>647</v>
      </c>
      <c r="R54" s="56"/>
      <c r="S54" s="56"/>
      <c r="T54" s="56"/>
      <c r="U54" s="56"/>
      <c r="V54" s="56"/>
      <c r="W54" s="56"/>
      <c r="X54" s="56"/>
      <c r="Y54" s="56"/>
      <c r="Z54" s="56"/>
      <c r="AA54" s="56"/>
      <c r="AB54" s="58" t="s">
        <v>158</v>
      </c>
      <c r="AC54" s="58" t="s">
        <v>68</v>
      </c>
      <c r="AD54" s="58" t="s">
        <v>648</v>
      </c>
      <c r="AE54" s="56" t="s">
        <v>352</v>
      </c>
      <c r="AF54" s="58" t="s">
        <v>353</v>
      </c>
      <c r="AG54" s="58" t="s">
        <v>419</v>
      </c>
      <c r="AH54" s="58"/>
      <c r="AI54" s="56">
        <v>9</v>
      </c>
      <c r="AJ54" s="57">
        <v>45749</v>
      </c>
      <c r="AK54" s="59">
        <v>0.89930555555555558</v>
      </c>
      <c r="AL54" s="57"/>
      <c r="AM54" s="59"/>
      <c r="AN54" s="57">
        <v>45749</v>
      </c>
      <c r="AO54" s="59">
        <v>0.90325231481481483</v>
      </c>
      <c r="AP54" s="56">
        <v>2025</v>
      </c>
      <c r="AQ54" s="61">
        <v>14</v>
      </c>
      <c r="AR54" s="61">
        <v>1</v>
      </c>
      <c r="AS54" s="61">
        <v>2</v>
      </c>
      <c r="AT54" s="62">
        <v>92</v>
      </c>
      <c r="AU54" s="63">
        <v>45749.899305555555</v>
      </c>
      <c r="AV54" s="56">
        <v>260</v>
      </c>
      <c r="AW54" t="s">
        <v>647</v>
      </c>
      <c r="AX54" s="58"/>
      <c r="AY54" s="58" t="s">
        <v>60</v>
      </c>
      <c r="AZ54" s="58" t="s">
        <v>60</v>
      </c>
      <c r="BA54" s="56" t="s">
        <v>605</v>
      </c>
      <c r="BB54" s="58" t="s">
        <v>110</v>
      </c>
    </row>
    <row r="55" spans="1:54" x14ac:dyDescent="0.3">
      <c r="A55" s="56" t="s">
        <v>718</v>
      </c>
      <c r="B55" s="57">
        <v>45755</v>
      </c>
      <c r="C55" s="58" t="s">
        <v>163</v>
      </c>
      <c r="D55" s="59">
        <v>0</v>
      </c>
      <c r="E55" s="59">
        <v>3.2638888888888891E-2</v>
      </c>
      <c r="F55" s="58" t="s">
        <v>452</v>
      </c>
      <c r="G55" s="58" t="s">
        <v>599</v>
      </c>
      <c r="H55" s="58" t="s">
        <v>719</v>
      </c>
      <c r="I55" s="58" t="s">
        <v>720</v>
      </c>
      <c r="J55" s="58" t="s">
        <v>721</v>
      </c>
      <c r="K55" s="58" t="s">
        <v>59</v>
      </c>
      <c r="L55" s="58" t="s">
        <v>362</v>
      </c>
      <c r="M55" s="58" t="s">
        <v>722</v>
      </c>
      <c r="N55" s="58" t="s">
        <v>723</v>
      </c>
      <c r="O55" s="56" t="s">
        <v>593</v>
      </c>
      <c r="P55" s="56">
        <v>7</v>
      </c>
      <c r="Q55" s="58" t="s">
        <v>724</v>
      </c>
      <c r="R55" s="56"/>
      <c r="S55" s="56"/>
      <c r="T55" s="56" t="s">
        <v>725</v>
      </c>
      <c r="U55" s="56" t="s">
        <v>501</v>
      </c>
      <c r="V55" s="56" t="s">
        <v>726</v>
      </c>
      <c r="W55" s="56" t="s">
        <v>66</v>
      </c>
      <c r="X55" s="56"/>
      <c r="Y55" s="56"/>
      <c r="Z55" s="56"/>
      <c r="AA55" s="56"/>
      <c r="AB55" s="58" t="s">
        <v>727</v>
      </c>
      <c r="AC55" s="58" t="s">
        <v>68</v>
      </c>
      <c r="AD55" s="58" t="s">
        <v>90</v>
      </c>
      <c r="AE55" s="56" t="s">
        <v>91</v>
      </c>
      <c r="AF55" s="58"/>
      <c r="AG55" s="58"/>
      <c r="AH55" s="58"/>
      <c r="AI55" s="56">
        <v>9</v>
      </c>
      <c r="AJ55" s="57">
        <v>45755</v>
      </c>
      <c r="AK55" s="59">
        <v>3.2638888888888891E-2</v>
      </c>
      <c r="AL55" s="57"/>
      <c r="AM55" s="59"/>
      <c r="AN55" s="57">
        <v>45755</v>
      </c>
      <c r="AO55" s="59">
        <v>3.6493055555555556E-2</v>
      </c>
      <c r="AP55" s="56">
        <v>2025</v>
      </c>
      <c r="AQ55" s="61">
        <v>15</v>
      </c>
      <c r="AR55" s="61">
        <v>2</v>
      </c>
      <c r="AS55" s="61">
        <v>8</v>
      </c>
      <c r="AT55" s="62">
        <v>98</v>
      </c>
      <c r="AU55" s="63">
        <v>45755.032638888886</v>
      </c>
      <c r="AV55" s="56">
        <v>120</v>
      </c>
      <c r="AW55" t="s">
        <v>724</v>
      </c>
      <c r="AX55" s="58" t="s">
        <v>728</v>
      </c>
      <c r="AY55" s="58" t="s">
        <v>729</v>
      </c>
      <c r="AZ55" s="58" t="s">
        <v>730</v>
      </c>
      <c r="BA55" s="56" t="s">
        <v>731</v>
      </c>
      <c r="BB55" s="58" t="s">
        <v>173</v>
      </c>
    </row>
    <row r="56" spans="1:54" x14ac:dyDescent="0.3">
      <c r="A56" s="56" t="s">
        <v>800</v>
      </c>
      <c r="B56" s="57">
        <v>45756</v>
      </c>
      <c r="C56" s="58" t="s">
        <v>98</v>
      </c>
      <c r="D56" s="59">
        <v>0.95833333333333337</v>
      </c>
      <c r="E56" s="59">
        <v>0.96527777777777779</v>
      </c>
      <c r="F56" s="58" t="s">
        <v>453</v>
      </c>
      <c r="G56" s="58" t="s">
        <v>599</v>
      </c>
      <c r="H56" s="58" t="s">
        <v>801</v>
      </c>
      <c r="I56" s="58" t="s">
        <v>802</v>
      </c>
      <c r="J56" s="58" t="s">
        <v>59</v>
      </c>
      <c r="K56" s="58" t="s">
        <v>59</v>
      </c>
      <c r="L56" s="58" t="s">
        <v>60</v>
      </c>
      <c r="M56" s="58" t="s">
        <v>60</v>
      </c>
      <c r="N56" s="58" t="s">
        <v>803</v>
      </c>
      <c r="O56" s="56" t="s">
        <v>156</v>
      </c>
      <c r="P56" s="56">
        <v>8</v>
      </c>
      <c r="Q56" s="58" t="s">
        <v>804</v>
      </c>
      <c r="R56" s="56"/>
      <c r="S56" s="56"/>
      <c r="T56" s="56" t="s">
        <v>805</v>
      </c>
      <c r="U56" s="56" t="s">
        <v>556</v>
      </c>
      <c r="V56" s="56" t="s">
        <v>806</v>
      </c>
      <c r="W56" s="56" t="s">
        <v>66</v>
      </c>
      <c r="X56" s="56"/>
      <c r="Y56" s="56"/>
      <c r="Z56" s="56"/>
      <c r="AA56" s="56"/>
      <c r="AB56" s="58" t="s">
        <v>417</v>
      </c>
      <c r="AC56" s="58" t="s">
        <v>68</v>
      </c>
      <c r="AD56" s="58" t="s">
        <v>245</v>
      </c>
      <c r="AE56" s="56" t="s">
        <v>207</v>
      </c>
      <c r="AF56" s="58" t="s">
        <v>525</v>
      </c>
      <c r="AG56" s="58" t="s">
        <v>124</v>
      </c>
      <c r="AH56" s="58"/>
      <c r="AI56" s="56">
        <v>9</v>
      </c>
      <c r="AJ56" s="57">
        <v>45756</v>
      </c>
      <c r="AK56" s="59">
        <v>0.96527777777777779</v>
      </c>
      <c r="AL56" s="57">
        <v>45756</v>
      </c>
      <c r="AM56" s="59">
        <v>0.96597222222222223</v>
      </c>
      <c r="AN56" s="57">
        <v>45757</v>
      </c>
      <c r="AO56" s="59">
        <v>0.57611111111111113</v>
      </c>
      <c r="AP56" s="56">
        <v>2025</v>
      </c>
      <c r="AQ56" s="61">
        <v>15</v>
      </c>
      <c r="AR56" s="61">
        <v>2</v>
      </c>
      <c r="AS56" s="61">
        <v>9</v>
      </c>
      <c r="AT56" s="62">
        <v>99</v>
      </c>
      <c r="AU56" s="63">
        <v>45756.965277777781</v>
      </c>
      <c r="AV56" s="56">
        <v>283</v>
      </c>
      <c r="AW56" t="s">
        <v>804</v>
      </c>
      <c r="AX56" s="58" t="s">
        <v>807</v>
      </c>
      <c r="AY56" s="58" t="s">
        <v>808</v>
      </c>
      <c r="AZ56" s="58" t="s">
        <v>809</v>
      </c>
      <c r="BA56" s="56" t="s">
        <v>731</v>
      </c>
      <c r="BB56" s="58" t="s">
        <v>110</v>
      </c>
    </row>
  </sheetData>
  <pageMargins left="0.7" right="0.7" top="0.75" bottom="0.75" header="0.3" footer="0.3"/>
  <pageSetup orientation="portrait" horizontalDpi="1200" verticalDpi="1200"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tabColor rgb="FFC00000"/>
  </sheetPr>
  <dimension ref="A1:BC2"/>
  <sheetViews>
    <sheetView workbookViewId="0">
      <selection activeCell="B2" sqref="B2"/>
    </sheetView>
  </sheetViews>
  <sheetFormatPr defaultRowHeight="14.4" x14ac:dyDescent="0.3"/>
  <cols>
    <col min="1" max="1" width="8.5546875" bestFit="1" customWidth="1"/>
    <col min="2" max="2" width="15.6640625" bestFit="1" customWidth="1"/>
    <col min="3" max="3" width="11.5546875" bestFit="1" customWidth="1"/>
    <col min="4" max="4" width="24.33203125" bestFit="1" customWidth="1"/>
    <col min="5" max="5" width="14.33203125" bestFit="1" customWidth="1"/>
    <col min="6" max="6" width="11" bestFit="1" customWidth="1"/>
    <col min="7" max="7" width="11.6640625" bestFit="1" customWidth="1"/>
    <col min="8" max="8" width="14.5546875" bestFit="1" customWidth="1"/>
    <col min="9" max="9" width="25.33203125" bestFit="1" customWidth="1"/>
    <col min="10" max="10" width="22.5546875" bestFit="1" customWidth="1"/>
    <col min="11" max="12" width="18.44140625" bestFit="1" customWidth="1"/>
    <col min="13" max="14" width="17.5546875" bestFit="1" customWidth="1"/>
    <col min="15" max="15" width="44.88671875" bestFit="1" customWidth="1"/>
    <col min="16" max="16" width="5.5546875" bestFit="1" customWidth="1"/>
    <col min="17" max="17" width="6.33203125" bestFit="1" customWidth="1"/>
    <col min="18" max="18" width="255.6640625" bestFit="1" customWidth="1"/>
    <col min="19" max="19" width="20" bestFit="1" customWidth="1"/>
    <col min="20" max="20" width="22" bestFit="1" customWidth="1"/>
    <col min="21" max="21" width="15.6640625" bestFit="1" customWidth="1"/>
    <col min="22" max="22" width="8" bestFit="1" customWidth="1"/>
    <col min="23" max="23" width="8.88671875" bestFit="1" customWidth="1"/>
    <col min="24" max="24" width="12.6640625" bestFit="1" customWidth="1"/>
    <col min="25" max="25" width="15.6640625" bestFit="1" customWidth="1"/>
    <col min="26" max="26" width="12.6640625" bestFit="1" customWidth="1"/>
    <col min="27" max="27" width="8" bestFit="1" customWidth="1"/>
    <col min="28" max="28" width="8.88671875" bestFit="1" customWidth="1"/>
    <col min="29" max="29" width="14.44140625" bestFit="1" customWidth="1"/>
    <col min="30" max="30" width="16.44140625" bestFit="1" customWidth="1"/>
    <col min="31" max="31" width="20.109375" bestFit="1" customWidth="1"/>
    <col min="32" max="32" width="7.5546875" bestFit="1" customWidth="1"/>
    <col min="33" max="33" width="15.6640625" bestFit="1" customWidth="1"/>
    <col min="34" max="34" width="14.33203125" bestFit="1" customWidth="1"/>
    <col min="35" max="35" width="23" bestFit="1" customWidth="1"/>
    <col min="36" max="36" width="27.33203125" bestFit="1" customWidth="1"/>
    <col min="37" max="37" width="15.33203125" bestFit="1" customWidth="1"/>
    <col min="38" max="38" width="15.44140625" bestFit="1" customWidth="1"/>
    <col min="39" max="39" width="25.88671875" bestFit="1" customWidth="1"/>
    <col min="40" max="40" width="26.109375" bestFit="1" customWidth="1"/>
    <col min="41" max="41" width="13.6640625" bestFit="1" customWidth="1"/>
    <col min="42" max="42" width="13.88671875" bestFit="1" customWidth="1"/>
    <col min="43" max="43" width="5.6640625" bestFit="1" customWidth="1"/>
    <col min="44" max="44" width="14.88671875" bestFit="1" customWidth="1"/>
    <col min="45" max="45" width="16.6640625" bestFit="1" customWidth="1"/>
    <col min="46" max="46" width="5" bestFit="1" customWidth="1"/>
    <col min="47" max="47" width="12.6640625" bestFit="1" customWidth="1"/>
    <col min="48" max="48" width="23.6640625" bestFit="1" customWidth="1"/>
    <col min="49" max="49" width="4.33203125" bestFit="1" customWidth="1"/>
    <col min="50" max="50" width="255.6640625" bestFit="1" customWidth="1"/>
    <col min="51" max="51" width="32.5546875" bestFit="1" customWidth="1"/>
    <col min="52" max="52" width="9.5546875" bestFit="1" customWidth="1"/>
    <col min="53" max="53" width="27.6640625" bestFit="1" customWidth="1"/>
    <col min="54" max="54" width="17.88671875" bestFit="1" customWidth="1"/>
    <col min="55" max="55" width="23.6640625" bestFit="1" customWidth="1"/>
  </cols>
  <sheetData>
    <row r="1" spans="1:55" ht="18.600000000000001" thickBot="1" x14ac:dyDescent="0.4">
      <c r="A1" s="1">
        <v>45720</v>
      </c>
      <c r="B1" s="33" t="s">
        <v>0</v>
      </c>
      <c r="C1" s="34" t="s">
        <v>1</v>
      </c>
      <c r="D1" s="33" t="s">
        <v>2</v>
      </c>
      <c r="E1" s="35" t="s">
        <v>3</v>
      </c>
      <c r="F1" s="35" t="s">
        <v>4</v>
      </c>
      <c r="G1" s="33" t="s">
        <v>5</v>
      </c>
      <c r="H1" s="33" t="s">
        <v>6</v>
      </c>
      <c r="I1" s="33" t="s">
        <v>7</v>
      </c>
      <c r="J1" s="33" t="s">
        <v>8</v>
      </c>
      <c r="K1" s="33" t="s">
        <v>9</v>
      </c>
      <c r="L1" s="33" t="s">
        <v>10</v>
      </c>
      <c r="M1" s="33" t="s">
        <v>11</v>
      </c>
      <c r="N1" s="33" t="s">
        <v>12</v>
      </c>
      <c r="O1" s="33" t="s">
        <v>13</v>
      </c>
      <c r="P1" s="33" t="s">
        <v>14</v>
      </c>
      <c r="Q1" s="33" t="s">
        <v>15</v>
      </c>
      <c r="R1" s="33" t="s">
        <v>16</v>
      </c>
      <c r="S1" s="33" t="s">
        <v>17</v>
      </c>
      <c r="T1" s="33" t="s">
        <v>18</v>
      </c>
      <c r="U1" s="33" t="s">
        <v>19</v>
      </c>
      <c r="V1" s="33" t="s">
        <v>20</v>
      </c>
      <c r="W1" s="33" t="s">
        <v>21</v>
      </c>
      <c r="X1" s="33" t="s">
        <v>22</v>
      </c>
      <c r="Y1" s="33" t="s">
        <v>23</v>
      </c>
      <c r="Z1" s="33" t="s">
        <v>24</v>
      </c>
      <c r="AA1" s="33" t="s">
        <v>25</v>
      </c>
      <c r="AB1" s="33" t="s">
        <v>26</v>
      </c>
      <c r="AC1" s="33" t="s">
        <v>27</v>
      </c>
      <c r="AD1" s="33" t="s">
        <v>28</v>
      </c>
      <c r="AE1" s="33" t="s">
        <v>29</v>
      </c>
      <c r="AF1" s="33" t="s">
        <v>30</v>
      </c>
      <c r="AG1" s="33" t="s">
        <v>31</v>
      </c>
      <c r="AH1" s="33" t="s">
        <v>32</v>
      </c>
      <c r="AI1" s="33" t="s">
        <v>33</v>
      </c>
      <c r="AJ1" s="33" t="s">
        <v>34</v>
      </c>
      <c r="AK1" s="33" t="s">
        <v>35</v>
      </c>
      <c r="AL1" s="33" t="s">
        <v>36</v>
      </c>
      <c r="AM1" s="33" t="s">
        <v>37</v>
      </c>
      <c r="AN1" s="33" t="s">
        <v>38</v>
      </c>
      <c r="AO1" s="33" t="s">
        <v>39</v>
      </c>
      <c r="AP1" s="33" t="s">
        <v>40</v>
      </c>
      <c r="AQ1" s="33" t="s">
        <v>41</v>
      </c>
      <c r="AR1" s="33" t="s">
        <v>42</v>
      </c>
      <c r="AS1" s="33" t="s">
        <v>43</v>
      </c>
      <c r="AT1" s="33" t="s">
        <v>44</v>
      </c>
      <c r="AU1" s="33" t="s">
        <v>45</v>
      </c>
      <c r="AV1" s="33" t="s">
        <v>46</v>
      </c>
      <c r="AW1" s="33" t="s">
        <v>47</v>
      </c>
      <c r="AX1" s="33" t="s">
        <v>48</v>
      </c>
      <c r="AY1" s="33" t="s">
        <v>49</v>
      </c>
      <c r="AZ1" s="33" t="s">
        <v>50</v>
      </c>
      <c r="BA1" s="33" t="s">
        <v>51</v>
      </c>
      <c r="BB1" s="33" t="s">
        <v>52</v>
      </c>
      <c r="BC1" s="33" t="s">
        <v>53</v>
      </c>
    </row>
    <row r="2" spans="1:55" ht="15.6" x14ac:dyDescent="0.3">
      <c r="B2" s="36" t="str" cm="1">
        <f t="array" ref="B2:BC2">_xlfn._xlws.FILTER(RMS[], (RMS[INC_DATE] &gt;= A1 - 7) * (RMS[INC_DATE] &lt;= A1 - 1))</f>
        <v>25-015290</v>
      </c>
      <c r="C2" s="37">
        <v>45713</v>
      </c>
      <c r="D2" s="38" t="str">
        <v>08:00-11:59 Morning Peak</v>
      </c>
      <c r="E2" s="39">
        <v>0.41666666666666669</v>
      </c>
      <c r="F2" s="39">
        <v>0.41666666666666669</v>
      </c>
      <c r="G2" s="38" t="str">
        <v>Tue</v>
      </c>
      <c r="H2" s="38" t="str">
        <v>February</v>
      </c>
      <c r="I2" s="38" t="str">
        <v>Washington Ave, 400 Block</v>
      </c>
      <c r="J2" s="38" t="str">
        <v>430 Washington Avenue</v>
      </c>
      <c r="K2" s="38" t="str">
        <v>Motor Vehicle Theft</v>
      </c>
      <c r="L2" s="38" t="str">
        <v>Motor Vehicle Theft</v>
      </c>
      <c r="M2" s="38" t="str">
        <v/>
      </c>
      <c r="N2" s="38" t="str">
        <v/>
      </c>
      <c r="O2" s="38" t="str">
        <v>430 Washington Avenue, Hackensack, NJ, 07601</v>
      </c>
      <c r="P2" s="38" t="str">
        <v>E3</v>
      </c>
      <c r="Q2" s="38">
        <v>5</v>
      </c>
      <c r="R2" s="38" t="str">
        <v>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v>
      </c>
      <c r="S2">
        <v>0</v>
      </c>
      <c r="T2">
        <v>0</v>
      </c>
      <c r="U2" t="str">
        <v>8FL4661</v>
      </c>
      <c r="V2" t="str">
        <v>HONDA</v>
      </c>
      <c r="W2" t="str">
        <v>PILOT</v>
      </c>
      <c r="X2" t="str">
        <v>MD</v>
      </c>
      <c r="Y2">
        <v>0</v>
      </c>
      <c r="Z2">
        <v>0</v>
      </c>
      <c r="AA2">
        <v>0</v>
      </c>
      <c r="AB2">
        <v>0</v>
      </c>
      <c r="AC2" t="str">
        <v>Klosk_J</v>
      </c>
      <c r="AD2" t="str">
        <v>Complete</v>
      </c>
      <c r="AE2" t="str">
        <v>P.O. Denisse Caero 367</v>
      </c>
      <c r="AF2" t="str">
        <v>B2</v>
      </c>
      <c r="AG2">
        <v>0</v>
      </c>
      <c r="AH2">
        <v>0</v>
      </c>
      <c r="AI2">
        <v>0</v>
      </c>
      <c r="AJ2">
        <v>9</v>
      </c>
      <c r="AK2">
        <v>45713</v>
      </c>
      <c r="AL2">
        <v>0.41666666666666669</v>
      </c>
      <c r="AM2">
        <v>45713</v>
      </c>
      <c r="AN2">
        <v>0.95833333333333337</v>
      </c>
      <c r="AO2">
        <v>45712</v>
      </c>
      <c r="AP2">
        <v>0.99136574074074069</v>
      </c>
      <c r="AQ2">
        <v>2025</v>
      </c>
      <c r="AR2">
        <v>9</v>
      </c>
      <c r="AS2">
        <v>5</v>
      </c>
      <c r="AT2">
        <v>25</v>
      </c>
      <c r="AU2">
        <v>56</v>
      </c>
      <c r="AV2">
        <v>45713.416666666664</v>
      </c>
      <c r="AW2">
        <v>430</v>
      </c>
      <c r="AX2" t="str">
        <v>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v>
      </c>
      <c r="AY2" t="str">
        <v>Vehicle 1: MD-8FL4661 HONDA, PILOT</v>
      </c>
      <c r="AZ2" t="str">
        <v/>
      </c>
      <c r="BA2" t="str">
        <v/>
      </c>
      <c r="BB2" t="str">
        <v>C03W09</v>
      </c>
      <c r="BC2" t="str">
        <v>Morning Peak (08:00-11:59)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16D32-AC08-44D5-B238-95BE61A326E1}">
  <sheetPr>
    <tabColor rgb="FF00B0F0"/>
  </sheetPr>
  <dimension ref="A1:G53"/>
  <sheetViews>
    <sheetView workbookViewId="0">
      <selection activeCell="H9" sqref="H9"/>
    </sheetView>
  </sheetViews>
  <sheetFormatPr defaultRowHeight="14.4" x14ac:dyDescent="0.3"/>
  <cols>
    <col min="1" max="1" width="26.21875" bestFit="1" customWidth="1"/>
    <col min="2" max="2" width="19.44140625" bestFit="1" customWidth="1"/>
    <col min="3" max="3" width="18.109375" bestFit="1" customWidth="1"/>
    <col min="4" max="4" width="20.77734375" bestFit="1" customWidth="1"/>
    <col min="5" max="5" width="19.44140625" bestFit="1" customWidth="1"/>
    <col min="6" max="6" width="21.6640625" bestFit="1" customWidth="1"/>
    <col min="7" max="7" width="11.21875" bestFit="1" customWidth="1"/>
  </cols>
  <sheetData>
    <row r="1" spans="1:7" ht="18" x14ac:dyDescent="0.35">
      <c r="A1" s="128" t="s">
        <v>756</v>
      </c>
      <c r="B1" s="128" t="s">
        <v>757</v>
      </c>
      <c r="C1" s="128" t="s">
        <v>758</v>
      </c>
      <c r="D1" s="128" t="s">
        <v>759</v>
      </c>
      <c r="E1" s="128" t="s">
        <v>760</v>
      </c>
      <c r="F1" s="8" t="s">
        <v>761</v>
      </c>
      <c r="G1" s="8" t="s">
        <v>762</v>
      </c>
    </row>
    <row r="2" spans="1:7" ht="18" x14ac:dyDescent="0.35">
      <c r="A2" s="128">
        <v>45664</v>
      </c>
      <c r="B2" s="128">
        <v>45657</v>
      </c>
      <c r="C2" s="128">
        <v>45663</v>
      </c>
      <c r="D2" s="128">
        <v>45636</v>
      </c>
      <c r="E2" s="128">
        <v>45663</v>
      </c>
      <c r="F2" s="8" t="s">
        <v>515</v>
      </c>
      <c r="G2" s="8" t="b">
        <f ca="1">_7Day_28Day_250414_[[#This Row],[Report_Due_Date]]=TODAY()+MOD(2-WEEKDAY(TODAY(),2),7)+IF(WEEKDAY(TODAY(),2)=2,7,0)</f>
        <v>0</v>
      </c>
    </row>
    <row r="3" spans="1:7" ht="18" x14ac:dyDescent="0.35">
      <c r="A3" s="128">
        <v>45671</v>
      </c>
      <c r="B3" s="128">
        <v>45664</v>
      </c>
      <c r="C3" s="128">
        <v>45670</v>
      </c>
      <c r="D3" s="128">
        <v>45643</v>
      </c>
      <c r="E3" s="128">
        <v>45670</v>
      </c>
      <c r="F3" s="8" t="s">
        <v>514</v>
      </c>
      <c r="G3" s="8" t="b">
        <f ca="1">_7Day_28Day_250414_[[#This Row],[Report_Due_Date]]=TODAY()+MOD(2-WEEKDAY(TODAY(),2),7)+IF(WEEKDAY(TODAY(),2)=2,7,0)</f>
        <v>0</v>
      </c>
    </row>
    <row r="4" spans="1:7" ht="18" x14ac:dyDescent="0.35">
      <c r="A4" s="128">
        <v>45678</v>
      </c>
      <c r="B4" s="128">
        <v>45671</v>
      </c>
      <c r="C4" s="128">
        <v>45677</v>
      </c>
      <c r="D4" s="128">
        <v>45650</v>
      </c>
      <c r="E4" s="128">
        <v>45677</v>
      </c>
      <c r="F4" s="8" t="s">
        <v>513</v>
      </c>
      <c r="G4" s="8" t="b">
        <f ca="1">_7Day_28Day_250414_[[#This Row],[Report_Due_Date]]=TODAY()+MOD(2-WEEKDAY(TODAY(),2),7)+IF(WEEKDAY(TODAY(),2)=2,7,0)</f>
        <v>0</v>
      </c>
    </row>
    <row r="5" spans="1:7" ht="18" x14ac:dyDescent="0.35">
      <c r="A5" s="128">
        <v>45685</v>
      </c>
      <c r="B5" s="128">
        <v>45678</v>
      </c>
      <c r="C5" s="128">
        <v>45684</v>
      </c>
      <c r="D5" s="128">
        <v>45657</v>
      </c>
      <c r="E5" s="128">
        <v>45684</v>
      </c>
      <c r="F5" s="8" t="s">
        <v>512</v>
      </c>
      <c r="G5" s="8" t="b">
        <f ca="1">_7Day_28Day_250414_[[#This Row],[Report_Due_Date]]=TODAY()+MOD(2-WEEKDAY(TODAY(),2),7)+IF(WEEKDAY(TODAY(),2)=2,7,0)</f>
        <v>0</v>
      </c>
    </row>
    <row r="6" spans="1:7" ht="18" x14ac:dyDescent="0.35">
      <c r="A6" s="128">
        <v>45692</v>
      </c>
      <c r="B6" s="128">
        <v>45685</v>
      </c>
      <c r="C6" s="128">
        <v>45691</v>
      </c>
      <c r="D6" s="128">
        <v>45664</v>
      </c>
      <c r="E6" s="128">
        <v>45691</v>
      </c>
      <c r="F6" s="8" t="s">
        <v>511</v>
      </c>
      <c r="G6" s="8" t="b">
        <f ca="1">_7Day_28Day_250414_[[#This Row],[Report_Due_Date]]=TODAY()+MOD(2-WEEKDAY(TODAY(),2),7)+IF(WEEKDAY(TODAY(),2)=2,7,0)</f>
        <v>0</v>
      </c>
    </row>
    <row r="7" spans="1:7" ht="18" x14ac:dyDescent="0.35">
      <c r="A7" s="128">
        <v>45699</v>
      </c>
      <c r="B7" s="128">
        <v>45692</v>
      </c>
      <c r="C7" s="128">
        <v>45698</v>
      </c>
      <c r="D7" s="128">
        <v>45671</v>
      </c>
      <c r="E7" s="128">
        <v>45698</v>
      </c>
      <c r="F7" s="8" t="s">
        <v>510</v>
      </c>
      <c r="G7" s="8" t="b">
        <f ca="1">_7Day_28Day_250414_[[#This Row],[Report_Due_Date]]=TODAY()+MOD(2-WEEKDAY(TODAY(),2),7)+IF(WEEKDAY(TODAY(),2)=2,7,0)</f>
        <v>0</v>
      </c>
    </row>
    <row r="8" spans="1:7" ht="18" x14ac:dyDescent="0.35">
      <c r="A8" s="128">
        <v>45706</v>
      </c>
      <c r="B8" s="128">
        <v>45699</v>
      </c>
      <c r="C8" s="128">
        <v>45705</v>
      </c>
      <c r="D8" s="128">
        <v>45678</v>
      </c>
      <c r="E8" s="128">
        <v>45705</v>
      </c>
      <c r="F8" s="8" t="s">
        <v>509</v>
      </c>
      <c r="G8" s="8" t="b">
        <f ca="1">_7Day_28Day_250414_[[#This Row],[Report_Due_Date]]=TODAY()+MOD(2-WEEKDAY(TODAY(),2),7)+IF(WEEKDAY(TODAY(),2)=2,7,0)</f>
        <v>0</v>
      </c>
    </row>
    <row r="9" spans="1:7" ht="18" x14ac:dyDescent="0.35">
      <c r="A9" s="128">
        <v>45713</v>
      </c>
      <c r="B9" s="128">
        <v>45706</v>
      </c>
      <c r="C9" s="128">
        <v>45712</v>
      </c>
      <c r="D9" s="128">
        <v>45685</v>
      </c>
      <c r="E9" s="128">
        <v>45712</v>
      </c>
      <c r="F9" s="8" t="s">
        <v>508</v>
      </c>
      <c r="G9" s="8" t="b">
        <f ca="1">_7Day_28Day_250414_[[#This Row],[Report_Due_Date]]=TODAY()+MOD(2-WEEKDAY(TODAY(),2),7)+IF(WEEKDAY(TODAY(),2)=2,7,0)</f>
        <v>0</v>
      </c>
    </row>
    <row r="10" spans="1:7" ht="18" x14ac:dyDescent="0.35">
      <c r="A10" s="128">
        <v>45720</v>
      </c>
      <c r="B10" s="128">
        <v>45713</v>
      </c>
      <c r="C10" s="128">
        <v>45719</v>
      </c>
      <c r="D10" s="128">
        <v>45692</v>
      </c>
      <c r="E10" s="128">
        <v>45719</v>
      </c>
      <c r="F10" s="8" t="s">
        <v>507</v>
      </c>
      <c r="G10" s="8" t="b">
        <f ca="1">_7Day_28Day_250414_[[#This Row],[Report_Due_Date]]=TODAY()+MOD(2-WEEKDAY(TODAY(),2),7)+IF(WEEKDAY(TODAY(),2)=2,7,0)</f>
        <v>0</v>
      </c>
    </row>
    <row r="11" spans="1:7" ht="18" x14ac:dyDescent="0.35">
      <c r="A11" s="128">
        <v>45727</v>
      </c>
      <c r="B11" s="128">
        <v>45720</v>
      </c>
      <c r="C11" s="128">
        <v>45726</v>
      </c>
      <c r="D11" s="128">
        <v>45699</v>
      </c>
      <c r="E11" s="128">
        <v>45726</v>
      </c>
      <c r="F11" s="8" t="s">
        <v>506</v>
      </c>
      <c r="G11" s="8" t="b">
        <f ca="1">_7Day_28Day_250414_[[#This Row],[Report_Due_Date]]=TODAY()+MOD(2-WEEKDAY(TODAY(),2),7)+IF(WEEKDAY(TODAY(),2)=2,7,0)</f>
        <v>0</v>
      </c>
    </row>
    <row r="12" spans="1:7" ht="18" x14ac:dyDescent="0.35">
      <c r="A12" s="128">
        <v>45734</v>
      </c>
      <c r="B12" s="128">
        <v>45727</v>
      </c>
      <c r="C12" s="128">
        <v>45733</v>
      </c>
      <c r="D12" s="128">
        <v>45706</v>
      </c>
      <c r="E12" s="128">
        <v>45733</v>
      </c>
      <c r="F12" s="8" t="s">
        <v>529</v>
      </c>
      <c r="G12" s="8" t="b">
        <f ca="1">_7Day_28Day_250414_[[#This Row],[Report_Due_Date]]=TODAY()+MOD(2-WEEKDAY(TODAY(),2),7)+IF(WEEKDAY(TODAY(),2)=2,7,0)</f>
        <v>0</v>
      </c>
    </row>
    <row r="13" spans="1:7" ht="18" x14ac:dyDescent="0.35">
      <c r="A13" s="128">
        <v>45741</v>
      </c>
      <c r="B13" s="128">
        <v>45734</v>
      </c>
      <c r="C13" s="128">
        <v>45740</v>
      </c>
      <c r="D13" s="128">
        <v>45713</v>
      </c>
      <c r="E13" s="128">
        <v>45740</v>
      </c>
      <c r="F13" s="8" t="s">
        <v>549</v>
      </c>
      <c r="G13" s="8" t="b">
        <f ca="1">_7Day_28Day_250414_[[#This Row],[Report_Due_Date]]=TODAY()+MOD(2-WEEKDAY(TODAY(),2),7)+IF(WEEKDAY(TODAY(),2)=2,7,0)</f>
        <v>0</v>
      </c>
    </row>
    <row r="14" spans="1:7" ht="18" x14ac:dyDescent="0.35">
      <c r="A14" s="128">
        <v>45748</v>
      </c>
      <c r="B14" s="128">
        <v>45741</v>
      </c>
      <c r="C14" s="128">
        <v>45747</v>
      </c>
      <c r="D14" s="128">
        <v>45720</v>
      </c>
      <c r="E14" s="128">
        <v>45747</v>
      </c>
      <c r="F14" s="8" t="s">
        <v>582</v>
      </c>
      <c r="G14" s="8" t="b">
        <f ca="1">_7Day_28Day_250414_[[#This Row],[Report_Due_Date]]=TODAY()+MOD(2-WEEKDAY(TODAY(),2),7)+IF(WEEKDAY(TODAY(),2)=2,7,0)</f>
        <v>0</v>
      </c>
    </row>
    <row r="15" spans="1:7" ht="18" x14ac:dyDescent="0.35">
      <c r="A15" s="128">
        <v>45755</v>
      </c>
      <c r="B15" s="128">
        <v>45748</v>
      </c>
      <c r="C15" s="128">
        <v>45754</v>
      </c>
      <c r="D15" s="128">
        <v>45727</v>
      </c>
      <c r="E15" s="128">
        <v>45754</v>
      </c>
      <c r="F15" s="8" t="s">
        <v>605</v>
      </c>
      <c r="G15" s="8" t="b">
        <f ca="1">_7Day_28Day_250414_[[#This Row],[Report_Due_Date]]=TODAY()+MOD(2-WEEKDAY(TODAY(),2),7)+IF(WEEKDAY(TODAY(),2)=2,7,0)</f>
        <v>0</v>
      </c>
    </row>
    <row r="16" spans="1:7" ht="18" x14ac:dyDescent="0.35">
      <c r="A16" s="128">
        <v>45762</v>
      </c>
      <c r="B16" s="128">
        <v>45755</v>
      </c>
      <c r="C16" s="128">
        <v>45761</v>
      </c>
      <c r="D16" s="128">
        <v>45734</v>
      </c>
      <c r="E16" s="128">
        <v>45761</v>
      </c>
      <c r="F16" s="8" t="s">
        <v>731</v>
      </c>
      <c r="G16" s="8" t="b">
        <f ca="1">_7Day_28Day_250414_[[#This Row],[Report_Due_Date]]=TODAY()+MOD(2-WEEKDAY(TODAY(),2),7)+IF(WEEKDAY(TODAY(),2)=2,7,0)</f>
        <v>0</v>
      </c>
    </row>
    <row r="17" spans="1:7" ht="18" x14ac:dyDescent="0.35">
      <c r="A17" s="128">
        <v>45769</v>
      </c>
      <c r="B17" s="128">
        <v>45762</v>
      </c>
      <c r="C17" s="128">
        <v>45768</v>
      </c>
      <c r="D17" s="128">
        <v>45741</v>
      </c>
      <c r="E17" s="128">
        <v>45768</v>
      </c>
      <c r="F17" s="8" t="s">
        <v>763</v>
      </c>
      <c r="G17" s="8" t="b">
        <f ca="1">_7Day_28Day_250414_[[#This Row],[Report_Due_Date]]=TODAY()+MOD(2-WEEKDAY(TODAY(),2),7)+IF(WEEKDAY(TODAY(),2)=2,7,0)</f>
        <v>0</v>
      </c>
    </row>
    <row r="18" spans="1:7" ht="18" x14ac:dyDescent="0.35">
      <c r="A18" s="128">
        <v>45776</v>
      </c>
      <c r="B18" s="128">
        <v>45769</v>
      </c>
      <c r="C18" s="128">
        <v>45775</v>
      </c>
      <c r="D18" s="128">
        <v>45748</v>
      </c>
      <c r="E18" s="128">
        <v>45775</v>
      </c>
      <c r="F18" s="8" t="s">
        <v>764</v>
      </c>
      <c r="G18" s="8" t="b">
        <f ca="1">_7Day_28Day_250414_[[#This Row],[Report_Due_Date]]=TODAY()+MOD(2-WEEKDAY(TODAY(),2),7)+IF(WEEKDAY(TODAY(),2)=2,7,0)</f>
        <v>0</v>
      </c>
    </row>
    <row r="19" spans="1:7" ht="18" x14ac:dyDescent="0.35">
      <c r="A19" s="128">
        <v>45783</v>
      </c>
      <c r="B19" s="128">
        <v>45776</v>
      </c>
      <c r="C19" s="128">
        <v>45782</v>
      </c>
      <c r="D19" s="128">
        <v>45755</v>
      </c>
      <c r="E19" s="128">
        <v>45782</v>
      </c>
      <c r="F19" s="8" t="s">
        <v>765</v>
      </c>
      <c r="G19" s="8" t="b">
        <f ca="1">_7Day_28Day_250414_[[#This Row],[Report_Due_Date]]=TODAY()+MOD(2-WEEKDAY(TODAY(),2),7)+IF(WEEKDAY(TODAY(),2)=2,7,0)</f>
        <v>0</v>
      </c>
    </row>
    <row r="20" spans="1:7" ht="18" x14ac:dyDescent="0.35">
      <c r="A20" s="128">
        <v>45790</v>
      </c>
      <c r="B20" s="128">
        <v>45783</v>
      </c>
      <c r="C20" s="128">
        <v>45789</v>
      </c>
      <c r="D20" s="128">
        <v>45762</v>
      </c>
      <c r="E20" s="128">
        <v>45789</v>
      </c>
      <c r="F20" s="8" t="s">
        <v>766</v>
      </c>
      <c r="G20" s="8" t="b">
        <f ca="1">_7Day_28Day_250414_[[#This Row],[Report_Due_Date]]=TODAY()+MOD(2-WEEKDAY(TODAY(),2),7)+IF(WEEKDAY(TODAY(),2)=2,7,0)</f>
        <v>0</v>
      </c>
    </row>
    <row r="21" spans="1:7" ht="18" x14ac:dyDescent="0.35">
      <c r="A21" s="128">
        <v>45797</v>
      </c>
      <c r="B21" s="128">
        <v>45790</v>
      </c>
      <c r="C21" s="128">
        <v>45796</v>
      </c>
      <c r="D21" s="128">
        <v>45769</v>
      </c>
      <c r="E21" s="128">
        <v>45796</v>
      </c>
      <c r="F21" s="8" t="s">
        <v>767</v>
      </c>
      <c r="G21" s="8" t="b">
        <f ca="1">_7Day_28Day_250414_[[#This Row],[Report_Due_Date]]=TODAY()+MOD(2-WEEKDAY(TODAY(),2),7)+IF(WEEKDAY(TODAY(),2)=2,7,0)</f>
        <v>1</v>
      </c>
    </row>
    <row r="22" spans="1:7" ht="18" x14ac:dyDescent="0.35">
      <c r="A22" s="128">
        <v>45804</v>
      </c>
      <c r="B22" s="128">
        <v>45797</v>
      </c>
      <c r="C22" s="128">
        <v>45803</v>
      </c>
      <c r="D22" s="128">
        <v>45776</v>
      </c>
      <c r="E22" s="128">
        <v>45803</v>
      </c>
      <c r="F22" s="8" t="s">
        <v>768</v>
      </c>
      <c r="G22" s="8" t="b">
        <f ca="1">_7Day_28Day_250414_[[#This Row],[Report_Due_Date]]=TODAY()+MOD(2-WEEKDAY(TODAY(),2),7)+IF(WEEKDAY(TODAY(),2)=2,7,0)</f>
        <v>0</v>
      </c>
    </row>
    <row r="23" spans="1:7" ht="18" x14ac:dyDescent="0.35">
      <c r="A23" s="128">
        <v>45811</v>
      </c>
      <c r="B23" s="128">
        <v>45804</v>
      </c>
      <c r="C23" s="128">
        <v>45810</v>
      </c>
      <c r="D23" s="128">
        <v>45783</v>
      </c>
      <c r="E23" s="128">
        <v>45810</v>
      </c>
      <c r="F23" s="8" t="s">
        <v>769</v>
      </c>
      <c r="G23" s="8" t="b">
        <f ca="1">_7Day_28Day_250414_[[#This Row],[Report_Due_Date]]=TODAY()+MOD(2-WEEKDAY(TODAY(),2),7)+IF(WEEKDAY(TODAY(),2)=2,7,0)</f>
        <v>0</v>
      </c>
    </row>
    <row r="24" spans="1:7" ht="18" x14ac:dyDescent="0.35">
      <c r="A24" s="128">
        <v>45818</v>
      </c>
      <c r="B24" s="128">
        <v>45811</v>
      </c>
      <c r="C24" s="128">
        <v>45817</v>
      </c>
      <c r="D24" s="128">
        <v>45790</v>
      </c>
      <c r="E24" s="128">
        <v>45817</v>
      </c>
      <c r="F24" s="8" t="s">
        <v>770</v>
      </c>
      <c r="G24" s="8" t="b">
        <f ca="1">_7Day_28Day_250414_[[#This Row],[Report_Due_Date]]=TODAY()+MOD(2-WEEKDAY(TODAY(),2),7)+IF(WEEKDAY(TODAY(),2)=2,7,0)</f>
        <v>0</v>
      </c>
    </row>
    <row r="25" spans="1:7" ht="18" x14ac:dyDescent="0.35">
      <c r="A25" s="128">
        <v>45825</v>
      </c>
      <c r="B25" s="128">
        <v>45818</v>
      </c>
      <c r="C25" s="128">
        <v>45824</v>
      </c>
      <c r="D25" s="128">
        <v>45797</v>
      </c>
      <c r="E25" s="128">
        <v>45824</v>
      </c>
      <c r="F25" s="8" t="s">
        <v>771</v>
      </c>
      <c r="G25" s="8" t="b">
        <f ca="1">_7Day_28Day_250414_[[#This Row],[Report_Due_Date]]=TODAY()+MOD(2-WEEKDAY(TODAY(),2),7)+IF(WEEKDAY(TODAY(),2)=2,7,0)</f>
        <v>0</v>
      </c>
    </row>
    <row r="26" spans="1:7" ht="18" x14ac:dyDescent="0.35">
      <c r="A26" s="128">
        <v>45832</v>
      </c>
      <c r="B26" s="128">
        <v>45825</v>
      </c>
      <c r="C26" s="128">
        <v>45831</v>
      </c>
      <c r="D26" s="128">
        <v>45804</v>
      </c>
      <c r="E26" s="128">
        <v>45831</v>
      </c>
      <c r="F26" s="8" t="s">
        <v>772</v>
      </c>
      <c r="G26" s="8" t="b">
        <f ca="1">_7Day_28Day_250414_[[#This Row],[Report_Due_Date]]=TODAY()+MOD(2-WEEKDAY(TODAY(),2),7)+IF(WEEKDAY(TODAY(),2)=2,7,0)</f>
        <v>0</v>
      </c>
    </row>
    <row r="27" spans="1:7" ht="18" x14ac:dyDescent="0.35">
      <c r="A27" s="128">
        <v>45839</v>
      </c>
      <c r="B27" s="128">
        <v>45832</v>
      </c>
      <c r="C27" s="128">
        <v>45838</v>
      </c>
      <c r="D27" s="128">
        <v>45811</v>
      </c>
      <c r="E27" s="128">
        <v>45838</v>
      </c>
      <c r="F27" s="8" t="s">
        <v>773</v>
      </c>
      <c r="G27" s="8" t="b">
        <f ca="1">_7Day_28Day_250414_[[#This Row],[Report_Due_Date]]=TODAY()+MOD(2-WEEKDAY(TODAY(),2),7)+IF(WEEKDAY(TODAY(),2)=2,7,0)</f>
        <v>0</v>
      </c>
    </row>
    <row r="28" spans="1:7" ht="18" x14ac:dyDescent="0.35">
      <c r="A28" s="128">
        <v>45846</v>
      </c>
      <c r="B28" s="128">
        <v>45839</v>
      </c>
      <c r="C28" s="128">
        <v>45845</v>
      </c>
      <c r="D28" s="128">
        <v>45818</v>
      </c>
      <c r="E28" s="128">
        <v>45845</v>
      </c>
      <c r="F28" s="8" t="s">
        <v>774</v>
      </c>
      <c r="G28" s="8" t="b">
        <f ca="1">_7Day_28Day_250414_[[#This Row],[Report_Due_Date]]=TODAY()+MOD(2-WEEKDAY(TODAY(),2),7)+IF(WEEKDAY(TODAY(),2)=2,7,0)</f>
        <v>0</v>
      </c>
    </row>
    <row r="29" spans="1:7" ht="18" x14ac:dyDescent="0.35">
      <c r="A29" s="128">
        <v>45853</v>
      </c>
      <c r="B29" s="128">
        <v>45846</v>
      </c>
      <c r="C29" s="128">
        <v>45852</v>
      </c>
      <c r="D29" s="128">
        <v>45825</v>
      </c>
      <c r="E29" s="128">
        <v>45852</v>
      </c>
      <c r="F29" s="8" t="s">
        <v>775</v>
      </c>
      <c r="G29" s="8" t="b">
        <f ca="1">_7Day_28Day_250414_[[#This Row],[Report_Due_Date]]=TODAY()+MOD(2-WEEKDAY(TODAY(),2),7)+IF(WEEKDAY(TODAY(),2)=2,7,0)</f>
        <v>0</v>
      </c>
    </row>
    <row r="30" spans="1:7" ht="18" x14ac:dyDescent="0.35">
      <c r="A30" s="128">
        <v>45860</v>
      </c>
      <c r="B30" s="128">
        <v>45853</v>
      </c>
      <c r="C30" s="128">
        <v>45859</v>
      </c>
      <c r="D30" s="128">
        <v>45832</v>
      </c>
      <c r="E30" s="128">
        <v>45859</v>
      </c>
      <c r="F30" s="8" t="s">
        <v>776</v>
      </c>
      <c r="G30" s="8" t="b">
        <f ca="1">_7Day_28Day_250414_[[#This Row],[Report_Due_Date]]=TODAY()+MOD(2-WEEKDAY(TODAY(),2),7)+IF(WEEKDAY(TODAY(),2)=2,7,0)</f>
        <v>0</v>
      </c>
    </row>
    <row r="31" spans="1:7" ht="18" x14ac:dyDescent="0.35">
      <c r="A31" s="128">
        <v>45867</v>
      </c>
      <c r="B31" s="128">
        <v>45860</v>
      </c>
      <c r="C31" s="128">
        <v>45866</v>
      </c>
      <c r="D31" s="128">
        <v>45839</v>
      </c>
      <c r="E31" s="128">
        <v>45866</v>
      </c>
      <c r="F31" s="8" t="s">
        <v>777</v>
      </c>
      <c r="G31" s="8" t="b">
        <f ca="1">_7Day_28Day_250414_[[#This Row],[Report_Due_Date]]=TODAY()+MOD(2-WEEKDAY(TODAY(),2),7)+IF(WEEKDAY(TODAY(),2)=2,7,0)</f>
        <v>0</v>
      </c>
    </row>
    <row r="32" spans="1:7" ht="18" x14ac:dyDescent="0.35">
      <c r="A32" s="128">
        <v>45874</v>
      </c>
      <c r="B32" s="128">
        <v>45867</v>
      </c>
      <c r="C32" s="128">
        <v>45873</v>
      </c>
      <c r="D32" s="128">
        <v>45846</v>
      </c>
      <c r="E32" s="128">
        <v>45873</v>
      </c>
      <c r="F32" s="8" t="s">
        <v>778</v>
      </c>
      <c r="G32" s="8" t="b">
        <f ca="1">_7Day_28Day_250414_[[#This Row],[Report_Due_Date]]=TODAY()+MOD(2-WEEKDAY(TODAY(),2),7)+IF(WEEKDAY(TODAY(),2)=2,7,0)</f>
        <v>0</v>
      </c>
    </row>
    <row r="33" spans="1:7" ht="18" x14ac:dyDescent="0.35">
      <c r="A33" s="128">
        <v>45881</v>
      </c>
      <c r="B33" s="128">
        <v>45874</v>
      </c>
      <c r="C33" s="128">
        <v>45880</v>
      </c>
      <c r="D33" s="128">
        <v>45853</v>
      </c>
      <c r="E33" s="128">
        <v>45880</v>
      </c>
      <c r="F33" s="8" t="s">
        <v>779</v>
      </c>
      <c r="G33" s="8" t="b">
        <f ca="1">_7Day_28Day_250414_[[#This Row],[Report_Due_Date]]=TODAY()+MOD(2-WEEKDAY(TODAY(),2),7)+IF(WEEKDAY(TODAY(),2)=2,7,0)</f>
        <v>0</v>
      </c>
    </row>
    <row r="34" spans="1:7" ht="18" x14ac:dyDescent="0.35">
      <c r="A34" s="128">
        <v>45888</v>
      </c>
      <c r="B34" s="128">
        <v>45881</v>
      </c>
      <c r="C34" s="128">
        <v>45887</v>
      </c>
      <c r="D34" s="128">
        <v>45860</v>
      </c>
      <c r="E34" s="128">
        <v>45887</v>
      </c>
      <c r="F34" s="8" t="s">
        <v>780</v>
      </c>
      <c r="G34" s="8" t="b">
        <f ca="1">_7Day_28Day_250414_[[#This Row],[Report_Due_Date]]=TODAY()+MOD(2-WEEKDAY(TODAY(),2),7)+IF(WEEKDAY(TODAY(),2)=2,7,0)</f>
        <v>0</v>
      </c>
    </row>
    <row r="35" spans="1:7" ht="18" x14ac:dyDescent="0.35">
      <c r="A35" s="128">
        <v>45895</v>
      </c>
      <c r="B35" s="128">
        <v>45888</v>
      </c>
      <c r="C35" s="128">
        <v>45894</v>
      </c>
      <c r="D35" s="128">
        <v>45867</v>
      </c>
      <c r="E35" s="128">
        <v>45894</v>
      </c>
      <c r="F35" s="8" t="s">
        <v>781</v>
      </c>
      <c r="G35" s="8" t="b">
        <f ca="1">_7Day_28Day_250414_[[#This Row],[Report_Due_Date]]=TODAY()+MOD(2-WEEKDAY(TODAY(),2),7)+IF(WEEKDAY(TODAY(),2)=2,7,0)</f>
        <v>0</v>
      </c>
    </row>
    <row r="36" spans="1:7" ht="18" x14ac:dyDescent="0.35">
      <c r="A36" s="128">
        <v>45902</v>
      </c>
      <c r="B36" s="128">
        <v>45895</v>
      </c>
      <c r="C36" s="128">
        <v>45901</v>
      </c>
      <c r="D36" s="128">
        <v>45874</v>
      </c>
      <c r="E36" s="128">
        <v>45901</v>
      </c>
      <c r="F36" s="8" t="s">
        <v>782</v>
      </c>
      <c r="G36" s="8" t="b">
        <f ca="1">_7Day_28Day_250414_[[#This Row],[Report_Due_Date]]=TODAY()+MOD(2-WEEKDAY(TODAY(),2),7)+IF(WEEKDAY(TODAY(),2)=2,7,0)</f>
        <v>0</v>
      </c>
    </row>
    <row r="37" spans="1:7" ht="18" x14ac:dyDescent="0.35">
      <c r="A37" s="128">
        <v>45909</v>
      </c>
      <c r="B37" s="128">
        <v>45902</v>
      </c>
      <c r="C37" s="128">
        <v>45908</v>
      </c>
      <c r="D37" s="128">
        <v>45881</v>
      </c>
      <c r="E37" s="128">
        <v>45908</v>
      </c>
      <c r="F37" s="8" t="s">
        <v>783</v>
      </c>
      <c r="G37" s="8" t="b">
        <f ca="1">_7Day_28Day_250414_[[#This Row],[Report_Due_Date]]=TODAY()+MOD(2-WEEKDAY(TODAY(),2),7)+IF(WEEKDAY(TODAY(),2)=2,7,0)</f>
        <v>0</v>
      </c>
    </row>
    <row r="38" spans="1:7" ht="18" x14ac:dyDescent="0.35">
      <c r="A38" s="128">
        <v>45916</v>
      </c>
      <c r="B38" s="128">
        <v>45909</v>
      </c>
      <c r="C38" s="128">
        <v>45915</v>
      </c>
      <c r="D38" s="128">
        <v>45888</v>
      </c>
      <c r="E38" s="128">
        <v>45915</v>
      </c>
      <c r="F38" s="8" t="s">
        <v>784</v>
      </c>
      <c r="G38" s="8" t="b">
        <f ca="1">_7Day_28Day_250414_[[#This Row],[Report_Due_Date]]=TODAY()+MOD(2-WEEKDAY(TODAY(),2),7)+IF(WEEKDAY(TODAY(),2)=2,7,0)</f>
        <v>0</v>
      </c>
    </row>
    <row r="39" spans="1:7" ht="18" x14ac:dyDescent="0.35">
      <c r="A39" s="128">
        <v>45923</v>
      </c>
      <c r="B39" s="128">
        <v>45916</v>
      </c>
      <c r="C39" s="128">
        <v>45922</v>
      </c>
      <c r="D39" s="128">
        <v>45895</v>
      </c>
      <c r="E39" s="128">
        <v>45922</v>
      </c>
      <c r="F39" s="8" t="s">
        <v>785</v>
      </c>
      <c r="G39" s="8" t="b">
        <f ca="1">_7Day_28Day_250414_[[#This Row],[Report_Due_Date]]=TODAY()+MOD(2-WEEKDAY(TODAY(),2),7)+IF(WEEKDAY(TODAY(),2)=2,7,0)</f>
        <v>0</v>
      </c>
    </row>
    <row r="40" spans="1:7" ht="18" x14ac:dyDescent="0.35">
      <c r="A40" s="128">
        <v>45930</v>
      </c>
      <c r="B40" s="128">
        <v>45923</v>
      </c>
      <c r="C40" s="128">
        <v>45929</v>
      </c>
      <c r="D40" s="128">
        <v>45902</v>
      </c>
      <c r="E40" s="128">
        <v>45929</v>
      </c>
      <c r="F40" s="8" t="s">
        <v>786</v>
      </c>
      <c r="G40" s="8" t="b">
        <f ca="1">_7Day_28Day_250414_[[#This Row],[Report_Due_Date]]=TODAY()+MOD(2-WEEKDAY(TODAY(),2),7)+IF(WEEKDAY(TODAY(),2)=2,7,0)</f>
        <v>0</v>
      </c>
    </row>
    <row r="41" spans="1:7" ht="18" x14ac:dyDescent="0.35">
      <c r="A41" s="128">
        <v>45937</v>
      </c>
      <c r="B41" s="128">
        <v>45930</v>
      </c>
      <c r="C41" s="128">
        <v>45936</v>
      </c>
      <c r="D41" s="128">
        <v>45909</v>
      </c>
      <c r="E41" s="128">
        <v>45936</v>
      </c>
      <c r="F41" s="8" t="s">
        <v>787</v>
      </c>
      <c r="G41" s="8" t="b">
        <f ca="1">_7Day_28Day_250414_[[#This Row],[Report_Due_Date]]=TODAY()+MOD(2-WEEKDAY(TODAY(),2),7)+IF(WEEKDAY(TODAY(),2)=2,7,0)</f>
        <v>0</v>
      </c>
    </row>
    <row r="42" spans="1:7" ht="18" x14ac:dyDescent="0.35">
      <c r="A42" s="128">
        <v>45944</v>
      </c>
      <c r="B42" s="128">
        <v>45937</v>
      </c>
      <c r="C42" s="128">
        <v>45943</v>
      </c>
      <c r="D42" s="128">
        <v>45916</v>
      </c>
      <c r="E42" s="128">
        <v>45943</v>
      </c>
      <c r="F42" s="8" t="s">
        <v>788</v>
      </c>
      <c r="G42" s="8" t="b">
        <f ca="1">_7Day_28Day_250414_[[#This Row],[Report_Due_Date]]=TODAY()+MOD(2-WEEKDAY(TODAY(),2),7)+IF(WEEKDAY(TODAY(),2)=2,7,0)</f>
        <v>0</v>
      </c>
    </row>
    <row r="43" spans="1:7" ht="18" x14ac:dyDescent="0.35">
      <c r="A43" s="128">
        <v>45951</v>
      </c>
      <c r="B43" s="128">
        <v>45944</v>
      </c>
      <c r="C43" s="128">
        <v>45950</v>
      </c>
      <c r="D43" s="128">
        <v>45923</v>
      </c>
      <c r="E43" s="128">
        <v>45950</v>
      </c>
      <c r="F43" s="8" t="s">
        <v>789</v>
      </c>
      <c r="G43" s="8" t="b">
        <f ca="1">_7Day_28Day_250414_[[#This Row],[Report_Due_Date]]=TODAY()+MOD(2-WEEKDAY(TODAY(),2),7)+IF(WEEKDAY(TODAY(),2)=2,7,0)</f>
        <v>0</v>
      </c>
    </row>
    <row r="44" spans="1:7" ht="18" x14ac:dyDescent="0.35">
      <c r="A44" s="128">
        <v>45958</v>
      </c>
      <c r="B44" s="128">
        <v>45951</v>
      </c>
      <c r="C44" s="128">
        <v>45957</v>
      </c>
      <c r="D44" s="128">
        <v>45930</v>
      </c>
      <c r="E44" s="128">
        <v>45957</v>
      </c>
      <c r="F44" s="8" t="s">
        <v>790</v>
      </c>
      <c r="G44" s="8" t="b">
        <f ca="1">_7Day_28Day_250414_[[#This Row],[Report_Due_Date]]=TODAY()+MOD(2-WEEKDAY(TODAY(),2),7)+IF(WEEKDAY(TODAY(),2)=2,7,0)</f>
        <v>0</v>
      </c>
    </row>
    <row r="45" spans="1:7" ht="18" x14ac:dyDescent="0.35">
      <c r="A45" s="128">
        <v>45965</v>
      </c>
      <c r="B45" s="128">
        <v>45958</v>
      </c>
      <c r="C45" s="128">
        <v>45964</v>
      </c>
      <c r="D45" s="128">
        <v>45937</v>
      </c>
      <c r="E45" s="128">
        <v>45964</v>
      </c>
      <c r="F45" s="8" t="s">
        <v>791</v>
      </c>
      <c r="G45" s="8" t="b">
        <f ca="1">_7Day_28Day_250414_[[#This Row],[Report_Due_Date]]=TODAY()+MOD(2-WEEKDAY(TODAY(),2),7)+IF(WEEKDAY(TODAY(),2)=2,7,0)</f>
        <v>0</v>
      </c>
    </row>
    <row r="46" spans="1:7" ht="18" x14ac:dyDescent="0.35">
      <c r="A46" s="128">
        <v>45972</v>
      </c>
      <c r="B46" s="128">
        <v>45965</v>
      </c>
      <c r="C46" s="128">
        <v>45971</v>
      </c>
      <c r="D46" s="128">
        <v>45944</v>
      </c>
      <c r="E46" s="128">
        <v>45971</v>
      </c>
      <c r="F46" s="8" t="s">
        <v>792</v>
      </c>
      <c r="G46" s="8" t="b">
        <f ca="1">_7Day_28Day_250414_[[#This Row],[Report_Due_Date]]=TODAY()+MOD(2-WEEKDAY(TODAY(),2),7)+IF(WEEKDAY(TODAY(),2)=2,7,0)</f>
        <v>0</v>
      </c>
    </row>
    <row r="47" spans="1:7" ht="18" x14ac:dyDescent="0.35">
      <c r="A47" s="128">
        <v>45979</v>
      </c>
      <c r="B47" s="128">
        <v>45972</v>
      </c>
      <c r="C47" s="128">
        <v>45978</v>
      </c>
      <c r="D47" s="128">
        <v>45951</v>
      </c>
      <c r="E47" s="128">
        <v>45978</v>
      </c>
      <c r="F47" s="8" t="s">
        <v>793</v>
      </c>
      <c r="G47" s="8" t="b">
        <f ca="1">_7Day_28Day_250414_[[#This Row],[Report_Due_Date]]=TODAY()+MOD(2-WEEKDAY(TODAY(),2),7)+IF(WEEKDAY(TODAY(),2)=2,7,0)</f>
        <v>0</v>
      </c>
    </row>
    <row r="48" spans="1:7" ht="18" x14ac:dyDescent="0.35">
      <c r="A48" s="128">
        <v>45986</v>
      </c>
      <c r="B48" s="128">
        <v>45979</v>
      </c>
      <c r="C48" s="128">
        <v>45985</v>
      </c>
      <c r="D48" s="128">
        <v>45958</v>
      </c>
      <c r="E48" s="128">
        <v>45985</v>
      </c>
      <c r="F48" s="8" t="s">
        <v>794</v>
      </c>
      <c r="G48" s="8" t="b">
        <f ca="1">_7Day_28Day_250414_[[#This Row],[Report_Due_Date]]=TODAY()+MOD(2-WEEKDAY(TODAY(),2),7)+IF(WEEKDAY(TODAY(),2)=2,7,0)</f>
        <v>0</v>
      </c>
    </row>
    <row r="49" spans="1:7" ht="18" x14ac:dyDescent="0.35">
      <c r="A49" s="128">
        <v>45993</v>
      </c>
      <c r="B49" s="128">
        <v>45986</v>
      </c>
      <c r="C49" s="128">
        <v>45992</v>
      </c>
      <c r="D49" s="128">
        <v>45965</v>
      </c>
      <c r="E49" s="128">
        <v>45992</v>
      </c>
      <c r="F49" s="8" t="s">
        <v>795</v>
      </c>
      <c r="G49" s="8" t="b">
        <f ca="1">_7Day_28Day_250414_[[#This Row],[Report_Due_Date]]=TODAY()+MOD(2-WEEKDAY(TODAY(),2),7)+IF(WEEKDAY(TODAY(),2)=2,7,0)</f>
        <v>0</v>
      </c>
    </row>
    <row r="50" spans="1:7" ht="18" x14ac:dyDescent="0.35">
      <c r="A50" s="128">
        <v>46000</v>
      </c>
      <c r="B50" s="128">
        <v>45993</v>
      </c>
      <c r="C50" s="128">
        <v>45999</v>
      </c>
      <c r="D50" s="128">
        <v>45972</v>
      </c>
      <c r="E50" s="128">
        <v>45999</v>
      </c>
      <c r="F50" s="8" t="s">
        <v>796</v>
      </c>
      <c r="G50" s="8" t="b">
        <f ca="1">_7Day_28Day_250414_[[#This Row],[Report_Due_Date]]=TODAY()+MOD(2-WEEKDAY(TODAY(),2),7)+IF(WEEKDAY(TODAY(),2)=2,7,0)</f>
        <v>0</v>
      </c>
    </row>
    <row r="51" spans="1:7" ht="18" x14ac:dyDescent="0.35">
      <c r="A51" s="128">
        <v>46007</v>
      </c>
      <c r="B51" s="128">
        <v>46000</v>
      </c>
      <c r="C51" s="128">
        <v>46006</v>
      </c>
      <c r="D51" s="128">
        <v>45979</v>
      </c>
      <c r="E51" s="128">
        <v>46006</v>
      </c>
      <c r="F51" s="8" t="s">
        <v>797</v>
      </c>
      <c r="G51" s="8" t="b">
        <f ca="1">_7Day_28Day_250414_[[#This Row],[Report_Due_Date]]=TODAY()+MOD(2-WEEKDAY(TODAY(),2),7)+IF(WEEKDAY(TODAY(),2)=2,7,0)</f>
        <v>0</v>
      </c>
    </row>
    <row r="52" spans="1:7" ht="15.6" x14ac:dyDescent="0.3">
      <c r="A52" s="129">
        <v>46014</v>
      </c>
      <c r="B52" s="129">
        <v>46007</v>
      </c>
      <c r="C52" s="129">
        <v>46013</v>
      </c>
      <c r="D52" s="129">
        <v>45986</v>
      </c>
      <c r="E52" s="129">
        <v>46013</v>
      </c>
      <c r="F52" s="130" t="s">
        <v>798</v>
      </c>
      <c r="G52" s="129" t="b">
        <f ca="1">_7Day_28Day_250414_[[#This Row],[Report_Due_Date]]=TODAY()+MOD(2-WEEKDAY(TODAY(),2),7)+IF(WEEKDAY(TODAY(),2)=2,7,0)</f>
        <v>0</v>
      </c>
    </row>
    <row r="53" spans="1:7" ht="15.6" x14ac:dyDescent="0.3">
      <c r="A53" s="129">
        <v>46021</v>
      </c>
      <c r="B53" s="129">
        <v>46014</v>
      </c>
      <c r="C53" s="129">
        <v>46020</v>
      </c>
      <c r="D53" s="129">
        <v>45993</v>
      </c>
      <c r="E53" s="129">
        <v>46020</v>
      </c>
      <c r="F53" s="130" t="s">
        <v>799</v>
      </c>
      <c r="G53" s="129" t="b">
        <f ca="1">_7Day_28Day_250414_[[#This Row],[Report_Due_Date]]=TODAY()+MOD(2-WEEKDAY(TODAY(),2),7)+IF(WEEKDAY(TODAY(),2)=2,7,0)</f>
        <v>0</v>
      </c>
    </row>
  </sheetData>
  <conditionalFormatting sqref="A2:G53">
    <cfRule type="expression" dxfId="0" priority="1">
      <formula>$G2=TRUE</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01B980016700041A859C26B0CBE3010" ma:contentTypeVersion="16" ma:contentTypeDescription="Create a new document." ma:contentTypeScope="" ma:versionID="1209fce709753742879aa2378553e378">
  <xsd:schema xmlns:xsd="http://www.w3.org/2001/XMLSchema" xmlns:xs="http://www.w3.org/2001/XMLSchema" xmlns:p="http://schemas.microsoft.com/office/2006/metadata/properties" xmlns:ns3="b1bf5c3b-6d54-46d3-b945-dfb4607c5fc2" xmlns:ns4="a7c3798e-333d-4d8c-b7f0-61d3254dbad2" targetNamespace="http://schemas.microsoft.com/office/2006/metadata/properties" ma:root="true" ma:fieldsID="5789b25bd9b028519a2563d031c469c4" ns3:_="" ns4:_="">
    <xsd:import namespace="b1bf5c3b-6d54-46d3-b945-dfb4607c5fc2"/>
    <xsd:import namespace="a7c3798e-333d-4d8c-b7f0-61d3254dbad2"/>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DateTaken" minOccurs="0"/>
                <xsd:element ref="ns3:MediaServiceAutoTags" minOccurs="0"/>
                <xsd:element ref="ns3:MediaLengthInSeconds" minOccurs="0"/>
                <xsd:element ref="ns3:MediaServiceLocation" minOccurs="0"/>
                <xsd:element ref="ns3:MediaServiceGenerationTime" minOccurs="0"/>
                <xsd:element ref="ns3:MediaServiceEventHashCode" minOccurs="0"/>
                <xsd:element ref="ns3:MediaServiceOCR"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bf5c3b-6d54-46d3-b945-dfb4607c5f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c3798e-333d-4d8c-b7f0-61d3254dba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1bf5c3b-6d54-46d3-b945-dfb4607c5fc2" xsi:nil="true"/>
  </documentManagement>
</p:properties>
</file>

<file path=customXml/item4.xml>��
</file>

<file path=customXml/itemProps1.xml><?xml version="1.0" encoding="utf-8"?>
<ds:datastoreItem xmlns:ds="http://schemas.openxmlformats.org/officeDocument/2006/customXml" ds:itemID="{21E17DD6-CAB6-420A-A95D-C32957EEB9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bf5c3b-6d54-46d3-b945-dfb4607c5fc2"/>
    <ds:schemaRef ds:uri="a7c3798e-333d-4d8c-b7f0-61d3254dba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B7326F4-C310-4BE5-8C1C-0B665131CBE9}">
  <ds:schemaRefs>
    <ds:schemaRef ds:uri="http://schemas.microsoft.com/sharepoint/v3/contenttype/forms"/>
  </ds:schemaRefs>
</ds:datastoreItem>
</file>

<file path=customXml/itemProps3.xml><?xml version="1.0" encoding="utf-8"?>
<ds:datastoreItem xmlns:ds="http://schemas.openxmlformats.org/officeDocument/2006/customXml" ds:itemID="{52810D0D-F7EB-4155-BDDE-E199544D9328}">
  <ds:schemaRefs>
    <ds:schemaRef ds:uri="http://schemas.microsoft.com/office/2006/metadata/properties"/>
    <ds:schemaRef ds:uri="http://schemas.microsoft.com/office/infopath/2007/PartnerControls"/>
    <ds:schemaRef ds:uri="b1bf5c3b-6d54-46d3-b945-dfb4607c5fc2"/>
  </ds:schemaRefs>
</ds:datastoreItem>
</file>

<file path=customXml/itemProps4.xml><?xml version="1.0" encoding="utf-8"?>
<ds:datastoreItem xmlns:ds="http://schemas.openxmlformats.org/officeDocument/2006/customXml" ds:itemID="{A3093440-9B82-429A-AB14-5B94A942AF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PAST_WEEK3</vt:lpstr>
      <vt:lpstr>CURRENT_28D</vt:lpstr>
      <vt:lpstr>Bur_Auto</vt:lpstr>
      <vt:lpstr>Bur_Auto_7D</vt:lpstr>
      <vt:lpstr>BUR_AUTO_PT</vt:lpstr>
      <vt:lpstr>Bur_C_R</vt:lpstr>
      <vt:lpstr>BUR_C_R_PT</vt:lpstr>
      <vt:lpstr>MV_Theft</vt:lpstr>
      <vt:lpstr>_MV_THEFT_7DAY</vt:lpstr>
      <vt:lpstr>MV_THEFT_PT</vt:lpstr>
      <vt:lpstr>Robbery</vt:lpstr>
      <vt:lpstr>_Robbery_7D</vt:lpstr>
      <vt:lpstr>ROB_PT</vt:lpstr>
      <vt:lpstr>Sexual_Offenses</vt:lpstr>
      <vt:lpstr>Sex_Off_7D</vt:lpstr>
      <vt:lpstr>SEXUAL_PT</vt:lpstr>
      <vt:lpstr>EXPORT_RMS</vt:lpstr>
      <vt:lpstr>Report</vt:lpstr>
      <vt:lpstr>_7Day_28Day_250414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 Carucci</dc:creator>
  <cp:keywords/>
  <dc:description/>
  <cp:lastModifiedBy>Robert Carucci</cp:lastModifiedBy>
  <cp:revision/>
  <cp:lastPrinted>2025-03-03T00:55:41Z</cp:lastPrinted>
  <dcterms:created xsi:type="dcterms:W3CDTF">2015-06-05T18:17:20Z</dcterms:created>
  <dcterms:modified xsi:type="dcterms:W3CDTF">2025-05-13T20:55:53Z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0x010100601B980016700041A859C26B0CBE3010</vt:lpwstr>
  </property>
</Properties>
</file>